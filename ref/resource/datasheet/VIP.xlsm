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defaultThemeVersion="124226"/>
  <bookViews>
    <workbookView xWindow="28665" yWindow="30" windowWidth="28500" windowHeight="12825" activeTab="1"/>
  </bookViews>
  <sheets>
    <sheet name="VipPrivilegestate" sheetId="4" r:id="rId1"/>
    <sheet name="VipPrivilege" sheetId="3" r:id="rId2"/>
    <sheet name="Recharge" sheetId="5" r:id="rId3"/>
  </sheets>
  <calcPr calcId="125725"/>
</workbook>
</file>

<file path=xl/calcChain.xml><?xml version="1.0" encoding="utf-8"?>
<calcChain xmlns="http://schemas.openxmlformats.org/spreadsheetml/2006/main">
  <c r="C4" i="4"/>
  <c r="C5"/>
  <c r="C6"/>
  <c r="C7"/>
  <c r="C8"/>
  <c r="C9"/>
  <c r="C10"/>
  <c r="C11"/>
  <c r="C12"/>
  <c r="C13"/>
  <c r="C14"/>
  <c r="C15"/>
  <c r="C16"/>
  <c r="C17"/>
  <c r="C3"/>
  <c r="D3" l="1"/>
  <c r="D17"/>
  <c r="B17"/>
  <c r="D16"/>
  <c r="B16"/>
  <c r="D15"/>
  <c r="B15"/>
  <c r="D14"/>
  <c r="B14"/>
  <c r="D13"/>
  <c r="B13"/>
  <c r="D12"/>
  <c r="B12"/>
  <c r="D11"/>
  <c r="B11"/>
  <c r="D10"/>
  <c r="B10"/>
  <c r="D9"/>
  <c r="B9"/>
  <c r="D8"/>
  <c r="B8"/>
  <c r="D7"/>
  <c r="B7"/>
  <c r="D6"/>
  <c r="B6"/>
  <c r="D5"/>
  <c r="B5"/>
  <c r="D4"/>
  <c r="B4"/>
  <c r="B3"/>
  <c r="B2"/>
</calcChain>
</file>

<file path=xl/comments1.xml><?xml version="1.0" encoding="utf-8"?>
<comments xmlns="http://schemas.openxmlformats.org/spreadsheetml/2006/main">
  <authors>
    <author>作者</author>
  </authors>
  <commentList>
    <comment ref="D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分</t>
        </r>
      </text>
    </comment>
  </commentList>
</comments>
</file>

<file path=xl/sharedStrings.xml><?xml version="1.0" encoding="utf-8"?>
<sst xmlns="http://schemas.openxmlformats.org/spreadsheetml/2006/main" count="96" uniqueCount="91">
  <si>
    <t>VipLv</t>
    <phoneticPr fontId="1" type="noConversion"/>
  </si>
  <si>
    <t>要求钻石</t>
    <phoneticPr fontId="1" type="noConversion"/>
  </si>
  <si>
    <t>购买体力次数</t>
    <phoneticPr fontId="1" type="noConversion"/>
  </si>
  <si>
    <t>购买金币次数</t>
    <phoneticPr fontId="1" type="noConversion"/>
  </si>
  <si>
    <t>生涯模式副本重置次数</t>
    <phoneticPr fontId="1" type="noConversion"/>
  </si>
  <si>
    <t>荣誉争霸赛比赛次数增加</t>
    <phoneticPr fontId="1" type="noConversion"/>
  </si>
  <si>
    <t>重置荣誉争霸赛次数</t>
    <phoneticPr fontId="1" type="noConversion"/>
  </si>
  <si>
    <t>重置街头巡回赛次数</t>
    <phoneticPr fontId="1" type="noConversion"/>
  </si>
  <si>
    <t>特权礼包ID</t>
    <phoneticPr fontId="1" type="noConversion"/>
  </si>
  <si>
    <t>发送邮件ID</t>
    <phoneticPr fontId="1" type="noConversion"/>
  </si>
  <si>
    <t>switch</t>
    <phoneticPr fontId="1" type="noConversion"/>
  </si>
  <si>
    <t>#</t>
    <phoneticPr fontId="1" type="noConversion"/>
  </si>
  <si>
    <t>consume</t>
    <phoneticPr fontId="1" type="noConversion"/>
  </si>
  <si>
    <t>level</t>
    <phoneticPr fontId="1" type="noConversion"/>
  </si>
  <si>
    <t>VIP等级</t>
    <phoneticPr fontId="1" type="noConversion"/>
  </si>
  <si>
    <t>hp_times</t>
    <phoneticPr fontId="1" type="noConversion"/>
  </si>
  <si>
    <t>gold_times</t>
    <phoneticPr fontId="1" type="noConversion"/>
  </si>
  <si>
    <t>career_times</t>
    <phoneticPr fontId="1" type="noConversion"/>
  </si>
  <si>
    <t>regular_times</t>
    <phoneticPr fontId="1" type="noConversion"/>
  </si>
  <si>
    <t>reset_regular_times</t>
    <phoneticPr fontId="1" type="noConversion"/>
  </si>
  <si>
    <t>reset_tour_times</t>
    <phoneticPr fontId="1" type="noConversion"/>
  </si>
  <si>
    <t>mail_id</t>
    <phoneticPr fontId="1" type="noConversion"/>
  </si>
  <si>
    <t>gift</t>
    <phoneticPr fontId="1" type="noConversion"/>
  </si>
  <si>
    <t>礼包价格</t>
    <phoneticPr fontId="1" type="noConversion"/>
  </si>
  <si>
    <t>privilegestate2</t>
    <phoneticPr fontId="1" type="noConversion"/>
  </si>
  <si>
    <t>privilegestate4</t>
    <phoneticPr fontId="1" type="noConversion"/>
  </si>
  <si>
    <t>append_sign</t>
    <phoneticPr fontId="1" type="noConversion"/>
  </si>
  <si>
    <t>补签次数</t>
    <phoneticPr fontId="1" type="noConversion"/>
  </si>
  <si>
    <t>斗牛赛购买次数</t>
    <phoneticPr fontId="1" type="noConversion"/>
  </si>
  <si>
    <t>bullfight_buytimes</t>
    <phoneticPr fontId="1" type="noConversion"/>
  </si>
  <si>
    <t>shoot_buytimes</t>
  </si>
  <si>
    <t>投篮赛购买次数</t>
  </si>
  <si>
    <t>gift_price</t>
    <phoneticPr fontId="1" type="noConversion"/>
  </si>
  <si>
    <t>ori_gift_price</t>
    <phoneticPr fontId="1" type="noConversion"/>
  </si>
  <si>
    <t>礼包原价</t>
    <phoneticPr fontId="1" type="noConversion"/>
  </si>
  <si>
    <t>充值金额</t>
  </si>
  <si>
    <t>获得钻石</t>
  </si>
  <si>
    <t>首次额外赠送</t>
  </si>
  <si>
    <t>首次说明</t>
  </si>
  <si>
    <t>常态说明</t>
  </si>
  <si>
    <t>推荐</t>
  </si>
  <si>
    <t>商品图标</t>
  </si>
  <si>
    <t>排位赛</t>
    <phoneticPr fontId="1" type="noConversion"/>
  </si>
  <si>
    <t>qualify_buytimes</t>
    <phoneticPr fontId="1" type="noConversion"/>
  </si>
  <si>
    <t>增加队长训练个数</t>
    <phoneticPr fontId="1" type="noConversion"/>
  </si>
  <si>
    <t>VIP技能槽</t>
    <phoneticPr fontId="1" type="noConversion"/>
  </si>
  <si>
    <t>add_training_count</t>
    <phoneticPr fontId="1" type="noConversion"/>
  </si>
  <si>
    <t>skill_slot</t>
    <phoneticPr fontId="1" type="noConversion"/>
  </si>
  <si>
    <t>add_vigor_limit</t>
    <phoneticPr fontId="1" type="noConversion"/>
  </si>
  <si>
    <t>增加气势上限</t>
    <phoneticPr fontId="1" type="noConversion"/>
  </si>
  <si>
    <t>privilegestate8</t>
    <phoneticPr fontId="1" type="noConversion"/>
  </si>
  <si>
    <t>icon_signin_diamond_1</t>
  </si>
  <si>
    <t>icon_signin_diamond_2</t>
  </si>
  <si>
    <t>icon_signin_diamond_4</t>
  </si>
  <si>
    <t>icon_signin_diamond_5</t>
  </si>
  <si>
    <t>icon_signin_diamond_6</t>
  </si>
  <si>
    <t>switch</t>
    <phoneticPr fontId="1" type="noConversion"/>
  </si>
  <si>
    <t>id</t>
    <phoneticPr fontId="1" type="noConversion"/>
  </si>
  <si>
    <t>name</t>
    <phoneticPr fontId="1" type="noConversion"/>
  </si>
  <si>
    <t>recharge</t>
    <phoneticPr fontId="1" type="noConversion"/>
  </si>
  <si>
    <t>diamond</t>
    <phoneticPr fontId="1" type="noConversion"/>
  </si>
  <si>
    <t>ext_diamond</t>
    <phoneticPr fontId="1" type="noConversion"/>
  </si>
  <si>
    <t>first_intro</t>
    <phoneticPr fontId="1" type="noConversion"/>
  </si>
  <si>
    <t>intro</t>
    <phoneticPr fontId="1" type="noConversion"/>
  </si>
  <si>
    <t>recommend</t>
    <phoneticPr fontId="1" type="noConversion"/>
  </si>
  <si>
    <t>icon</t>
    <phoneticPr fontId="1" type="noConversion"/>
  </si>
  <si>
    <t>des</t>
    <phoneticPr fontId="1" type="noConversion"/>
  </si>
  <si>
    <t>#</t>
    <phoneticPr fontId="1" type="noConversion"/>
  </si>
  <si>
    <t>商品ID</t>
    <phoneticPr fontId="1" type="noConversion"/>
  </si>
  <si>
    <t>商品名称</t>
    <phoneticPr fontId="1" type="noConversion"/>
  </si>
  <si>
    <t>商品描述</t>
    <phoneticPr fontId="1" type="noConversion"/>
  </si>
  <si>
    <t>钻石</t>
    <phoneticPr fontId="1" type="noConversion"/>
  </si>
  <si>
    <t>6480钻石</t>
    <phoneticPr fontId="1" type="noConversion"/>
  </si>
  <si>
    <t>3280钻石</t>
    <phoneticPr fontId="1" type="noConversion"/>
  </si>
  <si>
    <t>1980钻石</t>
    <phoneticPr fontId="1" type="noConversion"/>
  </si>
  <si>
    <t>icon_signin_diamond_3</t>
    <phoneticPr fontId="1" type="noConversion"/>
  </si>
  <si>
    <t>980钻石</t>
    <phoneticPr fontId="1" type="noConversion"/>
  </si>
  <si>
    <t>300钻石</t>
    <phoneticPr fontId="1" type="noConversion"/>
  </si>
  <si>
    <t>60钻石</t>
    <phoneticPr fontId="1" type="noConversion"/>
  </si>
  <si>
    <t>经验道具60</t>
    <phoneticPr fontId="1" type="noConversion"/>
  </si>
  <si>
    <t>经验道具150</t>
    <phoneticPr fontId="1" type="noConversion"/>
  </si>
  <si>
    <t>经验道具1500</t>
    <phoneticPr fontId="1" type="noConversion"/>
  </si>
  <si>
    <t>经验道具2500</t>
    <phoneticPr fontId="1" type="noConversion"/>
  </si>
  <si>
    <t>经验道具4000</t>
    <phoneticPr fontId="1" type="noConversion"/>
  </si>
  <si>
    <t>exp_buytimes_1</t>
    <phoneticPr fontId="1" type="noConversion"/>
  </si>
  <si>
    <t>exp_buytimes_2</t>
    <phoneticPr fontId="1" type="noConversion"/>
  </si>
  <si>
    <t>exp_buytimes_3</t>
    <phoneticPr fontId="1" type="noConversion"/>
  </si>
  <si>
    <t>exp_buytimes_4</t>
    <phoneticPr fontId="1" type="noConversion"/>
  </si>
  <si>
    <t>exp_buytimes_5</t>
    <phoneticPr fontId="1" type="noConversion"/>
  </si>
  <si>
    <t>exp_buytimes_6</t>
    <phoneticPr fontId="1" type="noConversion"/>
  </si>
  <si>
    <t>经验道具600</t>
    <phoneticPr fontId="1" type="noConversion"/>
  </si>
</sst>
</file>

<file path=xl/styles.xml><?xml version="1.0" encoding="utf-8"?>
<styleSheet xmlns="http://schemas.openxmlformats.org/spreadsheetml/2006/main">
  <fonts count="1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0.5"/>
      <color theme="1"/>
      <name val="Calibri"/>
      <family val="2"/>
    </font>
    <font>
      <sz val="10"/>
      <color theme="1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0"/>
      <color rgb="FFFF0000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theme="0" tint="-0.249977111117893"/>
      <name val="宋体"/>
      <family val="2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1" xfId="1" applyNumberFormat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horizontal="left" vertical="center"/>
    </xf>
    <xf numFmtId="0" fontId="6" fillId="0" borderId="0" xfId="0" applyFont="1">
      <alignment vertical="center"/>
    </xf>
    <xf numFmtId="0" fontId="5" fillId="0" borderId="1" xfId="0" applyFont="1" applyBorder="1">
      <alignment vertical="center"/>
    </xf>
    <xf numFmtId="0" fontId="7" fillId="0" borderId="1" xfId="1" applyNumberFormat="1" applyFont="1" applyBorder="1" applyAlignment="1">
      <alignment horizontal="left" vertical="top"/>
    </xf>
    <xf numFmtId="0" fontId="0" fillId="2" borderId="1" xfId="0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0" fillId="2" borderId="2" xfId="0" applyFill="1" applyBorder="1">
      <alignment vertical="center"/>
    </xf>
    <xf numFmtId="0" fontId="4" fillId="0" borderId="1" xfId="0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0" fillId="0" borderId="2" xfId="0" applyFill="1" applyBorder="1">
      <alignment vertical="center"/>
    </xf>
    <xf numFmtId="0" fontId="13" fillId="0" borderId="2" xfId="0" applyFont="1" applyFill="1" applyBorder="1">
      <alignment vertical="center"/>
    </xf>
    <xf numFmtId="0" fontId="4" fillId="2" borderId="2" xfId="0" applyFont="1" applyFill="1" applyBorder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17"/>
  <sheetViews>
    <sheetView workbookViewId="0">
      <selection activeCell="B27" sqref="B27"/>
    </sheetView>
  </sheetViews>
  <sheetFormatPr defaultRowHeight="13.5"/>
  <cols>
    <col min="1" max="1" width="6.5" bestFit="1" customWidth="1"/>
    <col min="2" max="2" width="39.375" bestFit="1" customWidth="1"/>
    <col min="3" max="3" width="46.625" bestFit="1" customWidth="1"/>
    <col min="4" max="4" width="30" bestFit="1" customWidth="1"/>
  </cols>
  <sheetData>
    <row r="1" spans="1:4">
      <c r="A1" s="1" t="s">
        <v>0</v>
      </c>
      <c r="B1" s="1" t="s">
        <v>24</v>
      </c>
      <c r="C1" s="1" t="s">
        <v>25</v>
      </c>
      <c r="D1" s="1" t="s">
        <v>50</v>
      </c>
    </row>
    <row r="2" spans="1:4">
      <c r="A2">
        <v>0</v>
      </c>
      <c r="B2" s="1" t="str">
        <f>"每日可兑换金币[b][FABE22]"&amp;VipPrivilege!E3&amp;"[-][/b]次"</f>
        <v>每日可兑换金币[b][FABE22]1[-][/b]次</v>
      </c>
    </row>
    <row r="3" spans="1:4">
      <c r="A3" s="1">
        <v>1</v>
      </c>
      <c r="B3" s="1" t="str">
        <f>"每日可兑换金币[b][FABE22]"&amp;VipPrivilege!E4&amp;"[-][/b]次"</f>
        <v>每日可兑换金币[b][FABE22]5[-][/b]次</v>
      </c>
      <c r="C3" t="str">
        <f>"可领取VIP[b][FABE22]"&amp;VipPrivilege!B4&amp;"[-][/b]特权礼包"</f>
        <v>可领取VIP[b][FABE22]1[-][/b]特权礼包</v>
      </c>
      <c r="D3" t="str">
        <f>"可补签[b][FABE22]"&amp;VipPrivilege!Q4&amp;"[-][/b]次"</f>
        <v>可补签[b][FABE22]2[-][/b]次</v>
      </c>
    </row>
    <row r="4" spans="1:4">
      <c r="A4" s="1">
        <v>2</v>
      </c>
      <c r="B4" s="1" t="str">
        <f>"每日可兑换金币[b][FABE22]"&amp;VipPrivilege!E5&amp;"[-][/b]次"</f>
        <v>每日可兑换金币[b][FABE22]10[-][/b]次</v>
      </c>
      <c r="C4" t="str">
        <f>"可领取VIP[b][FABE22]"&amp;VipPrivilege!B5&amp;"[-][/b]特权礼包"</f>
        <v>可领取VIP[b][FABE22]2[-][/b]特权礼包</v>
      </c>
      <c r="D4" t="str">
        <f>"可补签[b][FABE22]"&amp;VipPrivilege!Q5&amp;"[-][/b]次"</f>
        <v>可补签[b][FABE22]2[-][/b]次</v>
      </c>
    </row>
    <row r="5" spans="1:4">
      <c r="A5" s="1">
        <v>3</v>
      </c>
      <c r="B5" s="1" t="str">
        <f>"每日可兑换金币[b][FABE22]"&amp;VipPrivilege!E6&amp;"[-][/b]次"</f>
        <v>每日可兑换金币[b][FABE22]15[-][/b]次</v>
      </c>
      <c r="C5" t="str">
        <f>"可领取VIP[b][FABE22]"&amp;VipPrivilege!B6&amp;"[-][/b]特权礼包"</f>
        <v>可领取VIP[b][FABE22]3[-][/b]特权礼包</v>
      </c>
      <c r="D5" t="str">
        <f>"可补签[b][FABE22]"&amp;VipPrivilege!Q6&amp;"[-][/b]次"</f>
        <v>可补签[b][FABE22]2[-][/b]次</v>
      </c>
    </row>
    <row r="6" spans="1:4">
      <c r="A6" s="1">
        <v>4</v>
      </c>
      <c r="B6" s="1" t="str">
        <f>"每日可兑换金币[b][FABE22]"&amp;VipPrivilege!E7&amp;"[-][/b]次"</f>
        <v>每日可兑换金币[b][FABE22]20[-][/b]次</v>
      </c>
      <c r="C6" t="str">
        <f>"可领取VIP[b][FABE22]"&amp;VipPrivilege!B7&amp;"[-][/b]特权礼包"</f>
        <v>可领取VIP[b][FABE22]4[-][/b]特权礼包</v>
      </c>
      <c r="D6" t="str">
        <f>"可补签[b][FABE22]"&amp;VipPrivilege!Q7&amp;"[-][/b]次"</f>
        <v>可补签[b][FABE22]2[-][/b]次</v>
      </c>
    </row>
    <row r="7" spans="1:4">
      <c r="A7" s="1">
        <v>5</v>
      </c>
      <c r="B7" s="1" t="str">
        <f>"每日可兑换金币[b][FABE22]"&amp;VipPrivilege!E8&amp;"[-][/b]次"</f>
        <v>每日可兑换金币[b][FABE22]25[-][/b]次</v>
      </c>
      <c r="C7" t="str">
        <f>"可领取VIP[b][FABE22]"&amp;VipPrivilege!B8&amp;"[-][/b]特权礼包"</f>
        <v>可领取VIP[b][FABE22]5[-][/b]特权礼包</v>
      </c>
      <c r="D7" t="str">
        <f>"可补签[b][FABE22]"&amp;VipPrivilege!Q8&amp;"[-][/b]次"</f>
        <v>可补签[b][FABE22]2[-][/b]次</v>
      </c>
    </row>
    <row r="8" spans="1:4">
      <c r="A8" s="1">
        <v>6</v>
      </c>
      <c r="B8" s="1" t="str">
        <f>"每日可兑换金币[b][FABE22]"&amp;VipPrivilege!E9&amp;"[-][/b]次"</f>
        <v>每日可兑换金币[b][FABE22]30[-][/b]次</v>
      </c>
      <c r="C8" t="str">
        <f>"可领取VIP[b][FABE22]"&amp;VipPrivilege!B9&amp;"[-][/b]特权礼包"</f>
        <v>可领取VIP[b][FABE22]6[-][/b]特权礼包</v>
      </c>
      <c r="D8" t="str">
        <f>"可补签[b][FABE22]"&amp;VipPrivilege!Q9&amp;"[-][/b]次"</f>
        <v>可补签[b][FABE22]2[-][/b]次</v>
      </c>
    </row>
    <row r="9" spans="1:4">
      <c r="A9" s="1">
        <v>7</v>
      </c>
      <c r="B9" s="1" t="str">
        <f>"每日可兑换金币[b][FABE22]"&amp;VipPrivilege!E10&amp;"[-][/b]次"</f>
        <v>每日可兑换金币[b][FABE22]35[-][/b]次</v>
      </c>
      <c r="C9" t="str">
        <f>"可领取VIP[b][FABE22]"&amp;VipPrivilege!B10&amp;"[-][/b]特权礼包"</f>
        <v>可领取VIP[b][FABE22]7[-][/b]特权礼包</v>
      </c>
      <c r="D9" t="str">
        <f>"可补签[b][FABE22]"&amp;VipPrivilege!Q10&amp;"[-][/b]次"</f>
        <v>可补签[b][FABE22]2[-][/b]次</v>
      </c>
    </row>
    <row r="10" spans="1:4">
      <c r="A10" s="1">
        <v>8</v>
      </c>
      <c r="B10" s="1" t="str">
        <f>"每日可兑换金币[b][FABE22]"&amp;VipPrivilege!E11&amp;"[-][/b]次"</f>
        <v>每日可兑换金币[b][FABE22]40[-][/b]次</v>
      </c>
      <c r="C10" t="str">
        <f>"可领取VIP[b][FABE22]"&amp;VipPrivilege!B11&amp;"[-][/b]特权礼包"</f>
        <v>可领取VIP[b][FABE22]8[-][/b]特权礼包</v>
      </c>
      <c r="D10" t="str">
        <f>"可补签[b][FABE22]"&amp;VipPrivilege!Q11&amp;"[-][/b]次"</f>
        <v>可补签[b][FABE22]2[-][/b]次</v>
      </c>
    </row>
    <row r="11" spans="1:4">
      <c r="A11" s="1">
        <v>9</v>
      </c>
      <c r="B11" s="1" t="str">
        <f>"每日可兑换金币[b][FABE22]"&amp;VipPrivilege!E12&amp;"[-][/b]次"</f>
        <v>每日可兑换金币[b][FABE22]45[-][/b]次</v>
      </c>
      <c r="C11" t="str">
        <f>"可领取VIP[b][FABE22]"&amp;VipPrivilege!B12&amp;"[-][/b]特权礼包"</f>
        <v>可领取VIP[b][FABE22]9[-][/b]特权礼包</v>
      </c>
      <c r="D11" t="str">
        <f>"可补签[b][FABE22]"&amp;VipPrivilege!Q12&amp;"[-][/b]次"</f>
        <v>可补签[b][FABE22]2[-][/b]次</v>
      </c>
    </row>
    <row r="12" spans="1:4">
      <c r="A12" s="1">
        <v>10</v>
      </c>
      <c r="B12" s="1" t="str">
        <f>"每日可兑换金币[b][FABE22]"&amp;VipPrivilege!E13&amp;"[-][/b]次"</f>
        <v>每日可兑换金币[b][FABE22]50[-][/b]次</v>
      </c>
      <c r="C12" t="str">
        <f>"可领取VIP[b][FABE22]"&amp;VipPrivilege!B13&amp;"[-][/b]特权礼包"</f>
        <v>可领取VIP[b][FABE22]10[-][/b]特权礼包</v>
      </c>
      <c r="D12" t="str">
        <f>"可补签[b][FABE22]"&amp;VipPrivilege!Q13&amp;"[-][/b]次"</f>
        <v>可补签[b][FABE22]2[-][/b]次</v>
      </c>
    </row>
    <row r="13" spans="1:4">
      <c r="A13" s="1">
        <v>11</v>
      </c>
      <c r="B13" s="1" t="str">
        <f>"每日可兑换金币[b][FABE22]"&amp;VipPrivilege!E14&amp;"[-][/b]次"</f>
        <v>每日可兑换金币[b][FABE22]55[-][/b]次</v>
      </c>
      <c r="C13" t="str">
        <f>"可领取VIP[b][FABE22]"&amp;VipPrivilege!B14&amp;"[-][/b]特权礼包"</f>
        <v>可领取VIP[b][FABE22]11[-][/b]特权礼包</v>
      </c>
      <c r="D13" t="str">
        <f>"可补签[b][FABE22]"&amp;VipPrivilege!Q14&amp;"[-][/b]次"</f>
        <v>可补签[b][FABE22]2[-][/b]次</v>
      </c>
    </row>
    <row r="14" spans="1:4">
      <c r="A14" s="1">
        <v>12</v>
      </c>
      <c r="B14" s="1" t="str">
        <f>"每日可兑换金币[b][FABE22]"&amp;VipPrivilege!E15&amp;"[-][/b]次"</f>
        <v>每日可兑换金币[b][FABE22]60[-][/b]次</v>
      </c>
      <c r="C14" t="str">
        <f>"可领取VIP[b][FABE22]"&amp;VipPrivilege!B15&amp;"[-][/b]特权礼包"</f>
        <v>可领取VIP[b][FABE22]12[-][/b]特权礼包</v>
      </c>
      <c r="D14" t="str">
        <f>"可补签[b][FABE22]"&amp;VipPrivilege!Q15&amp;"[-][/b]次"</f>
        <v>可补签[b][FABE22]2[-][/b]次</v>
      </c>
    </row>
    <row r="15" spans="1:4">
      <c r="A15" s="1">
        <v>13</v>
      </c>
      <c r="B15" s="1" t="str">
        <f>"每日可兑换金币[b][FABE22]"&amp;VipPrivilege!E16&amp;"[-][/b]次"</f>
        <v>每日可兑换金币[b][FABE22]70[-][/b]次</v>
      </c>
      <c r="C15" t="str">
        <f>"可领取VIP[b][FABE22]"&amp;VipPrivilege!B16&amp;"[-][/b]特权礼包"</f>
        <v>可领取VIP[b][FABE22]13[-][/b]特权礼包</v>
      </c>
      <c r="D15" t="str">
        <f>"可补签[b][FABE22]"&amp;VipPrivilege!Q16&amp;"[-][/b]次"</f>
        <v>可补签[b][FABE22]2[-][/b]次</v>
      </c>
    </row>
    <row r="16" spans="1:4">
      <c r="A16" s="1">
        <v>14</v>
      </c>
      <c r="B16" s="1" t="str">
        <f>"每日可兑换金币[b][FABE22]"&amp;VipPrivilege!E17&amp;"[-][/b]次"</f>
        <v>每日可兑换金币[b][FABE22]80[-][/b]次</v>
      </c>
      <c r="C16" t="str">
        <f>"可领取VIP[b][FABE22]"&amp;VipPrivilege!B17&amp;"[-][/b]特权礼包"</f>
        <v>可领取VIP[b][FABE22]14[-][/b]特权礼包</v>
      </c>
      <c r="D16" t="str">
        <f>"可补签[b][FABE22]"&amp;VipPrivilege!Q17&amp;"[-][/b]次"</f>
        <v>可补签[b][FABE22]2[-][/b]次</v>
      </c>
    </row>
    <row r="17" spans="1:4">
      <c r="A17" s="1">
        <v>15</v>
      </c>
      <c r="B17" s="1" t="str">
        <f>"每日可兑换金币[b][FABE22]"&amp;VipPrivilege!E18&amp;"[-][/b]次"</f>
        <v>每日可兑换金币[b][FABE22]90[-][/b]次</v>
      </c>
      <c r="C17" t="str">
        <f>"可领取VIP[b][FABE22]"&amp;VipPrivilege!B18&amp;"[-][/b]特权礼包"</f>
        <v>可领取VIP[b][FABE22]15[-][/b]特权礼包</v>
      </c>
      <c r="D17" t="str">
        <f>"可补签[b][FABE22]"&amp;VipPrivilege!Q18&amp;"[-][/b]次"</f>
        <v>可补签[b][FABE22]2[-][/b]次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Z18"/>
  <sheetViews>
    <sheetView tabSelected="1" topLeftCell="J1" workbookViewId="0">
      <selection activeCell="M19" sqref="M19"/>
    </sheetView>
  </sheetViews>
  <sheetFormatPr defaultRowHeight="13.5"/>
  <cols>
    <col min="2" max="2" width="9.5" bestFit="1" customWidth="1"/>
    <col min="3" max="3" width="8.375" customWidth="1"/>
    <col min="4" max="5" width="13" bestFit="1" customWidth="1"/>
    <col min="6" max="6" width="21.375" bestFit="1" customWidth="1"/>
    <col min="7" max="7" width="23.5" bestFit="1" customWidth="1"/>
    <col min="8" max="9" width="19.25" bestFit="1" customWidth="1"/>
    <col min="10" max="10" width="19.25" customWidth="1"/>
    <col min="11" max="11" width="11.5" customWidth="1"/>
    <col min="12" max="12" width="16" customWidth="1"/>
    <col min="13" max="13" width="15.125" bestFit="1" customWidth="1"/>
    <col min="14" max="14" width="11.125" bestFit="1" customWidth="1"/>
    <col min="15" max="15" width="16.125" bestFit="1" customWidth="1"/>
    <col min="16" max="16" width="11.75" customWidth="1"/>
    <col min="17" max="17" width="12.75" bestFit="1" customWidth="1"/>
    <col min="18" max="18" width="18.75" customWidth="1"/>
    <col min="19" max="19" width="18" customWidth="1"/>
    <col min="20" max="20" width="18.375" bestFit="1" customWidth="1"/>
    <col min="21" max="21" width="16.125" bestFit="1" customWidth="1"/>
    <col min="22" max="25" width="15" bestFit="1" customWidth="1"/>
    <col min="26" max="26" width="16.125" bestFit="1" customWidth="1"/>
  </cols>
  <sheetData>
    <row r="1" spans="1:26">
      <c r="A1" s="3" t="s">
        <v>10</v>
      </c>
      <c r="B1" s="3" t="s">
        <v>13</v>
      </c>
      <c r="C1" s="3" t="s">
        <v>12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17" t="s">
        <v>46</v>
      </c>
      <c r="K1" s="18" t="s">
        <v>47</v>
      </c>
      <c r="L1" s="17" t="s">
        <v>48</v>
      </c>
      <c r="M1" s="3" t="s">
        <v>21</v>
      </c>
      <c r="N1" s="3" t="s">
        <v>22</v>
      </c>
      <c r="O1" s="3" t="s">
        <v>33</v>
      </c>
      <c r="P1" s="3" t="s">
        <v>32</v>
      </c>
      <c r="Q1" s="4" t="s">
        <v>26</v>
      </c>
      <c r="R1" s="6" t="s">
        <v>29</v>
      </c>
      <c r="S1" s="8" t="s">
        <v>30</v>
      </c>
      <c r="T1" s="6" t="s">
        <v>43</v>
      </c>
      <c r="U1" s="6" t="s">
        <v>84</v>
      </c>
      <c r="V1" s="6" t="s">
        <v>85</v>
      </c>
      <c r="W1" s="6" t="s">
        <v>86</v>
      </c>
      <c r="X1" s="6" t="s">
        <v>87</v>
      </c>
      <c r="Y1" s="6" t="s">
        <v>88</v>
      </c>
      <c r="Z1" s="6" t="s">
        <v>89</v>
      </c>
    </row>
    <row r="2" spans="1:26">
      <c r="A2" s="1" t="s">
        <v>11</v>
      </c>
      <c r="B2" s="1" t="s">
        <v>14</v>
      </c>
      <c r="C2" s="1" t="s">
        <v>1</v>
      </c>
      <c r="D2" s="16" t="s">
        <v>2</v>
      </c>
      <c r="E2" s="16" t="s">
        <v>3</v>
      </c>
      <c r="F2" s="16" t="s">
        <v>4</v>
      </c>
      <c r="G2" s="1" t="s">
        <v>5</v>
      </c>
      <c r="H2" s="1" t="s">
        <v>6</v>
      </c>
      <c r="I2" s="16" t="s">
        <v>7</v>
      </c>
      <c r="J2" s="19" t="s">
        <v>44</v>
      </c>
      <c r="K2" s="19" t="s">
        <v>45</v>
      </c>
      <c r="L2" s="19" t="s">
        <v>49</v>
      </c>
      <c r="M2" s="1" t="s">
        <v>9</v>
      </c>
      <c r="N2" s="16" t="s">
        <v>8</v>
      </c>
      <c r="O2" s="7" t="s">
        <v>34</v>
      </c>
      <c r="P2" s="2" t="s">
        <v>23</v>
      </c>
      <c r="Q2" s="16" t="s">
        <v>27</v>
      </c>
      <c r="R2" s="20" t="s">
        <v>28</v>
      </c>
      <c r="S2" s="16" t="s">
        <v>31</v>
      </c>
      <c r="T2" s="16" t="s">
        <v>42</v>
      </c>
      <c r="U2" s="20" t="s">
        <v>79</v>
      </c>
      <c r="V2" s="20" t="s">
        <v>80</v>
      </c>
      <c r="W2" s="20" t="s">
        <v>90</v>
      </c>
      <c r="X2" s="20" t="s">
        <v>81</v>
      </c>
      <c r="Y2" s="20" t="s">
        <v>82</v>
      </c>
      <c r="Z2" s="20" t="s">
        <v>83</v>
      </c>
    </row>
    <row r="3" spans="1:26" ht="16.5">
      <c r="A3" s="1"/>
      <c r="B3" s="1">
        <v>0</v>
      </c>
      <c r="C3" s="1">
        <v>0</v>
      </c>
      <c r="D3" s="13">
        <v>1</v>
      </c>
      <c r="E3" s="14">
        <v>1</v>
      </c>
      <c r="F3" s="14">
        <v>0</v>
      </c>
      <c r="G3" s="1">
        <v>0</v>
      </c>
      <c r="H3" s="1">
        <v>0</v>
      </c>
      <c r="I3" s="1">
        <v>0</v>
      </c>
      <c r="J3" s="19">
        <v>1</v>
      </c>
      <c r="K3" s="19">
        <v>1</v>
      </c>
      <c r="L3" s="19">
        <v>0</v>
      </c>
      <c r="M3" s="1">
        <v>10008</v>
      </c>
      <c r="N3" s="1">
        <v>50</v>
      </c>
      <c r="O3" s="24">
        <v>0</v>
      </c>
      <c r="P3" s="2">
        <v>0</v>
      </c>
      <c r="Q3" s="1">
        <v>0</v>
      </c>
      <c r="R3" s="7">
        <v>0</v>
      </c>
      <c r="S3" s="7">
        <v>0</v>
      </c>
      <c r="T3" s="1">
        <v>1</v>
      </c>
      <c r="U3" s="1">
        <v>10</v>
      </c>
      <c r="V3" s="23">
        <v>0</v>
      </c>
      <c r="W3" s="23">
        <v>0</v>
      </c>
      <c r="X3" s="23">
        <v>0</v>
      </c>
      <c r="Y3" s="23">
        <v>0</v>
      </c>
      <c r="Z3" s="23">
        <v>0</v>
      </c>
    </row>
    <row r="4" spans="1:26" ht="16.5">
      <c r="A4" s="1"/>
      <c r="B4" s="1">
        <v>1</v>
      </c>
      <c r="C4" s="1">
        <v>60</v>
      </c>
      <c r="D4" s="13">
        <v>2</v>
      </c>
      <c r="E4" s="14">
        <v>5</v>
      </c>
      <c r="F4" s="14">
        <v>1</v>
      </c>
      <c r="G4" s="1">
        <v>0</v>
      </c>
      <c r="H4" s="1">
        <v>0</v>
      </c>
      <c r="I4" s="1">
        <v>0</v>
      </c>
      <c r="J4" s="19">
        <v>1</v>
      </c>
      <c r="K4" s="19">
        <v>1</v>
      </c>
      <c r="L4" s="19">
        <v>0</v>
      </c>
      <c r="M4" s="1">
        <v>0</v>
      </c>
      <c r="N4" s="5">
        <v>51</v>
      </c>
      <c r="O4" s="1">
        <v>0</v>
      </c>
      <c r="P4" s="7">
        <v>0</v>
      </c>
      <c r="Q4" s="1">
        <v>2</v>
      </c>
      <c r="R4" s="7">
        <v>0</v>
      </c>
      <c r="S4" s="7">
        <v>0</v>
      </c>
      <c r="T4" s="1">
        <v>1</v>
      </c>
      <c r="U4" s="1">
        <v>20</v>
      </c>
      <c r="V4" s="1">
        <v>5</v>
      </c>
      <c r="W4" s="1">
        <v>0</v>
      </c>
      <c r="X4" s="1">
        <v>0</v>
      </c>
      <c r="Y4" s="1">
        <v>0</v>
      </c>
      <c r="Z4" s="1">
        <v>0</v>
      </c>
    </row>
    <row r="5" spans="1:26" ht="16.5">
      <c r="A5" s="1"/>
      <c r="B5" s="1">
        <v>2</v>
      </c>
      <c r="C5" s="1">
        <v>300</v>
      </c>
      <c r="D5" s="13">
        <v>3</v>
      </c>
      <c r="E5" s="14">
        <v>10</v>
      </c>
      <c r="F5" s="14">
        <v>1</v>
      </c>
      <c r="G5" s="1">
        <v>0</v>
      </c>
      <c r="H5" s="1">
        <v>0</v>
      </c>
      <c r="I5" s="1">
        <v>0</v>
      </c>
      <c r="J5" s="19">
        <v>1</v>
      </c>
      <c r="K5" s="19">
        <v>1</v>
      </c>
      <c r="L5" s="19">
        <v>0</v>
      </c>
      <c r="M5" s="1">
        <v>0</v>
      </c>
      <c r="N5" s="1">
        <v>52</v>
      </c>
      <c r="O5" s="24">
        <v>0</v>
      </c>
      <c r="P5" s="7">
        <v>0</v>
      </c>
      <c r="Q5" s="1">
        <v>2</v>
      </c>
      <c r="R5" s="7">
        <v>1</v>
      </c>
      <c r="S5" s="7">
        <v>1</v>
      </c>
      <c r="T5" s="1">
        <v>1</v>
      </c>
      <c r="U5" s="1">
        <v>30</v>
      </c>
      <c r="V5" s="1">
        <v>10</v>
      </c>
      <c r="W5" s="1">
        <v>1</v>
      </c>
      <c r="X5" s="1">
        <v>0</v>
      </c>
      <c r="Y5" s="1">
        <v>0</v>
      </c>
      <c r="Z5" s="1">
        <v>0</v>
      </c>
    </row>
    <row r="6" spans="1:26" ht="16.5">
      <c r="A6" s="1"/>
      <c r="B6" s="1">
        <v>3</v>
      </c>
      <c r="C6" s="1">
        <v>600</v>
      </c>
      <c r="D6" s="13">
        <v>4</v>
      </c>
      <c r="E6" s="14">
        <v>15</v>
      </c>
      <c r="F6" s="14">
        <v>1</v>
      </c>
      <c r="G6" s="1">
        <v>0</v>
      </c>
      <c r="H6" s="1">
        <v>0</v>
      </c>
      <c r="I6" s="1">
        <v>0</v>
      </c>
      <c r="J6" s="19">
        <v>1</v>
      </c>
      <c r="K6" s="19">
        <v>1</v>
      </c>
      <c r="L6" s="19">
        <v>0</v>
      </c>
      <c r="M6" s="1">
        <v>0</v>
      </c>
      <c r="N6" s="5">
        <v>53</v>
      </c>
      <c r="O6" s="1">
        <v>0</v>
      </c>
      <c r="P6" s="7">
        <v>0</v>
      </c>
      <c r="Q6" s="1">
        <v>2</v>
      </c>
      <c r="R6" s="7">
        <v>1</v>
      </c>
      <c r="S6" s="7">
        <v>2</v>
      </c>
      <c r="T6" s="1">
        <v>2</v>
      </c>
      <c r="U6" s="1">
        <v>40</v>
      </c>
      <c r="V6" s="1">
        <v>15</v>
      </c>
      <c r="W6" s="1">
        <v>2</v>
      </c>
      <c r="X6" s="1">
        <v>0</v>
      </c>
      <c r="Y6" s="1">
        <v>0</v>
      </c>
      <c r="Z6" s="1">
        <v>0</v>
      </c>
    </row>
    <row r="7" spans="1:26" ht="16.5">
      <c r="A7" s="1"/>
      <c r="B7" s="1">
        <v>4</v>
      </c>
      <c r="C7" s="1">
        <v>1000</v>
      </c>
      <c r="D7" s="13">
        <v>5</v>
      </c>
      <c r="E7" s="14">
        <v>20</v>
      </c>
      <c r="F7" s="14">
        <v>1</v>
      </c>
      <c r="G7" s="1">
        <v>0</v>
      </c>
      <c r="H7" s="1">
        <v>0</v>
      </c>
      <c r="I7" s="1">
        <v>1</v>
      </c>
      <c r="J7" s="19">
        <v>1</v>
      </c>
      <c r="K7" s="19">
        <v>1</v>
      </c>
      <c r="L7" s="19">
        <v>0</v>
      </c>
      <c r="M7" s="1">
        <v>0</v>
      </c>
      <c r="N7" s="1">
        <v>54</v>
      </c>
      <c r="O7" s="24">
        <v>0</v>
      </c>
      <c r="P7" s="7">
        <v>0</v>
      </c>
      <c r="Q7" s="1">
        <v>2</v>
      </c>
      <c r="R7" s="7">
        <v>2</v>
      </c>
      <c r="S7" s="7">
        <v>2</v>
      </c>
      <c r="T7" s="1">
        <v>2</v>
      </c>
      <c r="U7" s="1">
        <v>40</v>
      </c>
      <c r="V7" s="1">
        <v>20</v>
      </c>
      <c r="W7" s="1">
        <v>3</v>
      </c>
      <c r="X7" s="1">
        <v>0</v>
      </c>
      <c r="Y7" s="1">
        <v>0</v>
      </c>
      <c r="Z7" s="1">
        <v>0</v>
      </c>
    </row>
    <row r="8" spans="1:26" ht="16.5">
      <c r="A8" s="1"/>
      <c r="B8" s="1">
        <v>5</v>
      </c>
      <c r="C8" s="1">
        <v>2000</v>
      </c>
      <c r="D8" s="13">
        <v>6</v>
      </c>
      <c r="E8" s="14">
        <v>25</v>
      </c>
      <c r="F8" s="14">
        <v>2</v>
      </c>
      <c r="G8" s="1">
        <v>0</v>
      </c>
      <c r="H8" s="1">
        <v>0</v>
      </c>
      <c r="I8" s="1">
        <v>2</v>
      </c>
      <c r="J8" s="19">
        <v>1</v>
      </c>
      <c r="K8" s="19">
        <v>2</v>
      </c>
      <c r="L8" s="19">
        <v>0</v>
      </c>
      <c r="M8" s="1">
        <v>0</v>
      </c>
      <c r="N8" s="5">
        <v>55</v>
      </c>
      <c r="O8" s="1">
        <v>0</v>
      </c>
      <c r="P8" s="7">
        <v>0</v>
      </c>
      <c r="Q8" s="1">
        <v>2</v>
      </c>
      <c r="R8" s="7">
        <v>2</v>
      </c>
      <c r="S8" s="7">
        <v>3</v>
      </c>
      <c r="T8" s="1">
        <v>2</v>
      </c>
      <c r="U8" s="1">
        <v>40</v>
      </c>
      <c r="V8" s="1">
        <v>20</v>
      </c>
      <c r="W8" s="1">
        <v>4</v>
      </c>
      <c r="X8" s="1">
        <v>0</v>
      </c>
      <c r="Y8" s="1">
        <v>0</v>
      </c>
      <c r="Z8" s="1">
        <v>0</v>
      </c>
    </row>
    <row r="9" spans="1:26" ht="16.5">
      <c r="A9" s="1"/>
      <c r="B9" s="1">
        <v>6</v>
      </c>
      <c r="C9" s="1">
        <v>3000</v>
      </c>
      <c r="D9" s="13">
        <v>7</v>
      </c>
      <c r="E9" s="14">
        <v>30</v>
      </c>
      <c r="F9" s="14">
        <v>2</v>
      </c>
      <c r="G9" s="1">
        <v>0</v>
      </c>
      <c r="H9" s="1">
        <v>0</v>
      </c>
      <c r="I9" s="1">
        <v>3</v>
      </c>
      <c r="J9" s="19">
        <v>1</v>
      </c>
      <c r="K9" s="19">
        <v>2</v>
      </c>
      <c r="L9" s="19">
        <v>0</v>
      </c>
      <c r="M9" s="1">
        <v>0</v>
      </c>
      <c r="N9" s="1">
        <v>56</v>
      </c>
      <c r="O9" s="24">
        <v>0</v>
      </c>
      <c r="P9" s="7">
        <v>0</v>
      </c>
      <c r="Q9" s="1">
        <v>2</v>
      </c>
      <c r="R9" s="7">
        <v>3</v>
      </c>
      <c r="S9" s="7">
        <v>3</v>
      </c>
      <c r="T9" s="1">
        <v>3</v>
      </c>
      <c r="U9" s="1">
        <v>40</v>
      </c>
      <c r="V9" s="1">
        <v>20</v>
      </c>
      <c r="W9" s="1">
        <v>5</v>
      </c>
      <c r="X9" s="1">
        <v>1</v>
      </c>
      <c r="Y9" s="1">
        <v>0</v>
      </c>
      <c r="Z9" s="1">
        <v>0</v>
      </c>
    </row>
    <row r="10" spans="1:26" ht="16.5">
      <c r="A10" s="1"/>
      <c r="B10" s="1">
        <v>7</v>
      </c>
      <c r="C10" s="1">
        <v>5000</v>
      </c>
      <c r="D10" s="13">
        <v>8</v>
      </c>
      <c r="E10" s="14">
        <v>35</v>
      </c>
      <c r="F10" s="14">
        <v>2</v>
      </c>
      <c r="G10" s="1">
        <v>0</v>
      </c>
      <c r="H10" s="1">
        <v>0</v>
      </c>
      <c r="I10" s="1">
        <v>4</v>
      </c>
      <c r="J10" s="19">
        <v>1</v>
      </c>
      <c r="K10" s="19">
        <v>2</v>
      </c>
      <c r="L10" s="19">
        <v>0</v>
      </c>
      <c r="M10" s="1">
        <v>0</v>
      </c>
      <c r="N10" s="5">
        <v>57</v>
      </c>
      <c r="O10" s="1">
        <v>0</v>
      </c>
      <c r="P10" s="7">
        <v>0</v>
      </c>
      <c r="Q10" s="1">
        <v>2</v>
      </c>
      <c r="R10" s="7">
        <v>4</v>
      </c>
      <c r="S10" s="7">
        <v>3</v>
      </c>
      <c r="T10" s="1">
        <v>3</v>
      </c>
      <c r="U10" s="1">
        <v>40</v>
      </c>
      <c r="V10" s="1">
        <v>20</v>
      </c>
      <c r="W10" s="1">
        <v>6</v>
      </c>
      <c r="X10" s="1">
        <v>2</v>
      </c>
      <c r="Y10" s="1">
        <v>0</v>
      </c>
      <c r="Z10" s="1">
        <v>0</v>
      </c>
    </row>
    <row r="11" spans="1:26" ht="16.5">
      <c r="A11" s="1"/>
      <c r="B11" s="1">
        <v>8</v>
      </c>
      <c r="C11" s="1">
        <v>7000</v>
      </c>
      <c r="D11" s="13">
        <v>9</v>
      </c>
      <c r="E11" s="14">
        <v>40</v>
      </c>
      <c r="F11" s="14">
        <v>3</v>
      </c>
      <c r="G11" s="1">
        <v>0</v>
      </c>
      <c r="H11" s="1">
        <v>0</v>
      </c>
      <c r="I11" s="1">
        <v>5</v>
      </c>
      <c r="J11" s="19">
        <v>1</v>
      </c>
      <c r="K11" s="19">
        <v>2</v>
      </c>
      <c r="L11" s="19">
        <v>0</v>
      </c>
      <c r="M11" s="1">
        <v>0</v>
      </c>
      <c r="N11" s="1">
        <v>58</v>
      </c>
      <c r="O11" s="24">
        <v>0</v>
      </c>
      <c r="P11" s="7">
        <v>0</v>
      </c>
      <c r="Q11" s="1">
        <v>2</v>
      </c>
      <c r="R11" s="7">
        <v>5</v>
      </c>
      <c r="S11" s="7">
        <v>4</v>
      </c>
      <c r="T11" s="1">
        <v>3</v>
      </c>
      <c r="U11" s="1">
        <v>40</v>
      </c>
      <c r="V11" s="1">
        <v>20</v>
      </c>
      <c r="W11" s="1">
        <v>8</v>
      </c>
      <c r="X11" s="1">
        <v>3</v>
      </c>
      <c r="Y11" s="1">
        <v>0</v>
      </c>
      <c r="Z11" s="1">
        <v>0</v>
      </c>
    </row>
    <row r="12" spans="1:26" ht="16.5">
      <c r="A12" s="1"/>
      <c r="B12" s="1">
        <v>9</v>
      </c>
      <c r="C12" s="1">
        <v>10000</v>
      </c>
      <c r="D12" s="13">
        <v>10</v>
      </c>
      <c r="E12" s="14">
        <v>45</v>
      </c>
      <c r="F12" s="14">
        <v>3</v>
      </c>
      <c r="G12" s="1">
        <v>0</v>
      </c>
      <c r="H12" s="1">
        <v>0</v>
      </c>
      <c r="I12" s="1">
        <v>6</v>
      </c>
      <c r="J12" s="19">
        <v>1</v>
      </c>
      <c r="K12" s="19">
        <v>3</v>
      </c>
      <c r="L12" s="19">
        <v>0</v>
      </c>
      <c r="M12" s="1">
        <v>0</v>
      </c>
      <c r="N12" s="5">
        <v>59</v>
      </c>
      <c r="O12" s="1">
        <v>0</v>
      </c>
      <c r="P12" s="7">
        <v>0</v>
      </c>
      <c r="Q12" s="1">
        <v>2</v>
      </c>
      <c r="R12" s="7">
        <v>9</v>
      </c>
      <c r="S12" s="7">
        <v>4</v>
      </c>
      <c r="T12" s="1">
        <v>4</v>
      </c>
      <c r="U12" s="1">
        <v>40</v>
      </c>
      <c r="V12" s="1">
        <v>20</v>
      </c>
      <c r="W12" s="1">
        <v>8</v>
      </c>
      <c r="X12" s="1">
        <v>4</v>
      </c>
      <c r="Y12" s="1">
        <v>0</v>
      </c>
      <c r="Z12" s="1">
        <v>0</v>
      </c>
    </row>
    <row r="13" spans="1:26" ht="16.5">
      <c r="A13" s="1"/>
      <c r="B13" s="1">
        <v>10</v>
      </c>
      <c r="C13" s="1">
        <v>15000</v>
      </c>
      <c r="D13" s="13">
        <v>11</v>
      </c>
      <c r="E13" s="14">
        <v>50</v>
      </c>
      <c r="F13" s="14">
        <v>3</v>
      </c>
      <c r="G13" s="1">
        <v>0</v>
      </c>
      <c r="H13" s="1">
        <v>0</v>
      </c>
      <c r="I13" s="1">
        <v>7</v>
      </c>
      <c r="J13" s="19">
        <v>1</v>
      </c>
      <c r="K13" s="19">
        <v>3</v>
      </c>
      <c r="L13" s="19">
        <v>0</v>
      </c>
      <c r="M13" s="1">
        <v>0</v>
      </c>
      <c r="N13" s="1">
        <v>60</v>
      </c>
      <c r="O13" s="24">
        <v>0</v>
      </c>
      <c r="P13" s="7">
        <v>0</v>
      </c>
      <c r="Q13" s="1">
        <v>2</v>
      </c>
      <c r="R13" s="7">
        <v>7</v>
      </c>
      <c r="S13" s="7">
        <v>4</v>
      </c>
      <c r="T13" s="1">
        <v>4</v>
      </c>
      <c r="U13" s="1">
        <v>40</v>
      </c>
      <c r="V13" s="1">
        <v>20</v>
      </c>
      <c r="W13" s="1">
        <v>8</v>
      </c>
      <c r="X13" s="1">
        <v>5</v>
      </c>
      <c r="Y13" s="1">
        <v>1</v>
      </c>
      <c r="Z13" s="1">
        <v>0</v>
      </c>
    </row>
    <row r="14" spans="1:26" ht="16.5">
      <c r="A14" s="1"/>
      <c r="B14" s="1">
        <v>11</v>
      </c>
      <c r="C14" s="1">
        <v>20000</v>
      </c>
      <c r="D14" s="13">
        <v>12</v>
      </c>
      <c r="E14" s="14">
        <v>55</v>
      </c>
      <c r="F14" s="14">
        <v>4</v>
      </c>
      <c r="G14" s="1">
        <v>0</v>
      </c>
      <c r="H14" s="1">
        <v>0</v>
      </c>
      <c r="I14" s="1">
        <v>8</v>
      </c>
      <c r="J14" s="19">
        <v>1</v>
      </c>
      <c r="K14" s="19">
        <v>3</v>
      </c>
      <c r="L14" s="19">
        <v>0</v>
      </c>
      <c r="M14" s="1">
        <v>0</v>
      </c>
      <c r="N14" s="5">
        <v>61</v>
      </c>
      <c r="O14" s="1">
        <v>0</v>
      </c>
      <c r="P14" s="7">
        <v>0</v>
      </c>
      <c r="Q14" s="1">
        <v>2</v>
      </c>
      <c r="R14" s="7">
        <v>8</v>
      </c>
      <c r="S14" s="7">
        <v>4</v>
      </c>
      <c r="T14" s="1">
        <v>4</v>
      </c>
      <c r="U14" s="1">
        <v>40</v>
      </c>
      <c r="V14" s="1">
        <v>20</v>
      </c>
      <c r="W14" s="1">
        <v>8</v>
      </c>
      <c r="X14" s="1">
        <v>5</v>
      </c>
      <c r="Y14" s="1">
        <v>2</v>
      </c>
      <c r="Z14" s="1">
        <v>0</v>
      </c>
    </row>
    <row r="15" spans="1:26" ht="16.5">
      <c r="A15" s="1"/>
      <c r="B15" s="1">
        <v>12</v>
      </c>
      <c r="C15" s="1">
        <v>30000</v>
      </c>
      <c r="D15" s="13">
        <v>13</v>
      </c>
      <c r="E15" s="14">
        <v>60</v>
      </c>
      <c r="F15" s="14">
        <v>4</v>
      </c>
      <c r="G15" s="1">
        <v>0</v>
      </c>
      <c r="H15" s="1">
        <v>0</v>
      </c>
      <c r="I15" s="1">
        <v>9</v>
      </c>
      <c r="J15" s="19">
        <v>1</v>
      </c>
      <c r="K15" s="19">
        <v>3</v>
      </c>
      <c r="L15" s="19">
        <v>0</v>
      </c>
      <c r="M15" s="1">
        <v>0</v>
      </c>
      <c r="N15" s="1">
        <v>62</v>
      </c>
      <c r="O15" s="24">
        <v>0</v>
      </c>
      <c r="P15" s="7">
        <v>0</v>
      </c>
      <c r="Q15" s="1">
        <v>2</v>
      </c>
      <c r="R15" s="7">
        <v>9</v>
      </c>
      <c r="S15" s="7">
        <v>5</v>
      </c>
      <c r="T15" s="1">
        <v>5</v>
      </c>
      <c r="U15" s="1">
        <v>40</v>
      </c>
      <c r="V15" s="1">
        <v>20</v>
      </c>
      <c r="W15" s="1">
        <v>8</v>
      </c>
      <c r="X15" s="1">
        <v>5</v>
      </c>
      <c r="Y15" s="1">
        <v>3</v>
      </c>
      <c r="Z15" s="1">
        <v>0</v>
      </c>
    </row>
    <row r="16" spans="1:26" ht="16.5">
      <c r="A16" s="1"/>
      <c r="B16" s="1">
        <v>13</v>
      </c>
      <c r="C16" s="1">
        <v>60000</v>
      </c>
      <c r="D16" s="13">
        <v>14</v>
      </c>
      <c r="E16" s="14">
        <v>70</v>
      </c>
      <c r="F16" s="14">
        <v>4</v>
      </c>
      <c r="G16" s="1">
        <v>0</v>
      </c>
      <c r="H16" s="1">
        <v>0</v>
      </c>
      <c r="I16" s="1">
        <v>10</v>
      </c>
      <c r="J16" s="19">
        <v>1</v>
      </c>
      <c r="K16" s="19">
        <v>3</v>
      </c>
      <c r="L16" s="19">
        <v>0</v>
      </c>
      <c r="M16" s="1">
        <v>0</v>
      </c>
      <c r="N16" s="5">
        <v>63</v>
      </c>
      <c r="O16" s="1">
        <v>0</v>
      </c>
      <c r="P16" s="7">
        <v>0</v>
      </c>
      <c r="Q16" s="1">
        <v>2</v>
      </c>
      <c r="R16" s="7">
        <v>10</v>
      </c>
      <c r="S16" s="7">
        <v>5</v>
      </c>
      <c r="T16" s="1">
        <v>5</v>
      </c>
      <c r="U16" s="1">
        <v>40</v>
      </c>
      <c r="V16" s="1">
        <v>20</v>
      </c>
      <c r="W16" s="1">
        <v>8</v>
      </c>
      <c r="X16" s="1">
        <v>5</v>
      </c>
      <c r="Y16" s="1">
        <v>4</v>
      </c>
      <c r="Z16" s="1">
        <v>1</v>
      </c>
    </row>
    <row r="17" spans="1:26" ht="16.5">
      <c r="A17" s="1"/>
      <c r="B17" s="1">
        <v>14</v>
      </c>
      <c r="C17" s="1">
        <v>120000</v>
      </c>
      <c r="D17" s="13">
        <v>15</v>
      </c>
      <c r="E17" s="14">
        <v>80</v>
      </c>
      <c r="F17" s="14">
        <v>5</v>
      </c>
      <c r="G17" s="1">
        <v>0</v>
      </c>
      <c r="H17" s="1">
        <v>0</v>
      </c>
      <c r="I17" s="1">
        <v>11</v>
      </c>
      <c r="J17" s="19">
        <v>1</v>
      </c>
      <c r="K17" s="19">
        <v>3</v>
      </c>
      <c r="L17" s="19">
        <v>0</v>
      </c>
      <c r="M17" s="1">
        <v>0</v>
      </c>
      <c r="N17" s="1">
        <v>64</v>
      </c>
      <c r="O17" s="24">
        <v>0</v>
      </c>
      <c r="P17" s="7">
        <v>0</v>
      </c>
      <c r="Q17" s="1">
        <v>2</v>
      </c>
      <c r="R17" s="7">
        <v>11</v>
      </c>
      <c r="S17" s="7">
        <v>5</v>
      </c>
      <c r="T17" s="1">
        <v>5</v>
      </c>
      <c r="U17" s="1">
        <v>40</v>
      </c>
      <c r="V17" s="1">
        <v>20</v>
      </c>
      <c r="W17" s="1">
        <v>8</v>
      </c>
      <c r="X17" s="1">
        <v>5</v>
      </c>
      <c r="Y17" s="1">
        <v>4</v>
      </c>
      <c r="Z17" s="1">
        <v>2</v>
      </c>
    </row>
    <row r="18" spans="1:26" ht="16.5">
      <c r="A18" s="1"/>
      <c r="B18" s="1">
        <v>15</v>
      </c>
      <c r="C18" s="1">
        <v>200000</v>
      </c>
      <c r="D18" s="13">
        <v>16</v>
      </c>
      <c r="E18" s="14">
        <v>90</v>
      </c>
      <c r="F18" s="14">
        <v>5</v>
      </c>
      <c r="G18" s="1">
        <v>0</v>
      </c>
      <c r="H18" s="1">
        <v>0</v>
      </c>
      <c r="I18" s="1">
        <v>12</v>
      </c>
      <c r="J18" s="19">
        <v>1</v>
      </c>
      <c r="K18" s="19">
        <v>3</v>
      </c>
      <c r="L18" s="19">
        <v>0</v>
      </c>
      <c r="M18" s="1">
        <v>0</v>
      </c>
      <c r="N18" s="5">
        <v>65</v>
      </c>
      <c r="O18" s="1">
        <v>0</v>
      </c>
      <c r="P18" s="7">
        <v>0</v>
      </c>
      <c r="Q18" s="1">
        <v>2</v>
      </c>
      <c r="R18" s="7">
        <v>12</v>
      </c>
      <c r="S18" s="7">
        <v>6</v>
      </c>
      <c r="T18" s="1">
        <v>6</v>
      </c>
      <c r="U18" s="1">
        <v>40</v>
      </c>
      <c r="V18" s="1">
        <v>20</v>
      </c>
      <c r="W18" s="1">
        <v>8</v>
      </c>
      <c r="X18" s="1">
        <v>5</v>
      </c>
      <c r="Y18" s="1">
        <v>4</v>
      </c>
      <c r="Z18" s="1">
        <v>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K8"/>
  <sheetViews>
    <sheetView workbookViewId="0">
      <selection activeCell="F8" sqref="F8"/>
    </sheetView>
  </sheetViews>
  <sheetFormatPr defaultRowHeight="13.5"/>
  <cols>
    <col min="6" max="6" width="12.75" bestFit="1" customWidth="1"/>
    <col min="7" max="7" width="13.5" bestFit="1" customWidth="1"/>
    <col min="9" max="9" width="10.5" bestFit="1" customWidth="1"/>
    <col min="10" max="10" width="20" bestFit="1" customWidth="1"/>
  </cols>
  <sheetData>
    <row r="1" spans="1:11">
      <c r="A1" t="s">
        <v>56</v>
      </c>
      <c r="B1" t="s">
        <v>57</v>
      </c>
      <c r="C1" s="2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</row>
    <row r="2" spans="1:11">
      <c r="A2" t="s">
        <v>67</v>
      </c>
      <c r="B2" s="10" t="s">
        <v>68</v>
      </c>
      <c r="C2" s="22" t="s">
        <v>69</v>
      </c>
      <c r="D2" s="10" t="s">
        <v>35</v>
      </c>
      <c r="E2" s="10" t="s">
        <v>36</v>
      </c>
      <c r="F2" s="10" t="s">
        <v>37</v>
      </c>
      <c r="G2" s="10" t="s">
        <v>38</v>
      </c>
      <c r="H2" s="10" t="s">
        <v>39</v>
      </c>
      <c r="I2" s="10" t="s">
        <v>40</v>
      </c>
      <c r="J2" s="10" t="s">
        <v>41</v>
      </c>
      <c r="K2" s="25" t="s">
        <v>70</v>
      </c>
    </row>
    <row r="3" spans="1:11" ht="16.5">
      <c r="B3" s="11">
        <v>1</v>
      </c>
      <c r="C3" s="11" t="s">
        <v>71</v>
      </c>
      <c r="D3" s="11">
        <v>64800</v>
      </c>
      <c r="E3" s="11">
        <v>6480</v>
      </c>
      <c r="F3" s="11">
        <v>0</v>
      </c>
      <c r="G3" s="12"/>
      <c r="H3" s="9"/>
      <c r="I3" s="11">
        <v>1</v>
      </c>
      <c r="J3" s="15" t="s">
        <v>55</v>
      </c>
      <c r="K3" s="11" t="s">
        <v>72</v>
      </c>
    </row>
    <row r="4" spans="1:11" ht="16.5">
      <c r="B4" s="11">
        <v>2</v>
      </c>
      <c r="C4" s="11" t="s">
        <v>71</v>
      </c>
      <c r="D4" s="11">
        <v>32800</v>
      </c>
      <c r="E4" s="11">
        <v>3280</v>
      </c>
      <c r="F4" s="11">
        <v>0</v>
      </c>
      <c r="G4" s="12"/>
      <c r="H4" s="9"/>
      <c r="I4" s="11">
        <v>1</v>
      </c>
      <c r="J4" s="15" t="s">
        <v>54</v>
      </c>
      <c r="K4" s="11" t="s">
        <v>73</v>
      </c>
    </row>
    <row r="5" spans="1:11" ht="16.5">
      <c r="B5" s="11">
        <v>3</v>
      </c>
      <c r="C5" s="11" t="s">
        <v>71</v>
      </c>
      <c r="D5" s="11">
        <v>19800</v>
      </c>
      <c r="E5" s="11">
        <v>1980</v>
      </c>
      <c r="F5" s="11">
        <v>0</v>
      </c>
      <c r="G5" s="12"/>
      <c r="H5" s="9"/>
      <c r="I5" s="11">
        <v>0</v>
      </c>
      <c r="J5" s="15" t="s">
        <v>53</v>
      </c>
      <c r="K5" s="11" t="s">
        <v>74</v>
      </c>
    </row>
    <row r="6" spans="1:11" ht="16.5">
      <c r="B6" s="11">
        <v>4</v>
      </c>
      <c r="C6" s="11" t="s">
        <v>71</v>
      </c>
      <c r="D6" s="11">
        <v>9800</v>
      </c>
      <c r="E6" s="11">
        <v>980</v>
      </c>
      <c r="F6" s="11">
        <v>0</v>
      </c>
      <c r="G6" s="12"/>
      <c r="H6" s="9"/>
      <c r="I6" s="11">
        <v>0</v>
      </c>
      <c r="J6" s="15" t="s">
        <v>75</v>
      </c>
      <c r="K6" s="11" t="s">
        <v>76</v>
      </c>
    </row>
    <row r="7" spans="1:11" ht="16.5">
      <c r="B7" s="11">
        <v>5</v>
      </c>
      <c r="C7" s="11" t="s">
        <v>71</v>
      </c>
      <c r="D7" s="11">
        <v>3000</v>
      </c>
      <c r="E7" s="11">
        <v>300</v>
      </c>
      <c r="F7" s="11">
        <v>0</v>
      </c>
      <c r="G7" s="12"/>
      <c r="H7" s="9"/>
      <c r="I7" s="11">
        <v>0</v>
      </c>
      <c r="J7" s="15" t="s">
        <v>52</v>
      </c>
      <c r="K7" s="11" t="s">
        <v>77</v>
      </c>
    </row>
    <row r="8" spans="1:11" ht="16.5">
      <c r="B8" s="11">
        <v>6</v>
      </c>
      <c r="C8" s="11" t="s">
        <v>71</v>
      </c>
      <c r="D8" s="11">
        <v>600</v>
      </c>
      <c r="E8" s="11">
        <v>60</v>
      </c>
      <c r="F8" s="11">
        <v>0</v>
      </c>
      <c r="G8" s="12"/>
      <c r="H8" s="9"/>
      <c r="I8" s="11">
        <v>0</v>
      </c>
      <c r="J8" s="15" t="s">
        <v>51</v>
      </c>
      <c r="K8" s="11" t="s">
        <v>78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VipPrivilegestate</vt:lpstr>
      <vt:lpstr>VipPrivilege</vt:lpstr>
      <vt:lpstr>Recharge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2016-04-25T08:05:51Z</dcterms:modified>
</cp:coreProperties>
</file>