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0" yWindow="0" windowWidth="28695" windowHeight="13665"/>
  </bookViews>
  <sheets>
    <sheet name="GoodsAttr" sheetId="1" r:id="rId1"/>
    <sheet name="GoodsUse" sheetId="2" r:id="rId2"/>
    <sheet name="GoodsComposite" sheetId="3" r:id="rId3"/>
    <sheet name="Equipment" sheetId="4" r:id="rId4"/>
    <sheet name="GoodsCompose" sheetId="5" r:id="rId5"/>
  </sheets>
  <definedNames>
    <definedName name="_xlnm._FilterDatabase" localSheetId="0" hidden="1">GoodsAttr!$A$1:$Z$715</definedName>
  </definedNames>
  <calcPr calcId="124519"/>
</workbook>
</file>

<file path=xl/calcChain.xml><?xml version="1.0" encoding="utf-8"?>
<calcChain xmlns="http://schemas.openxmlformats.org/spreadsheetml/2006/main">
  <c r="S786" i="1"/>
  <c r="S785"/>
  <c r="S784"/>
  <c r="S783"/>
  <c r="S782"/>
  <c r="S781"/>
  <c r="S780"/>
  <c r="S779"/>
  <c r="S778"/>
  <c r="S777"/>
  <c r="S776"/>
  <c r="S775"/>
  <c r="S774"/>
  <c r="S773"/>
  <c r="S772"/>
  <c r="S771"/>
  <c r="S770"/>
  <c r="S769"/>
  <c r="S768"/>
  <c r="S767"/>
  <c r="S766"/>
  <c r="S765"/>
  <c r="S764"/>
  <c r="S763"/>
  <c r="S762"/>
  <c r="S761"/>
  <c r="S760"/>
  <c r="S759"/>
  <c r="S758"/>
  <c r="S757"/>
  <c r="S756"/>
  <c r="S755"/>
  <c r="S754"/>
  <c r="S753"/>
  <c r="S752"/>
  <c r="S751"/>
  <c r="S750"/>
  <c r="S749"/>
  <c r="S748"/>
  <c r="S747"/>
  <c r="S746"/>
  <c r="S745"/>
  <c r="S744"/>
  <c r="S743"/>
  <c r="S742"/>
  <c r="S741"/>
  <c r="S740"/>
  <c r="S739"/>
  <c r="S738"/>
  <c r="S737"/>
  <c r="S736"/>
  <c r="S735"/>
  <c r="S734"/>
  <c r="S733"/>
  <c r="S732"/>
  <c r="S731"/>
  <c r="S730"/>
  <c r="S729"/>
  <c r="S728"/>
  <c r="S727"/>
  <c r="S726"/>
  <c r="S725"/>
  <c r="S724"/>
  <c r="S723"/>
  <c r="S722"/>
  <c r="S721"/>
  <c r="S720"/>
  <c r="S719"/>
  <c r="S718"/>
  <c r="S717"/>
  <c r="S281"/>
  <c r="S280"/>
  <c r="S279"/>
  <c r="S278"/>
  <c r="S277"/>
  <c r="S276"/>
  <c r="S275"/>
  <c r="S274"/>
  <c r="S273"/>
  <c r="S272"/>
  <c r="S271"/>
  <c r="S270"/>
  <c r="S269"/>
  <c r="S268"/>
  <c r="S267"/>
</calcChain>
</file>

<file path=xl/comments1.xml><?xml version="1.0" encoding="utf-8"?>
<comments xmlns="http://schemas.openxmlformats.org/spreadsheetml/2006/main">
  <authors>
    <author>作者</author>
    <author>Administrator</author>
    <author>admin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配置开关（配置为“#”时，此行配置失效）</t>
        </r>
      </text>
    </comment>
    <comment ref="B1" authorId="0">
      <text>
        <r>
          <rPr>
            <sz val="9"/>
            <color indexed="81"/>
            <rFont val="宋体"/>
            <family val="3"/>
            <charset val="134"/>
          </rPr>
          <t>物品ID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物品名称</t>
        </r>
      </text>
    </comment>
    <comment ref="D1" authorId="0">
      <text>
        <r>
          <rPr>
            <sz val="9"/>
            <color indexed="81"/>
            <rFont val="宋体"/>
            <family val="3"/>
            <charset val="134"/>
          </rPr>
          <t>显示图标,命名中不能有大写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 xml:space="preserve">Administrator:
TIPS
</t>
        </r>
      </text>
    </comment>
    <comment ref="F1" authorId="1">
      <text>
        <r>
          <rPr>
            <sz val="9"/>
            <color indexed="81"/>
            <rFont val="宋体"/>
            <family val="3"/>
            <charset val="134"/>
          </rPr>
          <t>Administrator:
背包左侧显示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物品类型
1 货币
2 花式动作（技能）
3 球员碎片
4 消耗品
5 装备
6 时装
7 技能（训练）
8 暂定
9 球员
10 涂鸦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 xml:space="preserve">1 货币
2 花式动作（技能）
3 球员碎片
4 消耗品 
   1， 礼包
   2， 宝箱
   3， 经验道具
   4， 纪念币
   5， 技能道具
   6， 进阶卡
   7， 杂物
   8.  涂鸦喷漆
5 装备
   1、 头部
   2、 衣服
   3、 手腕
   4、 裤子
   5、 鞋子
   6、 装备碎片
6 时装 
   1、 头部
   2、 衣服
   3、 裤子
   4、 鞋子
   5、 背部
   6、 套装
7 技能（训练）
8 暂定 无
9 球员 无
10 涂鸦 </t>
        </r>
      </text>
    </comment>
    <comment ref="I1" authorId="0">
      <text>
        <r>
          <rPr>
            <sz val="9"/>
            <color indexed="81"/>
            <rFont val="宋体"/>
            <family val="3"/>
            <charset val="134"/>
          </rPr>
          <t xml:space="preserve">性别
0：通用
1：男
2：女
</t>
        </r>
      </text>
    </comment>
    <comment ref="J1" authorId="0">
      <text>
        <r>
          <rPr>
            <sz val="9"/>
            <color indexed="81"/>
            <rFont val="宋体"/>
            <family val="3"/>
            <charset val="134"/>
          </rPr>
          <t xml:space="preserve">套装ID，为4为数字，不是套装的不用填写
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>套装属性加成
配置格式：
：分割属性ID和属性值
&amp; 分割多条属性
| 分割套装件数，第一个默认为两件套装时的属性，且后面的套装属性只填写新增属性</t>
        </r>
      </text>
    </comment>
    <comment ref="M1" authorId="0">
      <text>
        <r>
          <rPr>
            <sz val="9"/>
            <color indexed="81"/>
            <rFont val="宋体"/>
            <family val="3"/>
            <charset val="134"/>
          </rPr>
          <t>物品品质</t>
        </r>
      </text>
    </comment>
    <comment ref="N1" authorId="0">
      <text>
        <r>
          <rPr>
            <sz val="9"/>
            <color indexed="81"/>
            <rFont val="宋体"/>
            <family val="3"/>
            <charset val="134"/>
          </rPr>
          <t>叠加数量
除资产外，其他物品最大数量9999</t>
        </r>
      </text>
    </comment>
    <comment ref="O1" authorId="0">
      <text>
        <r>
          <rPr>
            <sz val="9"/>
            <color indexed="81"/>
            <rFont val="宋体"/>
            <family val="3"/>
            <charset val="134"/>
          </rPr>
          <t>可否使用</t>
        </r>
      </text>
    </comment>
    <comment ref="P1" authorId="0">
      <text>
        <r>
          <rPr>
            <sz val="9"/>
            <color indexed="81"/>
            <rFont val="宋体"/>
            <family val="3"/>
            <charset val="134"/>
          </rPr>
          <t>使用结果ID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>可否出售</t>
        </r>
      </text>
    </comment>
    <comment ref="R1" authorId="0">
      <text>
        <r>
          <rPr>
            <sz val="9"/>
            <color indexed="81"/>
            <rFont val="宋体"/>
            <family val="3"/>
            <charset val="134"/>
          </rPr>
          <t xml:space="preserve">出售可获得的物品ID
</t>
        </r>
      </text>
    </comment>
    <comment ref="S1" authorId="0">
      <text>
        <r>
          <rPr>
            <sz val="9"/>
            <color indexed="81"/>
            <rFont val="宋体"/>
            <family val="3"/>
            <charset val="134"/>
          </rPr>
          <t>出售可获得的物品数量</t>
        </r>
      </text>
    </comment>
    <comment ref="T1" authorId="2">
      <text>
        <r>
          <rPr>
            <sz val="9"/>
            <color indexed="81"/>
            <rFont val="宋体"/>
            <family val="3"/>
            <charset val="134"/>
          </rPr>
          <t xml:space="preserve">1为生涯
2为斗牛
</t>
        </r>
      </text>
    </comment>
    <comment ref="V1" authorId="1">
      <text>
        <r>
          <rPr>
            <sz val="9"/>
            <color indexed="81"/>
            <rFont val="宋体"/>
            <family val="3"/>
            <charset val="134"/>
          </rPr>
          <t>Administrator:
环绕特效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admin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使用结果ID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需要的背包空位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新物品的类型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 xml:space="preserve">新物品ID
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>获得几率(万分之几)</t>
        </r>
      </text>
    </comment>
    <comment ref="F1" authorId="1">
      <text>
        <r>
          <rPr>
            <sz val="9"/>
            <color indexed="81"/>
            <rFont val="宋体"/>
            <family val="3"/>
            <charset val="134"/>
          </rPr>
          <t>最小数量</t>
        </r>
      </text>
    </comment>
    <comment ref="G1" authorId="1">
      <text>
        <r>
          <rPr>
            <sz val="9"/>
            <color indexed="81"/>
            <rFont val="宋体"/>
            <family val="3"/>
            <charset val="134"/>
          </rPr>
          <t>最大数量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>新物品的类型</t>
        </r>
      </text>
    </comment>
    <comment ref="I1" authorId="1">
      <text>
        <r>
          <rPr>
            <sz val="9"/>
            <color indexed="81"/>
            <rFont val="宋体"/>
            <family val="3"/>
            <charset val="134"/>
          </rPr>
          <t xml:space="preserve">新物品ID
</t>
        </r>
      </text>
    </comment>
    <comment ref="J1" authorId="1">
      <text>
        <r>
          <rPr>
            <sz val="9"/>
            <color indexed="81"/>
            <rFont val="宋体"/>
            <family val="3"/>
            <charset val="134"/>
          </rPr>
          <t>获得几率</t>
        </r>
      </text>
    </comment>
    <comment ref="K1" authorId="1">
      <text>
        <r>
          <rPr>
            <sz val="9"/>
            <color indexed="81"/>
            <rFont val="宋体"/>
            <family val="3"/>
            <charset val="134"/>
          </rPr>
          <t>最小数量</t>
        </r>
      </text>
    </comment>
    <comment ref="L1" authorId="1">
      <text>
        <r>
          <rPr>
            <sz val="9"/>
            <color indexed="81"/>
            <rFont val="宋体"/>
            <family val="3"/>
            <charset val="134"/>
          </rPr>
          <t>最大数量</t>
        </r>
      </text>
    </comment>
  </commentList>
</comments>
</file>

<file path=xl/comments3.xml><?xml version="1.0" encoding="utf-8"?>
<comments xmlns="http://schemas.openxmlformats.org/spreadsheetml/2006/main">
  <authors>
    <author>作者</author>
    <author>admin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原始物品ID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原始物品数量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目标物品ID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>目标物品数量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>合成所需金币</t>
        </r>
      </text>
    </comment>
  </commentList>
</comments>
</file>

<file path=xl/comments4.xml><?xml version="1.0" encoding="utf-8"?>
<comments xmlns="http://schemas.openxmlformats.org/spreadsheetml/2006/main">
  <authors>
    <author>admin</author>
    <author>作者</author>
    <author>Administrator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配置开关（配置为“#”时，此行配置失效）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装备ID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装备等级</t>
        </r>
      </text>
    </comment>
    <comment ref="D1" authorId="0">
      <text>
        <r>
          <rPr>
            <sz val="9"/>
            <color indexed="81"/>
            <rFont val="宋体"/>
            <family val="3"/>
            <charset val="134"/>
          </rPr>
          <t>属性加成</t>
        </r>
      </text>
    </comment>
    <comment ref="E1" authorId="2">
      <text>
        <r>
          <rPr>
            <sz val="9"/>
            <color indexed="81"/>
            <rFont val="宋体"/>
            <family val="3"/>
            <charset val="134"/>
          </rPr>
          <t>强化等级
调整为：强化时受队伍等级的限制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强化消耗金币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出售价格</t>
        </r>
      </text>
    </comment>
  </commentList>
</comments>
</file>

<file path=xl/sharedStrings.xml><?xml version="1.0" encoding="utf-8"?>
<sst xmlns="http://schemas.openxmlformats.org/spreadsheetml/2006/main" count="5871" uniqueCount="4197">
  <si>
    <t>switch</t>
  </si>
  <si>
    <t>id</t>
  </si>
  <si>
    <t>name</t>
  </si>
  <si>
    <t>icon</t>
  </si>
  <si>
    <t>purpose</t>
  </si>
  <si>
    <t>intro</t>
  </si>
  <si>
    <t>category</t>
  </si>
  <si>
    <t>sub_category</t>
  </si>
  <si>
    <t>gender</t>
  </si>
  <si>
    <t>suit_id</t>
  </si>
  <si>
    <t>suit_addn_attr</t>
  </si>
  <si>
    <t>suit_multi_attr</t>
  </si>
  <si>
    <t>quality</t>
  </si>
  <si>
    <t>stack_num</t>
  </si>
  <si>
    <t>can_use</t>
  </si>
  <si>
    <t>use_result_id</t>
  </si>
  <si>
    <t>can_sell</t>
  </si>
  <si>
    <t>sell_id</t>
  </si>
  <si>
    <t>sell_price</t>
  </si>
  <si>
    <t>access_way_type</t>
  </si>
  <si>
    <t>access_way</t>
  </si>
  <si>
    <t>show_special_effect</t>
  </si>
  <si>
    <t>钻石</t>
  </si>
  <si>
    <t>com_property_diamond</t>
  </si>
  <si>
    <t>用于购买游戏内稀有道具的货币。</t>
  </si>
  <si>
    <t>金币</t>
  </si>
  <si>
    <t>com_property_gold</t>
  </si>
  <si>
    <t>用于游戏内各种消耗的货币。</t>
  </si>
  <si>
    <t>优秀荣誉</t>
  </si>
  <si>
    <t>com_property_honor</t>
  </si>
  <si>
    <t>通过排位赛获得，可用于购买荣誉商店物品。</t>
  </si>
  <si>
    <t>体力</t>
  </si>
  <si>
    <t>com_property_hp</t>
  </si>
  <si>
    <t>com_property_exp</t>
  </si>
  <si>
    <t>球队升级所需经验。</t>
  </si>
  <si>
    <t>球员经验</t>
  </si>
  <si>
    <t>icon_goods_006</t>
  </si>
  <si>
    <t>球员升级所需经验。</t>
  </si>
  <si>
    <t>初级威望</t>
  </si>
  <si>
    <t>com_property_prestige</t>
  </si>
  <si>
    <t>通过巡回赛获得，可用于购买威望商店物品。</t>
  </si>
  <si>
    <t>卓越荣誉</t>
  </si>
  <si>
    <t>com_property_honor1</t>
  </si>
  <si>
    <t>高级威望</t>
  </si>
  <si>
    <t>com_property_prestige1</t>
  </si>
  <si>
    <t>声望</t>
  </si>
  <si>
    <t>com_property_reputation</t>
  </si>
  <si>
    <t>通过挑战赛获得，可用于购买声望商店物品。</t>
  </si>
  <si>
    <t>#</t>
  </si>
  <si>
    <t>VIP礼包</t>
  </si>
  <si>
    <t>VIP大礼包（0级）</t>
  </si>
  <si>
    <t>vip_gift</t>
  </si>
  <si>
    <t>尊贵的VIP大礼包。</t>
  </si>
  <si>
    <t>打开后能获得丰厚奖励。</t>
  </si>
  <si>
    <t>Ef_Blink1</t>
  </si>
  <si>
    <t>VIP大礼包（1级）</t>
  </si>
  <si>
    <t>VIP大礼包（2级）</t>
  </si>
  <si>
    <t>VIP大礼包（3级）</t>
  </si>
  <si>
    <t>VIP大礼包（4级）</t>
  </si>
  <si>
    <t>VIP大礼包（5级）</t>
  </si>
  <si>
    <t>VIP大礼包（6级）</t>
  </si>
  <si>
    <t>VIP大礼包（7级）</t>
  </si>
  <si>
    <t>VIP大礼包（8级）</t>
  </si>
  <si>
    <t>VIP大礼包（9级）</t>
  </si>
  <si>
    <t>VIP大礼包（10级）</t>
  </si>
  <si>
    <t>VIP大礼包（11级）</t>
  </si>
  <si>
    <t>VIP大礼包（12级）</t>
  </si>
  <si>
    <t>VIP大礼包（13级）</t>
  </si>
  <si>
    <t>VIP大礼包（14级）</t>
  </si>
  <si>
    <t>VIP大礼包（15级）</t>
  </si>
  <si>
    <t>装备礼盒</t>
  </si>
  <si>
    <t>icon_goods_box4</t>
  </si>
  <si>
    <t>有几率得蓝色装备碎片、蓝色装备、紫色装备碎片。</t>
  </si>
  <si>
    <t>球员礼盒</t>
  </si>
  <si>
    <t>icon_goods_box1</t>
  </si>
  <si>
    <t>有几率得蓝色球员碎片、蓝色球员、紫色球员碎片。</t>
  </si>
  <si>
    <t>神秘礼盒</t>
  </si>
  <si>
    <t>icon_goods_box2</t>
  </si>
  <si>
    <t>有几率获得极品道具</t>
  </si>
  <si>
    <t>2级涂鸦宝箱</t>
  </si>
  <si>
    <t>随机获得一种2级涂鸦</t>
  </si>
  <si>
    <t>3级涂鸦宝箱</t>
  </si>
  <si>
    <t>随机获得一种3级涂鸦</t>
  </si>
  <si>
    <t>4级涂鸦宝箱</t>
  </si>
  <si>
    <t>icon_goods_box3</t>
  </si>
  <si>
    <t>随机获得一种4级涂鸦</t>
  </si>
  <si>
    <t>5级涂鸦宝箱</t>
  </si>
  <si>
    <t>随机获得一种5级涂鸦</t>
  </si>
  <si>
    <t>青铜赛区赛季奖励</t>
  </si>
  <si>
    <t>赛季结束时，可获得300钻石奖励，在排位赛中取得最好成绩可以获得更高级的奖励</t>
  </si>
  <si>
    <t>白银赛区赛季奖励</t>
  </si>
  <si>
    <t>赛季结束时，可获得500钻石奖励，在排位赛中取得最好成绩可以获得更高级的奖励</t>
  </si>
  <si>
    <t>黄金赛区赛季奖励</t>
  </si>
  <si>
    <t>赛季结束时，可获得1000钻石奖励，在排位赛中取得最好成绩可以获得更高级的奖励</t>
  </si>
  <si>
    <t>钻石赛区赛季奖励</t>
  </si>
  <si>
    <t>赛季结束时，可获得2000钻石奖励，在排位赛中取得最好成绩可以获得更高级的奖励</t>
  </si>
  <si>
    <t>明星赛区赛季奖励</t>
  </si>
  <si>
    <t>icon_goods_box5</t>
  </si>
  <si>
    <t>赛季结束时，可获得3000钻石奖励，在排位赛中取得最好成绩可以获得更高级的奖励</t>
  </si>
  <si>
    <t>林玮</t>
  </si>
  <si>
    <t>icon_portrait_1001</t>
  </si>
  <si>
    <t>可招募林玮。</t>
  </si>
  <si>
    <t>爱神</t>
  </si>
  <si>
    <t>icon_portrait_1002</t>
  </si>
  <si>
    <t>可招募爱神。</t>
  </si>
  <si>
    <t>艾斯克斯</t>
  </si>
  <si>
    <t>icon_portrait_1101</t>
  </si>
  <si>
    <t>可招募艾斯克斯。</t>
  </si>
  <si>
    <t>山羊</t>
  </si>
  <si>
    <t>icon_portrait_1102</t>
  </si>
  <si>
    <t>可招募山羊。</t>
  </si>
  <si>
    <t>1103</t>
  </si>
  <si>
    <t>给力芬</t>
  </si>
  <si>
    <t>icon_portrait_1103</t>
  </si>
  <si>
    <t>可招募给力芬。</t>
  </si>
  <si>
    <t>骨头搜集者</t>
  </si>
  <si>
    <t>icon_portrait_1202</t>
  </si>
  <si>
    <t>可招募骨头搜集者。</t>
  </si>
  <si>
    <t>野狗乔治</t>
  </si>
  <si>
    <t>icon_portrait_1201</t>
  </si>
  <si>
    <t>可招募野狗乔治。</t>
  </si>
  <si>
    <t>辉</t>
  </si>
  <si>
    <t>icon_portrait_1301</t>
  </si>
  <si>
    <t>可招募辉。</t>
  </si>
  <si>
    <t>莫福瑞</t>
  </si>
  <si>
    <t>icon_portrait_1302</t>
  </si>
  <si>
    <t>可招募莫福瑞。</t>
  </si>
  <si>
    <t>艾伦</t>
  </si>
  <si>
    <t>icon_portrait_1401</t>
  </si>
  <si>
    <t>可招募艾伦。</t>
  </si>
  <si>
    <t>小飞侠</t>
  </si>
  <si>
    <t>icon_portrait_1402</t>
  </si>
  <si>
    <t>可招募小飞侠。</t>
  </si>
  <si>
    <t>布丽姬特</t>
  </si>
  <si>
    <t>icon_portrait_1000</t>
  </si>
  <si>
    <t>可招募布丽姬特。</t>
  </si>
  <si>
    <t>赛莉娜</t>
  </si>
  <si>
    <t>icon_portrait_1003</t>
  </si>
  <si>
    <t>可招募赛莉娜。</t>
  </si>
  <si>
    <t>姣</t>
  </si>
  <si>
    <t>icon_portrait_1100</t>
  </si>
  <si>
    <t>可招募姣。</t>
  </si>
  <si>
    <t>娜塔莎</t>
  </si>
  <si>
    <t>icon_portrait_1200</t>
  </si>
  <si>
    <t>可招募娜塔莎。</t>
  </si>
  <si>
    <t>icon_portrait_1300</t>
  </si>
  <si>
    <t>赛拉</t>
  </si>
  <si>
    <t>icon_portrait_1400</t>
  </si>
  <si>
    <t>可招募赛拉。</t>
  </si>
  <si>
    <t>爱丝</t>
  </si>
  <si>
    <t>icon_portrait_1403</t>
  </si>
  <si>
    <t>可招募爱丝。</t>
  </si>
  <si>
    <t>林光洙</t>
  </si>
  <si>
    <t>icon_portrait_1501</t>
  </si>
  <si>
    <t>可招募林光洙。</t>
  </si>
  <si>
    <t>通天云梯</t>
  </si>
  <si>
    <t>icon_portrait_1502</t>
  </si>
  <si>
    <t>可招募通天云梯。</t>
  </si>
  <si>
    <t>克斯玛</t>
  </si>
  <si>
    <t>icon_portrait_1505</t>
  </si>
  <si>
    <t>可招募克斯玛。</t>
  </si>
  <si>
    <t>卡洛琳</t>
  </si>
  <si>
    <t>icon_portrait_1600</t>
  </si>
  <si>
    <t>可招募卡洛琳。</t>
  </si>
  <si>
    <t>莱瑞拉</t>
  </si>
  <si>
    <t>icon_portrait_1104</t>
  </si>
  <si>
    <t>可招募莱瑞拉。</t>
  </si>
  <si>
    <t>凯恩</t>
  </si>
  <si>
    <t>icon_portrait_1603</t>
  </si>
  <si>
    <t>可招募凯恩。</t>
  </si>
  <si>
    <t>丹妮丝</t>
  </si>
  <si>
    <t>icon_portrait_1700</t>
  </si>
  <si>
    <t>可招募丹妮丝。</t>
  </si>
  <si>
    <t>萝拉</t>
  </si>
  <si>
    <t>icon_portrait_1405</t>
  </si>
  <si>
    <t>可招募萝拉。</t>
  </si>
  <si>
    <t>莱安</t>
  </si>
  <si>
    <t>icon_portrait_1203</t>
  </si>
  <si>
    <t>可招募莱安。</t>
  </si>
  <si>
    <t>伊娃</t>
  </si>
  <si>
    <t>icon_portrait_1800</t>
  </si>
  <si>
    <t>可招募伊娃。</t>
  </si>
  <si>
    <t>张小虎</t>
  </si>
  <si>
    <t>icon_portrait_1803</t>
  </si>
  <si>
    <t>可招募张小虎。</t>
  </si>
  <si>
    <t>蜂王</t>
  </si>
  <si>
    <t>icon_portrait_1404</t>
  </si>
  <si>
    <t>可招募蜂王。</t>
  </si>
  <si>
    <t>李娜</t>
  </si>
  <si>
    <t>icon_portrait_1304</t>
  </si>
  <si>
    <t>可招募李娜。</t>
  </si>
  <si>
    <t>艾咪</t>
  </si>
  <si>
    <t>icon_portrait_1901</t>
  </si>
  <si>
    <t>可招募艾咪。</t>
  </si>
  <si>
    <t>布鲁斯</t>
  </si>
  <si>
    <t>icon_portrait_1902</t>
  </si>
  <si>
    <t>可招募布鲁斯。</t>
  </si>
  <si>
    <t>黛米</t>
  </si>
  <si>
    <t>icon_portrait_1303</t>
  </si>
  <si>
    <t>可招募黛米。</t>
  </si>
  <si>
    <t>阿五</t>
  </si>
  <si>
    <t>icon_portrait_1105</t>
  </si>
  <si>
    <t>可招募阿五。</t>
  </si>
  <si>
    <t>小瑞</t>
  </si>
  <si>
    <t>icon_portrait_1106</t>
  </si>
  <si>
    <t>可招募小瑞。</t>
  </si>
  <si>
    <t>爱丽丝</t>
  </si>
  <si>
    <t>可招募爱丽丝。</t>
  </si>
  <si>
    <t>三分球大师</t>
  </si>
  <si>
    <t>icon_skill_2000</t>
  </si>
  <si>
    <t>被动技能</t>
  </si>
  <si>
    <t>增加三分球命中率，提升三分球抗干扰。</t>
  </si>
  <si>
    <t>中投强化</t>
  </si>
  <si>
    <t>icon_skill_2001</t>
  </si>
  <si>
    <t>增加中投命中率，提升中投抗干扰。</t>
  </si>
  <si>
    <t>中距离上篮强化</t>
  </si>
  <si>
    <t>icon_skill_2002</t>
  </si>
  <si>
    <t>增加中距离上篮命中率，提升中距离上篮抗干扰。</t>
  </si>
  <si>
    <t>中距离扣篮强化</t>
  </si>
  <si>
    <t>icon_skill_2003</t>
  </si>
  <si>
    <t>增加中距离扣篮命中率，提升中距离扣篮抗干扰。</t>
  </si>
  <si>
    <t>篮下投篮强化</t>
  </si>
  <si>
    <t>icon_skill_2004</t>
  </si>
  <si>
    <t>增加篮下投篮命中率，提升篮下投篮抗干扰。</t>
  </si>
  <si>
    <t>篮下上篮强化</t>
  </si>
  <si>
    <t>icon_skill_2005</t>
  </si>
  <si>
    <t>增加篮下上篮命中率，提升篮下上篮抗干扰。</t>
  </si>
  <si>
    <t>篮下扣篮强化</t>
  </si>
  <si>
    <t>icon_skill_2006</t>
  </si>
  <si>
    <t>增加篮下扣篮命中率，提升篮下扣篮抗干扰。</t>
  </si>
  <si>
    <t>控球强化</t>
  </si>
  <si>
    <t>icon_skill_2007</t>
  </si>
  <si>
    <t>降低被抢断几率。</t>
  </si>
  <si>
    <t>抢断强化</t>
  </si>
  <si>
    <t>icon_skill_2008</t>
  </si>
  <si>
    <t>提高抢断几率。</t>
  </si>
  <si>
    <t>盖帽强化</t>
  </si>
  <si>
    <t>icon_skill_2009</t>
  </si>
  <si>
    <t>增加盖帽范围，提高盖帽成功率。</t>
  </si>
  <si>
    <t>篮板大师</t>
  </si>
  <si>
    <t>icon_skill_2010</t>
  </si>
  <si>
    <t>增加篮板范围，提高篮板成功率。</t>
  </si>
  <si>
    <t>速度强化</t>
  </si>
  <si>
    <t>icon_skill_2011</t>
  </si>
  <si>
    <t>提高移动速度。</t>
  </si>
  <si>
    <t>耐力强化</t>
  </si>
  <si>
    <t>icon_skill_2012</t>
  </si>
  <si>
    <t>增加耐力上限。</t>
  </si>
  <si>
    <t>传球强化</t>
  </si>
  <si>
    <t>icon_skill_2013</t>
  </si>
  <si>
    <t>增加身体传球强度。</t>
  </si>
  <si>
    <t>icon_skill_2014</t>
  </si>
  <si>
    <t>增加传球速度，减少被拦截几率。</t>
  </si>
  <si>
    <t>干扰强化</t>
  </si>
  <si>
    <t>icon_skill_2015</t>
  </si>
  <si>
    <t>提高防守干扰范围，降低被防守者进攻成功率。</t>
  </si>
  <si>
    <t>百步穿杨</t>
  </si>
  <si>
    <t>半截篮</t>
  </si>
  <si>
    <t>灵巧者</t>
  </si>
  <si>
    <t>滞空者</t>
  </si>
  <si>
    <t>篮下投篮强化Ⅱ</t>
  </si>
  <si>
    <t>篮下强者</t>
  </si>
  <si>
    <t>大猩猩</t>
  </si>
  <si>
    <t>天生球感</t>
  </si>
  <si>
    <t>外线铁闸</t>
  </si>
  <si>
    <t>只手遮天</t>
  </si>
  <si>
    <t>称霸篮下</t>
  </si>
  <si>
    <t>速度强化Ⅱ</t>
  </si>
  <si>
    <t>超强体魄</t>
  </si>
  <si>
    <t>传球达人</t>
  </si>
  <si>
    <t>精确制导</t>
  </si>
  <si>
    <t>干扰者</t>
  </si>
  <si>
    <t>教科书投篮</t>
  </si>
  <si>
    <t>中投王</t>
  </si>
  <si>
    <t>灵动大师</t>
  </si>
  <si>
    <t>滑翔机</t>
  </si>
  <si>
    <t>篮下投篮强化Ⅲ</t>
  </si>
  <si>
    <t>篮下大师</t>
  </si>
  <si>
    <t>大鲨鱼</t>
  </si>
  <si>
    <t>掌控者</t>
  </si>
  <si>
    <t>盗猎者</t>
  </si>
  <si>
    <t>火锅盛宴</t>
  </si>
  <si>
    <t>禁区之王</t>
  </si>
  <si>
    <t>速度强化Ⅲ</t>
  </si>
  <si>
    <t>铁人</t>
  </si>
  <si>
    <t>硬汉</t>
  </si>
  <si>
    <t>技巧大师</t>
  </si>
  <si>
    <t>防守大师</t>
  </si>
  <si>
    <t>横向漂移投篮</t>
  </si>
  <si>
    <t>icon_skill_3000</t>
  </si>
  <si>
    <t>跳起侧面横向移动，拉开与对方的距离投篮。</t>
  </si>
  <si>
    <t>后仰投篮</t>
  </si>
  <si>
    <t>icon_skill_3001</t>
  </si>
  <si>
    <t>突然向后跳起，拉开与对方的距离投篮。</t>
  </si>
  <si>
    <t>勾手</t>
  </si>
  <si>
    <t>icon_skill_3002</t>
  </si>
  <si>
    <t>身体背靠压制对方，从身体后方越过头顶投篮。</t>
  </si>
  <si>
    <t>低位勾手</t>
  </si>
  <si>
    <t>icon_skill_3003</t>
  </si>
  <si>
    <t>篮下区域：投篮时几率触发</t>
  </si>
  <si>
    <t>在篮下进行无视面对方向的精准抛投。</t>
  </si>
  <si>
    <t>急停跳投</t>
  </si>
  <si>
    <t>拉杆上篮</t>
  </si>
  <si>
    <t>icon_skill_3100</t>
  </si>
  <si>
    <t>在空中变化出手时间，难以被盖帽。</t>
  </si>
  <si>
    <t>补篮</t>
  </si>
  <si>
    <t>灵巧上篮</t>
  </si>
  <si>
    <t>icon_skill_3102</t>
  </si>
  <si>
    <t>在空中变化出手位置，避开防守者。</t>
  </si>
  <si>
    <t>天勾投篮</t>
  </si>
  <si>
    <t>icon_skill_3103</t>
  </si>
  <si>
    <t>抛投</t>
  </si>
  <si>
    <t>icon_skill_3104</t>
  </si>
  <si>
    <t>为避开防守者，上篮时进行高弧度抛投。</t>
  </si>
  <si>
    <t>胯下换手上篮</t>
  </si>
  <si>
    <t>炫酷的将球由胯下绕过，变化出手位置，避开防守者上篮。</t>
  </si>
  <si>
    <t>欧洲步上篮</t>
  </si>
  <si>
    <t>icon_skill_3106</t>
  </si>
  <si>
    <t>补扣</t>
  </si>
  <si>
    <t>抢得篮板后几率触发</t>
  </si>
  <si>
    <t>抢得进攻篮板后直接将球大力扣入篮筐。</t>
  </si>
  <si>
    <t>灵巧扣篮</t>
  </si>
  <si>
    <t>icon_skill_3201</t>
  </si>
  <si>
    <t>中距离区域：扣篮时几率触发</t>
  </si>
  <si>
    <t>扣篮时，在空中变化出手位置，避开防守者。</t>
  </si>
  <si>
    <t>战斧扣篮</t>
  </si>
  <si>
    <t>icon_skill_3202</t>
  </si>
  <si>
    <t>背身大风车</t>
  </si>
  <si>
    <t>icon_skill_3203</t>
  </si>
  <si>
    <t>篮下区域：扣篮时几率触发</t>
  </si>
  <si>
    <t>篮下大风车</t>
  </si>
  <si>
    <t>icon_skill_3204</t>
  </si>
  <si>
    <t>360°换手扣篮</t>
  </si>
  <si>
    <t>icon_skill_3206</t>
  </si>
  <si>
    <t>空中身体旋转一圈后将球扣入篮筐。</t>
  </si>
  <si>
    <t>远距离抓筐扣篮</t>
  </si>
  <si>
    <t>icon_skill_3207</t>
  </si>
  <si>
    <t>大力起跳，双手将球扣入篮筐。</t>
  </si>
  <si>
    <t>胯下换手扣篮</t>
  </si>
  <si>
    <t>icon_skill_3208</t>
  </si>
  <si>
    <t>远距背身大风车</t>
  </si>
  <si>
    <t>icon_skill_3210</t>
  </si>
  <si>
    <t>在远距离起跳，背对篮筐，将篮球经头顶扣入篮筐。</t>
  </si>
  <si>
    <t>远距流星扣篮</t>
  </si>
  <si>
    <t>icon_skill_3211</t>
  </si>
  <si>
    <t>远距离高高跳起，在高空将球大力砸入篮筐。</t>
  </si>
  <si>
    <t>远距离大风车</t>
  </si>
  <si>
    <t>icon_skill_3212</t>
  </si>
  <si>
    <t>远距离起跳，单手360°挥动将球扣入篮筐。</t>
  </si>
  <si>
    <t>两次换手扣篮</t>
  </si>
  <si>
    <t>在空中做出常人所不能的换手动作后急速扣篮。</t>
  </si>
  <si>
    <t>空中漫步扣篮</t>
  </si>
  <si>
    <t>icon_skill_3214</t>
  </si>
  <si>
    <t>以不可思议的滞空能力飞向篮筐，如同空中漫步。</t>
  </si>
  <si>
    <t>欧洲步扣篮</t>
  </si>
  <si>
    <t>icon_skill_3215</t>
  </si>
  <si>
    <t>盖帽传球</t>
  </si>
  <si>
    <t>icon_skill_3300</t>
  </si>
  <si>
    <t>盖帽成功时几率触发</t>
  </si>
  <si>
    <t>盖帽时，在空中将球直接传向自己的队友。</t>
  </si>
  <si>
    <t>空接</t>
  </si>
  <si>
    <t>将球抛向篮筐，由队友发起最后攻击。</t>
  </si>
  <si>
    <t>假动作空接</t>
  </si>
  <si>
    <t>棒球式传球</t>
  </si>
  <si>
    <t>icon_skill_3303</t>
  </si>
  <si>
    <t>传球时几率触发</t>
  </si>
  <si>
    <t>使用棒球发球姿势，快速将球传给队友。</t>
  </si>
  <si>
    <t>背后传球</t>
  </si>
  <si>
    <t>抢到篮板后立刻传球。直接将球传给身后的队友，制造进攻机会。</t>
  </si>
  <si>
    <t>突破传球</t>
  </si>
  <si>
    <t>突破中，吸引防守者，将球传给空位队友。</t>
  </si>
  <si>
    <t>假上篮真传球</t>
  </si>
  <si>
    <t>做出上篮假动作，实际将球传给空接队友。</t>
  </si>
  <si>
    <t>假投真传</t>
  </si>
  <si>
    <t>做出投球假动作，实际将球传给空位队友。</t>
  </si>
  <si>
    <t>击地传球</t>
  </si>
  <si>
    <t>传球时，通过地面反弹传球给队友。</t>
  </si>
  <si>
    <t>陀螺传球</t>
  </si>
  <si>
    <t>传球时，旋转一圈传给队友。</t>
  </si>
  <si>
    <t>强力篮板</t>
  </si>
  <si>
    <t>icon_skill_3400</t>
  </si>
  <si>
    <t>抢篮板时几率触发</t>
  </si>
  <si>
    <t>突破后撤</t>
  </si>
  <si>
    <t>突破中，突然急停后撤，拉开与防守者距离。</t>
  </si>
  <si>
    <t>交替运球突破</t>
  </si>
  <si>
    <t>突破时，连续左右换手运球，迷惑防守者。</t>
  </si>
  <si>
    <t>突破转身后撤</t>
  </si>
  <si>
    <t>突破中突然后撤，后撤右360度转身，拉开与防守者距离。</t>
  </si>
  <si>
    <t>胯下滚球突破</t>
  </si>
  <si>
    <t>突破时，将球送入防守方胯下，迷惑防守者。</t>
  </si>
  <si>
    <t>背后运球突破</t>
  </si>
  <si>
    <t>突破时，将球送运到背后，迷惑防守者。</t>
  </si>
  <si>
    <t>盖帽抓球</t>
  </si>
  <si>
    <t>icon_skill_3600</t>
  </si>
  <si>
    <t>盖帽时，直接将球抓到手中，打击对方士气。</t>
  </si>
  <si>
    <t>icon_skill_6200</t>
  </si>
  <si>
    <t>远距离换手暴扣</t>
  </si>
  <si>
    <t>icon_skill_6201</t>
  </si>
  <si>
    <t>远距离暴扣</t>
  </si>
  <si>
    <t>icon_skill_6202</t>
  </si>
  <si>
    <t>icon_skill_6203</t>
  </si>
  <si>
    <t>在篮下扣篮区域，按“投篮”几率触发。</t>
  </si>
  <si>
    <t>篮下单手大风车扣篮。</t>
  </si>
  <si>
    <t>icon_skill_6204</t>
  </si>
  <si>
    <t>篮下背后大风车扣篮。</t>
  </si>
  <si>
    <t>icon_skill_6205</t>
  </si>
  <si>
    <t>反手大风车扣篮</t>
  </si>
  <si>
    <t>icon_skill_6206</t>
  </si>
  <si>
    <t>360换手扣篮</t>
  </si>
  <si>
    <t>icon_skill_6207</t>
  </si>
  <si>
    <t>在中距离上篮区域，按“投篮”几率触发。</t>
  </si>
  <si>
    <t>空中转身360度扣篮。</t>
  </si>
  <si>
    <t>流星扣篮</t>
  </si>
  <si>
    <t>icon_skill_6208</t>
  </si>
  <si>
    <t>大旋风扣篮</t>
  </si>
  <si>
    <t>icon_skill_6209</t>
  </si>
  <si>
    <t>前空翻扣篮</t>
  </si>
  <si>
    <t>icon_skill_6210</t>
  </si>
  <si>
    <t>飞行扣篮</t>
  </si>
  <si>
    <t>icon_skill_6211</t>
  </si>
  <si>
    <t>挂臂扣篮</t>
  </si>
  <si>
    <t>icon_skill_6212</t>
  </si>
  <si>
    <t>转身换手扣篮</t>
  </si>
  <si>
    <t>icon_skill_6213</t>
  </si>
  <si>
    <t>icon_skill_6214</t>
  </si>
  <si>
    <t>梦幻舞步</t>
  </si>
  <si>
    <t>icon_skill_6100</t>
  </si>
  <si>
    <t>icon_skill_6101</t>
  </si>
  <si>
    <t>鱼跃扑球传球</t>
  </si>
  <si>
    <t>icon_skill_6300</t>
  </si>
  <si>
    <t>飞盘式传球</t>
  </si>
  <si>
    <t>icon_skill_6301</t>
  </si>
  <si>
    <t>滚地式扑球</t>
  </si>
  <si>
    <t>icon_skill_6700</t>
  </si>
  <si>
    <t>扑球大师</t>
  </si>
  <si>
    <t>icon_skill_4701</t>
  </si>
  <si>
    <t>增加扑球有效距离和成功率。</t>
  </si>
  <si>
    <t>膝盖式投球</t>
  </si>
  <si>
    <t>icon_skill_6000</t>
  </si>
  <si>
    <t>扫荡卡</t>
  </si>
  <si>
    <t>icon_goods_4000</t>
  </si>
  <si>
    <t>在已解锁的生涯关卡中使用。</t>
  </si>
  <si>
    <t>每次扫荡都需要消耗一张扫荡卡。</t>
  </si>
  <si>
    <t>技能训练卡</t>
  </si>
  <si>
    <t>icon_goods_4001</t>
  </si>
  <si>
    <t>被动技能升级时使用。</t>
  </si>
  <si>
    <t>技能训练卡【Ⅱ】</t>
  </si>
  <si>
    <t>icon_goods_4002</t>
  </si>
  <si>
    <t>二级技能升级至三级时使用。</t>
  </si>
  <si>
    <t>技能训练卡【Ⅲ】</t>
  </si>
  <si>
    <t>icon_goods_4003</t>
  </si>
  <si>
    <t>三级技能升级至四级时使用。</t>
  </si>
  <si>
    <t>技能训练卡【Ⅳ】</t>
  </si>
  <si>
    <t>icon_goods_4004</t>
  </si>
  <si>
    <t>四级技能升级至五级时使用。</t>
  </si>
  <si>
    <t>技能训练卡【Ⅴ】</t>
  </si>
  <si>
    <t>icon_goods_4005</t>
  </si>
  <si>
    <t>五级技能升级至六级时使用。</t>
  </si>
  <si>
    <t>经验饮品（小）</t>
  </si>
  <si>
    <t>icon_signin_exp1</t>
  </si>
  <si>
    <t>使用后，球员获得60点经验。</t>
  </si>
  <si>
    <t>经验饮品（中）</t>
  </si>
  <si>
    <t>icon_signin_exp2</t>
  </si>
  <si>
    <t>使用后，球员获得150点经验。</t>
  </si>
  <si>
    <t>经验饮品（大）</t>
  </si>
  <si>
    <t>icon_signin_exp3</t>
  </si>
  <si>
    <t>使用后，球员获得600点经验。</t>
  </si>
  <si>
    <t>嘉士伯（小）</t>
  </si>
  <si>
    <t>icon_signin_exp4</t>
  </si>
  <si>
    <t>使用后，球员获得1500点经验。</t>
  </si>
  <si>
    <t>嘉士伯（中）</t>
  </si>
  <si>
    <t>icon_signin_exp5</t>
  </si>
  <si>
    <t>使用后，球员获得2500点经验。</t>
  </si>
  <si>
    <t>嘉士伯（大）</t>
  </si>
  <si>
    <t>icon_signin_exp6</t>
  </si>
  <si>
    <t>使用后，球员获得4000点经验。</t>
  </si>
  <si>
    <t>VII级经验卡</t>
  </si>
  <si>
    <t>icon_signin_exp_7</t>
  </si>
  <si>
    <t>使用后，球员获得6000点经验。</t>
  </si>
  <si>
    <t>icon_signin_diamond_1</t>
  </si>
  <si>
    <t>获得一定数量的钻石。</t>
  </si>
  <si>
    <t>一枚纪念币</t>
  </si>
  <si>
    <t>icon_signin_gold_1</t>
  </si>
  <si>
    <t>纪念币出售后可以得到2000金币。</t>
  </si>
  <si>
    <t>几枚纪念币</t>
  </si>
  <si>
    <t>icon_signin_gold_2</t>
  </si>
  <si>
    <t>纪念币出售后可以得到5000金币。</t>
  </si>
  <si>
    <t>一叠纪念币</t>
  </si>
  <si>
    <t>icon_signin_gold_3</t>
  </si>
  <si>
    <t>纪念币出售后可以得到10000金币。</t>
  </si>
  <si>
    <t>小袋纪念币</t>
  </si>
  <si>
    <t>icon_signin_gold_4</t>
  </si>
  <si>
    <t>纪念币出售后可以得到20000金币。</t>
  </si>
  <si>
    <t>大袋纪念币</t>
  </si>
  <si>
    <t>icon_signin_gold_5</t>
  </si>
  <si>
    <t>纪念币出售后可以得到40000金币。</t>
  </si>
  <si>
    <t>一箱纪念币</t>
  </si>
  <si>
    <t>icon_signin_gold_6</t>
  </si>
  <si>
    <t>纪念币出售后可以得到80000金币。</t>
  </si>
  <si>
    <t>大箱纪念币</t>
  </si>
  <si>
    <t>icon_signin_gold_7</t>
  </si>
  <si>
    <t>纪念币出售后可以得到320000金币。</t>
  </si>
  <si>
    <t>徽章材料</t>
  </si>
  <si>
    <t>涂鸦喷漆</t>
  </si>
  <si>
    <t>icon_fashion_Back_Backpack7</t>
  </si>
  <si>
    <t>分解涂鸦获得的材料，可以用于制造涂鸦。</t>
  </si>
  <si>
    <t>金币图标，用与生涯显示</t>
  </si>
  <si>
    <t>icon_signin_gold</t>
  </si>
  <si>
    <t>获得一定数量的金币。</t>
  </si>
  <si>
    <t>以下为中锋的纹身</t>
  </si>
  <si>
    <t>装备描述最长不能超过这段字装备描述最长不能超过这段字。</t>
  </si>
  <si>
    <t>信念头带</t>
  </si>
  <si>
    <t>icon_equipment_8001</t>
  </si>
  <si>
    <t>带着它不是很舒服，却突显了对胜利的渴望。</t>
  </si>
  <si>
    <t>居家背心</t>
  </si>
  <si>
    <t>icon_equipment_8002</t>
  </si>
  <si>
    <t>居家必备，给力的吸汗效果，但打球时很黏！</t>
  </si>
  <si>
    <t>棉布手腕</t>
  </si>
  <si>
    <t>icon_equipment_8003</t>
  </si>
  <si>
    <t>运动锻炼、搬货防护，5块钱一副，经济实惠！</t>
  </si>
  <si>
    <t>跑步短裤</t>
  </si>
  <si>
    <t>icon_equipment_8004</t>
  </si>
  <si>
    <t>裤腿很短适合跑步，但用于打篮球，呵呵……。</t>
  </si>
  <si>
    <t>回力鞋</t>
  </si>
  <si>
    <t>icon_equipment_8005</t>
  </si>
  <si>
    <t>国产老牌，青少年运动的代表……万用的运动鞋。</t>
  </si>
  <si>
    <t>棒球帽</t>
  </si>
  <si>
    <t>icon_equipment_8006</t>
  </si>
  <si>
    <t>帅气的帽子只能在球场下用用，吸引一下眼球。</t>
  </si>
  <si>
    <t>亚麻背心</t>
  </si>
  <si>
    <t>icon_equipment_8007</t>
  </si>
  <si>
    <t>亚麻背心，虽然舒服了不少，但依然很黏！</t>
  </si>
  <si>
    <t>弹性护腕</t>
  </si>
  <si>
    <t>icon_equipment_8008</t>
  </si>
  <si>
    <t>运动型护腕，能够适用与各种运动。</t>
  </si>
  <si>
    <t>运动短裤</t>
  </si>
  <si>
    <t>icon_equipment_8009</t>
  </si>
  <si>
    <t>适合大幅运动，而且穿上没那么娘！</t>
  </si>
  <si>
    <t>运动板鞋</t>
  </si>
  <si>
    <t>icon_equipment_8010</t>
  </si>
  <si>
    <t>比回力帅！也没那么容易黑，就是不太跟脚。</t>
  </si>
  <si>
    <t>花纹头巾</t>
  </si>
  <si>
    <t>icon_equipment_8011</t>
  </si>
  <si>
    <t>良好的吸汗效果，气场也爆表了，就是有点热！</t>
  </si>
  <si>
    <t>运动背心</t>
  </si>
  <si>
    <t>icon_equipment_8012</t>
  </si>
  <si>
    <t>纯棉制作，吸汗不粘身，这才是运动级装备！</t>
  </si>
  <si>
    <t>彩纹护腕</t>
  </si>
  <si>
    <t>icon_equipment_8013</t>
  </si>
  <si>
    <t>同时具备防护效果和时尚元素，一个有范的球手。</t>
  </si>
  <si>
    <t>纯棉短裤</t>
  </si>
  <si>
    <t>icon_equipment_8014</t>
  </si>
  <si>
    <t>宽大舒适，还是专业的篮球短裤好！</t>
  </si>
  <si>
    <t>跑步鞋</t>
  </si>
  <si>
    <t>icon_equipment_8015</t>
  </si>
  <si>
    <t>虽然加速起跑还不错，可是减震还不够如意。</t>
  </si>
  <si>
    <t>运动发带</t>
  </si>
  <si>
    <t>icon_equipment_8016</t>
  </si>
  <si>
    <t>拉住长发、吸走汗水、视野清晰，比赛更给力！</t>
  </si>
  <si>
    <t>比赛用球服</t>
  </si>
  <si>
    <t>icon_equipment_8017</t>
  </si>
  <si>
    <t>比赛用着装，吸汗清爽，但感觉像一个球迷。</t>
  </si>
  <si>
    <t>比赛型护腕</t>
  </si>
  <si>
    <t>icon_equipment_8018</t>
  </si>
  <si>
    <t>比赛用着装，提高腕力，但感觉就像是一个球迷。</t>
  </si>
  <si>
    <t>比赛用球裤</t>
  </si>
  <si>
    <t>icon_equipment_8019</t>
  </si>
  <si>
    <t>比赛用着装，宽松肥大，但感觉依然是一个球迷。</t>
  </si>
  <si>
    <t>乔丹篮球鞋</t>
  </si>
  <si>
    <t>icon_equipment_8020</t>
  </si>
  <si>
    <t>专业篮球鞋，起跑抓地减震无一不专，简直完美。</t>
  </si>
  <si>
    <t>街头嘻哈</t>
  </si>
  <si>
    <t>icon_equipment_8021</t>
  </si>
  <si>
    <t>最时尚的街头装扮，当前最流行的潮流搭配。</t>
  </si>
  <si>
    <t>11:225&amp;15:225|13:225&amp;24:225&amp;12:225|14:225&amp;10:225&amp;19:225|9:225&amp;8:225</t>
  </si>
  <si>
    <t>0|0|0|100:30</t>
  </si>
  <si>
    <t>icon_equipment_8022</t>
  </si>
  <si>
    <t>icon_equipment_8023</t>
  </si>
  <si>
    <t>icon_equipment_8024</t>
  </si>
  <si>
    <t>icon_equipment_8025</t>
  </si>
  <si>
    <t>热血青春</t>
  </si>
  <si>
    <t>icon_equipment_8026</t>
  </si>
  <si>
    <t>炫酷比赛着装，据说穿着就会燃烧一股豪迈热血之情。</t>
  </si>
  <si>
    <t>11:420&amp;15:420|13:420&amp;24:420&amp;12:420|14:420&amp;10:420&amp;19:420|9:420&amp;8:420</t>
  </si>
  <si>
    <t>0|0|0|100:60</t>
  </si>
  <si>
    <t>icon_equipment_8027</t>
  </si>
  <si>
    <t>icon_equipment_8028</t>
  </si>
  <si>
    <t>icon_equipment_8029</t>
  </si>
  <si>
    <t>icon_equipment_8030</t>
  </si>
  <si>
    <t>装备碎片</t>
  </si>
  <si>
    <t>棒球帽碎片</t>
  </si>
  <si>
    <t>收集满4个可用于合成棒球帽。</t>
  </si>
  <si>
    <t>亚麻背心碎片</t>
  </si>
  <si>
    <t>收集满4个可用于合成亚麻背心。</t>
  </si>
  <si>
    <t>弹性护腕碎片</t>
  </si>
  <si>
    <t>收集满4个可用于合成弹性护腕。</t>
  </si>
  <si>
    <t>运动短裤碎片</t>
  </si>
  <si>
    <t>收集满4个可用于合成运动短裤。</t>
  </si>
  <si>
    <t>运动板鞋碎片</t>
  </si>
  <si>
    <t>收集满4个可用于合成运动板鞋。</t>
  </si>
  <si>
    <t>花纹头巾碎片</t>
  </si>
  <si>
    <t>收集满16个可用于合成花纹头巾。</t>
  </si>
  <si>
    <t>运动背心碎片</t>
  </si>
  <si>
    <t>收集满16个可用于合成运动背心。</t>
  </si>
  <si>
    <t>彩纹护腕碎片</t>
  </si>
  <si>
    <t>收集满16个可用于合成彩纹护腕。</t>
  </si>
  <si>
    <t>纯棉短裤碎片</t>
  </si>
  <si>
    <t>收集满16个可用于合成纯棉短裤。</t>
  </si>
  <si>
    <t>跑步鞋碎片</t>
  </si>
  <si>
    <t>收集满16个可用于合成跑步鞋。</t>
  </si>
  <si>
    <t>运动发带碎片</t>
  </si>
  <si>
    <t>收集满70个可用于合成运动发带。</t>
  </si>
  <si>
    <t>比赛用球服碎片</t>
  </si>
  <si>
    <t>收集满70个可用于合成比赛用球服。</t>
  </si>
  <si>
    <t>比赛型护腕碎片</t>
  </si>
  <si>
    <t>收集满70个可用于合成比赛型护腕。</t>
  </si>
  <si>
    <t>比赛用球裤碎片</t>
  </si>
  <si>
    <t>收集满70个可用于合成比赛用球裤。</t>
  </si>
  <si>
    <t>乔丹篮球鞋碎片</t>
  </si>
  <si>
    <t>收集满70个可用于合成乔丹篮球鞋。</t>
  </si>
  <si>
    <t>街头嘻哈帽碎片</t>
  </si>
  <si>
    <t>收集满26个可用于合成街头嘻哈帽。</t>
  </si>
  <si>
    <t>街头嘻哈衣碎片</t>
  </si>
  <si>
    <t>收集满26个可用于合成街头嘻哈衣。</t>
  </si>
  <si>
    <t>街头嘻哈腕碎片</t>
  </si>
  <si>
    <t>收集满26个可用于合成街头嘻哈护腕。</t>
  </si>
  <si>
    <t>街头嘻哈裤碎片</t>
  </si>
  <si>
    <t>收集满26个可用于合成街头嘻哈裤。</t>
  </si>
  <si>
    <t>街头嘻哈鞋碎片</t>
  </si>
  <si>
    <t>收集满26个可用于合成街头嘻哈鞋。</t>
  </si>
  <si>
    <t>热血青春帽碎片</t>
  </si>
  <si>
    <t>收集满90个可用于合成热血青春帽。</t>
  </si>
  <si>
    <t>热血青春衣碎片</t>
  </si>
  <si>
    <t>收集满90个可用于合成热血青春衣。</t>
  </si>
  <si>
    <t>热血青春腕碎片</t>
  </si>
  <si>
    <t>收集满90个可用于合成热血青春护腕。</t>
  </si>
  <si>
    <t>热血青春裤碎片</t>
  </si>
  <si>
    <t>收集满90个可用于合成热血青春裤。</t>
  </si>
  <si>
    <t>热血青春鞋碎片</t>
  </si>
  <si>
    <t>收集满90个可用于合成热血青春鞋。</t>
  </si>
  <si>
    <t>时装</t>
  </si>
  <si>
    <t>头部</t>
  </si>
  <si>
    <t>爆炸头</t>
  </si>
  <si>
    <t>狼牙板寸</t>
  </si>
  <si>
    <t>光头</t>
  </si>
  <si>
    <t>栗子短发</t>
  </si>
  <si>
    <t>亚麻莫西干</t>
  </si>
  <si>
    <t>icon_fashion_hat_Mohicans_M</t>
  </si>
  <si>
    <t>莫西干大背头</t>
  </si>
  <si>
    <t>黑色脏辫</t>
  </si>
  <si>
    <t>黑色平头</t>
  </si>
  <si>
    <t>赤红野火</t>
  </si>
  <si>
    <t>褐色双马尾</t>
  </si>
  <si>
    <t>金发小明星</t>
  </si>
  <si>
    <t>红粉恶魔</t>
  </si>
  <si>
    <t>乡村音乐</t>
  </si>
  <si>
    <t>icon_fashion_hat_Headset_F</t>
  </si>
  <si>
    <t>金色摇摆</t>
  </si>
  <si>
    <t>棕红小短发</t>
  </si>
  <si>
    <t>icon_fashion_hat_Shorthair_F</t>
  </si>
  <si>
    <t>金色赫本</t>
  </si>
  <si>
    <t>icon_fashion_hat_Sunglasses_F</t>
  </si>
  <si>
    <t>2</t>
  </si>
  <si>
    <t>滑雪爱好者</t>
  </si>
  <si>
    <t>icon_fashion_hat_Hiphop_F</t>
  </si>
  <si>
    <t>音乐达人</t>
  </si>
  <si>
    <t>icon_fashion_hat_Hiphop_M</t>
  </si>
  <si>
    <t>消防帽</t>
  </si>
  <si>
    <t>icon_fashion_hat_SRORFG</t>
  </si>
  <si>
    <t>野性橄榄头盔</t>
  </si>
  <si>
    <t>icon_fashion_hat_Football_F</t>
  </si>
  <si>
    <t>冲撞橄榄头盔</t>
  </si>
  <si>
    <t>icon_fashion_hat_Football_M</t>
  </si>
  <si>
    <t>雷鬼脏辫</t>
  </si>
  <si>
    <t>icon_fashion_hat_Dirty_F</t>
  </si>
  <si>
    <t>加州海盗</t>
  </si>
  <si>
    <t>icon_fashion_hat_Camouflage_F</t>
  </si>
  <si>
    <t>迷彩哈雷</t>
  </si>
  <si>
    <t>icon_fashion_hat_Camouflage_M</t>
  </si>
  <si>
    <t>青春少女</t>
  </si>
  <si>
    <t>icon_fashion_hat_Campuswear1_F</t>
  </si>
  <si>
    <t>少女发苞</t>
  </si>
  <si>
    <t>icon_fashion_hat_Fashion_F</t>
  </si>
  <si>
    <t>暴力高校</t>
  </si>
  <si>
    <t>icon_fashion_hat_Campuswear1_M</t>
  </si>
  <si>
    <t>icon_fashion_hat_Fashion_M</t>
  </si>
  <si>
    <t>褐色脏辫</t>
  </si>
  <si>
    <t>icon_fashion_hat_Dirty_M</t>
  </si>
  <si>
    <t>黑玄头巾</t>
  </si>
  <si>
    <t>icon_fashion_hat_Scarf_M</t>
  </si>
  <si>
    <t>U字棒球帽</t>
  </si>
  <si>
    <t>冬日温情</t>
  </si>
  <si>
    <t>西部狂飙</t>
  </si>
  <si>
    <t>优雅传奇</t>
  </si>
  <si>
    <t>icon_fashion_hat_RacingSuit</t>
  </si>
  <si>
    <t>怀恋猫王</t>
  </si>
  <si>
    <t>公主小礼帽</t>
  </si>
  <si>
    <t>呆萌兔耳</t>
  </si>
  <si>
    <t>路飞草帽</t>
  </si>
  <si>
    <t>icon_fashion_hat_Pirates</t>
  </si>
  <si>
    <t>野狗的发型</t>
  </si>
  <si>
    <t>蜂王的发型</t>
  </si>
  <si>
    <t>张小虎的发型</t>
  </si>
  <si>
    <t>林光洙的发型</t>
  </si>
  <si>
    <t>电锯惊魂头饰</t>
  </si>
  <si>
    <t>南瓜头饰</t>
  </si>
  <si>
    <t>李娜的发型</t>
  </si>
  <si>
    <t>卡洛琳的头</t>
  </si>
  <si>
    <t>艾咪的头饰</t>
  </si>
  <si>
    <t>丹妮丝的头饰</t>
  </si>
  <si>
    <t>萝拉的发型</t>
  </si>
  <si>
    <t>阿五的发型</t>
  </si>
  <si>
    <t>小瑞的发型</t>
  </si>
  <si>
    <t>爱丽丝的发型</t>
  </si>
  <si>
    <t>Terry Willson的发型</t>
  </si>
  <si>
    <t>Joe Smasher的发型</t>
  </si>
  <si>
    <t>Seth Alexander的发型</t>
  </si>
  <si>
    <t>Tommy Fireball的发型</t>
  </si>
  <si>
    <t>Astrid the Witch的发型</t>
  </si>
  <si>
    <t>Cathy M.K的发型</t>
  </si>
  <si>
    <t>上身</t>
  </si>
  <si>
    <t>宽格横条衫</t>
  </si>
  <si>
    <t>icon_fashion_clothes</t>
  </si>
  <si>
    <t>花格衬衫</t>
  </si>
  <si>
    <t>旧艾斯克斯的衣服（无上装）</t>
  </si>
  <si>
    <t>休闲马甲</t>
  </si>
  <si>
    <t>白色球衣</t>
  </si>
  <si>
    <t>红色球衣</t>
  </si>
  <si>
    <t>背带衬衫</t>
  </si>
  <si>
    <t>辉的衣服（无上装）</t>
  </si>
  <si>
    <t>黑色背心</t>
  </si>
  <si>
    <t>泡泡V领衫</t>
  </si>
  <si>
    <t>黄色球衣</t>
  </si>
  <si>
    <t>绿色紧身背心</t>
  </si>
  <si>
    <t>牛仔工装衫</t>
  </si>
  <si>
    <t>加长运动衫</t>
  </si>
  <si>
    <t>紧身运动背心</t>
  </si>
  <si>
    <t>女版加长篮球服</t>
  </si>
  <si>
    <t>小淑女夹克衫</t>
  </si>
  <si>
    <t>连帽跑步衫</t>
  </si>
  <si>
    <t>紧身跑步背心</t>
  </si>
  <si>
    <t>icon_fashion_clothes05</t>
  </si>
  <si>
    <t>黄色围巾T恤</t>
  </si>
  <si>
    <t>icon_fashion_clothes01</t>
  </si>
  <si>
    <t>紫色小西装</t>
  </si>
  <si>
    <t>icon_fashion_clothes04</t>
  </si>
  <si>
    <t>热情夏日T恤</t>
  </si>
  <si>
    <t>icon_fashion_clothes_Hiphop_F</t>
  </si>
  <si>
    <t>休闲夏日背心</t>
  </si>
  <si>
    <t>icon_fashion_clothes_Hiphop_M</t>
  </si>
  <si>
    <t>消防服</t>
  </si>
  <si>
    <t>icon_fashion_clothes_SRORFG</t>
  </si>
  <si>
    <t>icon_fashion_clothes_Soccer_F</t>
  </si>
  <si>
    <t>野性橄榄球服</t>
  </si>
  <si>
    <t>icon_fashion_clothes_Football_F</t>
  </si>
  <si>
    <t>冲撞橄榄球服</t>
  </si>
  <si>
    <t>icon_fashion_clothes_Football_M</t>
  </si>
  <si>
    <t>如意唐装上衣</t>
  </si>
  <si>
    <t>icon_fashion_clothes_Tangsuit_F</t>
  </si>
  <si>
    <t>吉祥唐装上衣</t>
  </si>
  <si>
    <t>icon_fashion_clothes_Tangsuit_M</t>
  </si>
  <si>
    <t>休闲绿色深V</t>
  </si>
  <si>
    <t>icon_fashion_clothes_Campuswear_F</t>
  </si>
  <si>
    <t>狂热圆点</t>
  </si>
  <si>
    <t>icon_fashion_clothes_Beachwear_F</t>
  </si>
  <si>
    <t>夏日激情</t>
  </si>
  <si>
    <t>icon_fashion_clothes_Swimsuit_F</t>
  </si>
  <si>
    <t>登山迷彩</t>
  </si>
  <si>
    <t>icon_fashion_clothes_Camouflage_F</t>
  </si>
  <si>
    <t>绅士V领背心</t>
  </si>
  <si>
    <t>icon_fashion_clothes_Campuswear_M</t>
  </si>
  <si>
    <t>夏日狂欢</t>
  </si>
  <si>
    <t>icon_fashion_clothes_Beachwear_M</t>
  </si>
  <si>
    <t>军装迷彩</t>
  </si>
  <si>
    <t>icon_fashion_clothes_Camouflage_M</t>
  </si>
  <si>
    <t>赤膊上阵</t>
  </si>
  <si>
    <t>icon_fashion_clothes_Swimsuit_M</t>
  </si>
  <si>
    <t>温馨校园上装</t>
  </si>
  <si>
    <t>icon_fashion_clothes_Campuswear1_F</t>
  </si>
  <si>
    <t>深秋之恋上装</t>
  </si>
  <si>
    <t>icon_fashion_clothes_Fashion_F</t>
  </si>
  <si>
    <t>星星小背心</t>
  </si>
  <si>
    <t>icon_fashion_clothes_Sportswear_F</t>
  </si>
  <si>
    <t>暴力高校上装</t>
  </si>
  <si>
    <t>icon_fashion_clothes_Campuswear1_M</t>
  </si>
  <si>
    <t>时尚印花背心</t>
  </si>
  <si>
    <t>icon_fashion_clothes_Fashion_M</t>
  </si>
  <si>
    <t>僵尸印花背心</t>
  </si>
  <si>
    <t>icon_fashion_clothes_Sportswear_M</t>
  </si>
  <si>
    <t>清爽小背心</t>
  </si>
  <si>
    <t>绅士小马甲</t>
  </si>
  <si>
    <t>运动紧身背心</t>
  </si>
  <si>
    <t>拼色棒球服</t>
  </si>
  <si>
    <t>哈雷高腰皮衣</t>
  </si>
  <si>
    <t>潮人皮夹克</t>
  </si>
  <si>
    <t>冬日温情上衣</t>
  </si>
  <si>
    <t>西部狂飙上衣</t>
  </si>
  <si>
    <t>功夫布衣</t>
  </si>
  <si>
    <t>暴走马甲</t>
  </si>
  <si>
    <t>黑色妖姬</t>
  </si>
  <si>
    <t>宽敞大T恤</t>
  </si>
  <si>
    <t>蜂王的衣服服</t>
  </si>
  <si>
    <t>张小虎的护腕</t>
  </si>
  <si>
    <t>林光洙上的衣服</t>
  </si>
  <si>
    <t>旧莱安的衣服服</t>
  </si>
  <si>
    <t>旧莱瑞拉的衣服</t>
  </si>
  <si>
    <t>赛丽娜的上衣</t>
  </si>
  <si>
    <t>伊娃的上衣</t>
  </si>
  <si>
    <t>卡洛琳的上衣</t>
  </si>
  <si>
    <t>艾咪的上衣</t>
  </si>
  <si>
    <t>丹妮丝的上衣</t>
  </si>
  <si>
    <t>青青草原上装</t>
  </si>
  <si>
    <t>女巫套装</t>
  </si>
  <si>
    <t>阿五的衣服</t>
  </si>
  <si>
    <t>小瑞的衣服</t>
  </si>
  <si>
    <t>爱丽丝的衣服</t>
  </si>
  <si>
    <t>Terry Willson的上衣</t>
  </si>
  <si>
    <t>Joe Smasher的上衣</t>
  </si>
  <si>
    <t>Seth Alexander的衣服</t>
  </si>
  <si>
    <t>Tommy Fireball的衣服</t>
  </si>
  <si>
    <t>Astrid the Witch的衣服</t>
  </si>
  <si>
    <t>Cathy M.K的衣服</t>
  </si>
  <si>
    <t>下身</t>
  </si>
  <si>
    <t>大号运动短裤</t>
  </si>
  <si>
    <t>登山短裤</t>
  </si>
  <si>
    <t>牛仔裤</t>
  </si>
  <si>
    <t>黑色休闲裤</t>
  </si>
  <si>
    <t>白色球裤</t>
  </si>
  <si>
    <t>红色球裤</t>
  </si>
  <si>
    <t>紧身休闲裤</t>
  </si>
  <si>
    <t>雪豹紧身裤</t>
  </si>
  <si>
    <t>黑色运动短裤</t>
  </si>
  <si>
    <t>宽松圆筒裤</t>
  </si>
  <si>
    <t>黄色球裤</t>
  </si>
  <si>
    <t>紧身牛仔裤</t>
  </si>
  <si>
    <t>宽松工装裤</t>
  </si>
  <si>
    <t>慢跑长裤</t>
  </si>
  <si>
    <t>绿色体操裤</t>
  </si>
  <si>
    <t>纯色休闲长裤</t>
  </si>
  <si>
    <t>超短牛仔裤</t>
  </si>
  <si>
    <t>跑步长裤</t>
  </si>
  <si>
    <t>紧身跑步短裤</t>
  </si>
  <si>
    <t>icon_fashion_pants05</t>
  </si>
  <si>
    <t>白色休闲裤</t>
  </si>
  <si>
    <t>icon_fashion_pants01</t>
  </si>
  <si>
    <t>紫色七分裤</t>
  </si>
  <si>
    <t>icon_fashion_pants04</t>
  </si>
  <si>
    <t>魅力印花打底裤</t>
  </si>
  <si>
    <t>icon_fashion_pants_Hiphop_F</t>
  </si>
  <si>
    <t>背带条纹裤</t>
  </si>
  <si>
    <t>icon_fashion_pants_Hiphop_M</t>
  </si>
  <si>
    <t>消防长裤</t>
  </si>
  <si>
    <t>icon_fashion_pants_SRORFG</t>
  </si>
  <si>
    <t>icon_fashion_pants_Soccer_F</t>
  </si>
  <si>
    <t>icon_fashion_pants_Soccer_M</t>
  </si>
  <si>
    <t>野性橄榄球裤</t>
  </si>
  <si>
    <t>icon_fashion_pants_Football_F</t>
  </si>
  <si>
    <t>冲撞橄榄球裤</t>
  </si>
  <si>
    <t>icon_fashion_pants_Football_M</t>
  </si>
  <si>
    <t>如意唐装裤</t>
  </si>
  <si>
    <t>icon_fashion_pants_Tangsuit_F</t>
  </si>
  <si>
    <t>吉祥唐装裤</t>
  </si>
  <si>
    <t>icon_fashion_pants_Tangsuit_M</t>
  </si>
  <si>
    <t>灰色居家休闲裤</t>
  </si>
  <si>
    <t>icon_fashion_pants_Campuswear_F</t>
  </si>
  <si>
    <t>低腰多袋裤</t>
  </si>
  <si>
    <t>icon_fashion_pants_Beachwear_F</t>
  </si>
  <si>
    <t>icon_fashion_pants_swimsuit_F</t>
  </si>
  <si>
    <t>复古户外裤</t>
  </si>
  <si>
    <t>icon_fashion_pants_Camouflage_F</t>
  </si>
  <si>
    <t>大格子休闲裤</t>
  </si>
  <si>
    <t>icon_fashion_pants_Campuswear_M</t>
  </si>
  <si>
    <t>前卫休闲裤</t>
  </si>
  <si>
    <t>icon_fashion_pants_Beachwear_M</t>
  </si>
  <si>
    <t>条纹沙滩裤</t>
  </si>
  <si>
    <t>icon_fashion_pants_swimsuit_M</t>
  </si>
  <si>
    <t>迷彩多袋裤</t>
  </si>
  <si>
    <t>icon_fashion_pants_Camouflage_M</t>
  </si>
  <si>
    <t>温馨校园短裙</t>
  </si>
  <si>
    <t>icon_fashion_pants_Campuswear1_F</t>
  </si>
  <si>
    <t>深秋之恋长裤</t>
  </si>
  <si>
    <t>icon_fashion_pants_Fashion_F</t>
  </si>
  <si>
    <t>运动玫瑰热裤</t>
  </si>
  <si>
    <t>icon_fashion_pants_Sportswear_F</t>
  </si>
  <si>
    <t>暴力高校下装</t>
  </si>
  <si>
    <t>icon_fashion_pants_Campuswear1_M</t>
  </si>
  <si>
    <t>个性牛仔裤</t>
  </si>
  <si>
    <t>icon_fashion_pants_Fashion_M</t>
  </si>
  <si>
    <t>印花运动短裤</t>
  </si>
  <si>
    <t>icon_fashion_pants_Sportswear_M</t>
  </si>
  <si>
    <t>个性七分裤</t>
  </si>
  <si>
    <t>做旧牛仔裤</t>
  </si>
  <si>
    <t>英伦条纹西裤</t>
  </si>
  <si>
    <t>哈雷紧身裤</t>
  </si>
  <si>
    <t>运动棒球裤</t>
  </si>
  <si>
    <t>潮人皮裤</t>
  </si>
  <si>
    <t>冬日温情下装</t>
  </si>
  <si>
    <t>西部狂飙下装</t>
  </si>
  <si>
    <t>功夫长裤</t>
  </si>
  <si>
    <t>icon_fashion_pants_KungFuSuit_M</t>
  </si>
  <si>
    <t>休闲多袋短裤</t>
  </si>
  <si>
    <t>怀旧喇叭裤</t>
  </si>
  <si>
    <t>蜂王的裤子</t>
  </si>
  <si>
    <t>张小虎的裤子子</t>
  </si>
  <si>
    <t>林光洙的裤子子</t>
  </si>
  <si>
    <t>旧莱瑞拉的裤子</t>
  </si>
  <si>
    <t>李娜的裤子</t>
  </si>
  <si>
    <t>赛丽娜裤子</t>
  </si>
  <si>
    <t>伊娃的下装</t>
  </si>
  <si>
    <t>艾咪的下装</t>
  </si>
  <si>
    <t>丹妮丝的下装</t>
  </si>
  <si>
    <t>青青草原下装</t>
  </si>
  <si>
    <t>野狗的裤子</t>
  </si>
  <si>
    <t>阿五的裤子</t>
  </si>
  <si>
    <t>小瑞的裤子</t>
  </si>
  <si>
    <t>爱丽丝的裤子</t>
  </si>
  <si>
    <t>Terry Willson的下装</t>
  </si>
  <si>
    <t>Joe Smasher的下装</t>
  </si>
  <si>
    <t>Seth Alexander的裤子</t>
  </si>
  <si>
    <t>Tommy Fireball的裤子</t>
  </si>
  <si>
    <t>Astrid the Witch的裤子</t>
  </si>
  <si>
    <t>Cathy M.K的裤子</t>
  </si>
  <si>
    <t>鞋子</t>
  </si>
  <si>
    <t>白色休闲板鞋</t>
  </si>
  <si>
    <t>战神气垫鞋</t>
  </si>
  <si>
    <t>高弹气垫鞋</t>
  </si>
  <si>
    <t>怀旧版篮球鞋</t>
  </si>
  <si>
    <t>红魔气垫鞋</t>
  </si>
  <si>
    <t>方包旅游鞋</t>
  </si>
  <si>
    <t>夹板拖鞋</t>
  </si>
  <si>
    <t>赤蜂五代</t>
  </si>
  <si>
    <t>红色运动板鞋</t>
  </si>
  <si>
    <t>毒液五代</t>
  </si>
  <si>
    <t>乔丹气垫鞋</t>
  </si>
  <si>
    <t>高帮网球鞋</t>
  </si>
  <si>
    <t>厚底板鞋</t>
  </si>
  <si>
    <t>大黄蜂</t>
  </si>
  <si>
    <t>星星高帮板鞋</t>
  </si>
  <si>
    <t>血色獠牙</t>
  </si>
  <si>
    <t>气垫跑鞋</t>
  </si>
  <si>
    <t>经典版篮球鞋</t>
  </si>
  <si>
    <t>icon_fashion_shoes05</t>
  </si>
  <si>
    <t>粉红休闲板鞋</t>
  </si>
  <si>
    <t>icon_fashion_shoes01</t>
  </si>
  <si>
    <t>紫色休闲板鞋</t>
  </si>
  <si>
    <t>icon_fashion_shoes04</t>
  </si>
  <si>
    <t>纯黑篮球鞋</t>
  </si>
  <si>
    <t>icon_fashion_shoes_Hiphop_F</t>
  </si>
  <si>
    <t>拼色运动鞋</t>
  </si>
  <si>
    <t>icon_fashion_shoes_Hiphop_M</t>
  </si>
  <si>
    <t>消防皮鞋</t>
  </si>
  <si>
    <t>icon_fashion_shoes_SRORFG</t>
  </si>
  <si>
    <t>icon_fashion_shose_Soccer_F</t>
  </si>
  <si>
    <t>icon_fashion_shose_Soccer_M</t>
  </si>
  <si>
    <t>野性橄榄球鞋</t>
  </si>
  <si>
    <t>icon_fashion_shose_Football_F</t>
  </si>
  <si>
    <t>冲撞橄榄球鞋</t>
  </si>
  <si>
    <t>icon_fashion_shose_Football_M</t>
  </si>
  <si>
    <t>如意绣花鞋</t>
  </si>
  <si>
    <t>icon_fashion_shose_Tangsuit_F</t>
  </si>
  <si>
    <t>吉祥红布鞋</t>
  </si>
  <si>
    <t>icon_fashion_shose_Tangsuit_M</t>
  </si>
  <si>
    <t>暖色运动板鞋</t>
  </si>
  <si>
    <t>icon_fashion_shose_Campuswear_F</t>
  </si>
  <si>
    <t>小淑女皮鞋</t>
  </si>
  <si>
    <t>icon_fashion_shose_Beachwear_F</t>
  </si>
  <si>
    <t>撞色运动鞋</t>
  </si>
  <si>
    <t>icon_fashion_shose_Camouflage_F</t>
  </si>
  <si>
    <t>复古大头皮鞋</t>
  </si>
  <si>
    <t>icon_fashion_shose_Campuswear_M</t>
  </si>
  <si>
    <t>纯色马可鞋</t>
  </si>
  <si>
    <t>icon_fashion_shose_Beachwear_M</t>
  </si>
  <si>
    <t>迷彩高帮板鞋</t>
  </si>
  <si>
    <t>icon_fashion_shose_Camouflage_M</t>
  </si>
  <si>
    <t>温馨平底鞋</t>
  </si>
  <si>
    <t>icon_fashion_shose_Campuswear1_F</t>
  </si>
  <si>
    <t>圆头经典板鞋</t>
  </si>
  <si>
    <t>icon_fashion_shose_Fashion_F</t>
  </si>
  <si>
    <t>视觉冲击运动鞋</t>
  </si>
  <si>
    <t>icon_fashion_shose_Sportswear_F</t>
  </si>
  <si>
    <t>高校白球鞋</t>
  </si>
  <si>
    <t>icon_fashion_shose_Campuswear1_M</t>
  </si>
  <si>
    <t>撞色气垫鞋</t>
  </si>
  <si>
    <t>海洋色运动鞋</t>
  </si>
  <si>
    <t>奇异风篮球鞋</t>
  </si>
  <si>
    <t>撞色圆头棒球鞋</t>
  </si>
  <si>
    <t>英伦风皮鞋</t>
  </si>
  <si>
    <t>复古高帮皮鞋</t>
  </si>
  <si>
    <t>纯色棒球鞋</t>
  </si>
  <si>
    <t>潮人皮鞋</t>
  </si>
  <si>
    <t>温情雪地鞋</t>
  </si>
  <si>
    <t>狂飙牛仔靴</t>
  </si>
  <si>
    <t>功夫布鞋</t>
  </si>
  <si>
    <t>icon_fashion_shose_KungFuSuit</t>
  </si>
  <si>
    <t>方头白色板鞋</t>
  </si>
  <si>
    <t>蜂王的鞋子</t>
  </si>
  <si>
    <t>林光洙的鞋子</t>
  </si>
  <si>
    <t>电锯惊魂鞋子</t>
  </si>
  <si>
    <t>旧莱瑞拉的鞋子</t>
  </si>
  <si>
    <t>李娜的鞋子</t>
  </si>
  <si>
    <t>伊娃的鞋子</t>
  </si>
  <si>
    <t>卡洛琳的鞋子</t>
  </si>
  <si>
    <t>艾咪的鞋子</t>
  </si>
  <si>
    <t>丹妮丝的鞋子</t>
  </si>
  <si>
    <t>青青草原鞋子</t>
  </si>
  <si>
    <t>女巫的鞋子</t>
  </si>
  <si>
    <t>旧艾斯克斯的鞋子</t>
  </si>
  <si>
    <t>阿五的鞋子</t>
  </si>
  <si>
    <t>小瑞的鞋子</t>
  </si>
  <si>
    <t>爱丽丝的鞋子</t>
  </si>
  <si>
    <t>Joe Smasher的鞋子</t>
  </si>
  <si>
    <t>Terry Willson的鞋子</t>
  </si>
  <si>
    <t>Seth Alexander的鞋子</t>
  </si>
  <si>
    <t>Tommy Fireball的鞋子</t>
  </si>
  <si>
    <t>Astrid the Witch的鞋子</t>
  </si>
  <si>
    <t>Cathy M.K的鞋子</t>
  </si>
  <si>
    <t>套装</t>
  </si>
  <si>
    <t>圣诞小鹿装</t>
  </si>
  <si>
    <t>icon_fashion_clothes_Christmas</t>
  </si>
  <si>
    <t>0&amp;2&amp;3&amp;4</t>
  </si>
  <si>
    <t>梦幻冲浪女装</t>
  </si>
  <si>
    <t>icon_fashion_clothes_surf_F</t>
  </si>
  <si>
    <t>0&amp;2&amp;3</t>
  </si>
  <si>
    <t>激情冲浪男装</t>
  </si>
  <si>
    <t>icon_fashion_clothes_surf_M</t>
  </si>
  <si>
    <t>乡村背带裤</t>
  </si>
  <si>
    <t>icon_fashion_clothes_Rompers_M</t>
  </si>
  <si>
    <t>修身背带裤</t>
  </si>
  <si>
    <t>icon_fashion_clothes_Rompers_F</t>
  </si>
  <si>
    <t>急速赛车服</t>
  </si>
  <si>
    <t>icon_fashion_clothes_RacingSuit_F</t>
  </si>
  <si>
    <t>icon_fashion_clothes_RacingSuit_M</t>
  </si>
  <si>
    <t>0&amp;1&amp;2</t>
  </si>
  <si>
    <t>电锯惊魂套装</t>
  </si>
  <si>
    <t>萝拉的连衣裙</t>
  </si>
  <si>
    <t>卡通大书包</t>
  </si>
  <si>
    <t>icon_fashion_Back_Backpack1</t>
  </si>
  <si>
    <t>卖萌母牛</t>
  </si>
  <si>
    <t>icon_fashion_Back_Backpack</t>
  </si>
  <si>
    <t>炫酷骷髅</t>
  </si>
  <si>
    <t>icon_fashion_Back_Backpack2</t>
  </si>
  <si>
    <t>icon_fashion_Back_Backpack3</t>
  </si>
  <si>
    <t>依斑娜吉他</t>
  </si>
  <si>
    <t>icon_fashion_Back_Electricguitar</t>
  </si>
  <si>
    <t>梵域巡航</t>
  </si>
  <si>
    <t>icon_fashion_Back_Skate</t>
  </si>
  <si>
    <t>屠龙宝刀</t>
  </si>
  <si>
    <t>icon_fashion_Back_Knife</t>
  </si>
  <si>
    <t>萌萌兔背包</t>
  </si>
  <si>
    <t>icon_fashion_Back_Backpack4</t>
  </si>
  <si>
    <t>罗兰吉他</t>
  </si>
  <si>
    <t>icon_fashion_Back_Electric_guitar2</t>
  </si>
  <si>
    <t>Box</t>
  </si>
  <si>
    <t>icon_fashion_Back_Backpack5</t>
  </si>
  <si>
    <t>狮子王背包</t>
  </si>
  <si>
    <t>icon_fashion_Back_Backpack6</t>
  </si>
  <si>
    <t>氧气罐</t>
  </si>
  <si>
    <t>欢喜熊猫</t>
  </si>
  <si>
    <t>icon_fashion_Back_Backpack8</t>
  </si>
  <si>
    <t>依披风吉他</t>
  </si>
  <si>
    <t>icon_fashion_Back_Electric_guitar1</t>
  </si>
  <si>
    <t>超带感吉他</t>
  </si>
  <si>
    <t>icon_fashion_Back_fellGuitar</t>
  </si>
  <si>
    <t>醉生死</t>
  </si>
  <si>
    <t>icon_fashion_Back_Backpack9</t>
  </si>
  <si>
    <t>公爵</t>
  </si>
  <si>
    <t>icon_fashion_Back_Skate1</t>
  </si>
  <si>
    <t>驴友背包</t>
  </si>
  <si>
    <t>icon_fashion_Back_Backpack10</t>
  </si>
  <si>
    <t>倩女幽魂</t>
  </si>
  <si>
    <t>icon_fashion_Back_Backpack11</t>
  </si>
  <si>
    <t>收音机</t>
  </si>
  <si>
    <t>icon_fashion_Back_Backpack12</t>
  </si>
  <si>
    <t>训练项</t>
  </si>
  <si>
    <t>球员进阶卡</t>
  </si>
  <si>
    <t>icon_goods_10041</t>
  </si>
  <si>
    <t>用于球员进阶，所有品阶均需使用的通用物品。</t>
  </si>
  <si>
    <t>10001:10111&amp;10002:10211&amp;10003:10311&amp;10004:10411</t>
  </si>
  <si>
    <t>白色进阶卡</t>
  </si>
  <si>
    <t>icon_goods_10042</t>
  </si>
  <si>
    <t>用于球员进阶0~3级。</t>
  </si>
  <si>
    <t>绿色进阶卡</t>
  </si>
  <si>
    <t>icon_goods_10043</t>
  </si>
  <si>
    <t>用于球员进阶4~5级。</t>
  </si>
  <si>
    <t>蓝色进阶卡</t>
  </si>
  <si>
    <t>icon_goods_10044</t>
  </si>
  <si>
    <t>用于球员进阶6~7级。</t>
  </si>
  <si>
    <t>紫色进阶卡</t>
  </si>
  <si>
    <t>icon_goods_10045</t>
  </si>
  <si>
    <t>用于球员进阶8~10级。</t>
  </si>
  <si>
    <t>橙色进阶卡</t>
  </si>
  <si>
    <t>icon_goods_10046</t>
  </si>
  <si>
    <t>用于球员进阶11~20级。</t>
  </si>
  <si>
    <t>爱神碎片</t>
  </si>
  <si>
    <t>收集满90个碎片可招募球员爱神。</t>
  </si>
  <si>
    <t>10004:10412&amp;10008:10812&amp;10012:11212</t>
  </si>
  <si>
    <t>Ef_Blink2</t>
  </si>
  <si>
    <t>萌萌碎片</t>
  </si>
  <si>
    <t>收集满90个碎片可招募球员萌萌。</t>
  </si>
  <si>
    <t>10007:10712&amp;10011:11112&amp;10015:11512</t>
  </si>
  <si>
    <t>山羊碎片</t>
  </si>
  <si>
    <t>收集满90个碎片可招募球员山羊。</t>
  </si>
  <si>
    <t>10006:10612&amp;10010:11012&amp;10014:11412</t>
  </si>
  <si>
    <t>萝拉碎片</t>
  </si>
  <si>
    <t>收集满90个碎片可招募球员萝拉。</t>
  </si>
  <si>
    <t>莱安碎片</t>
  </si>
  <si>
    <t>收集满90个碎片可招募球员莱安。</t>
  </si>
  <si>
    <t>10013:11312&amp;10018:11812</t>
  </si>
  <si>
    <t>给力芬碎片</t>
  </si>
  <si>
    <t>收集满90个碎片可招募球员给力芬。</t>
  </si>
  <si>
    <t>赛拉碎片</t>
  </si>
  <si>
    <t>收集满20个碎片可招募球员赛拉。</t>
  </si>
  <si>
    <t>10016:11611&amp;10016:11612&amp;10017:11712</t>
  </si>
  <si>
    <t>赛莉娜碎片</t>
  </si>
  <si>
    <t>收集满20个碎片可招募球员赛莉娜。</t>
  </si>
  <si>
    <t>艾伦碎片</t>
  </si>
  <si>
    <t>收集满20个碎片可招募球员艾伦。</t>
  </si>
  <si>
    <t>辉碎片</t>
  </si>
  <si>
    <t>收集满10个碎片可招募球员辉。</t>
  </si>
  <si>
    <t>10002:10211&amp;10004:10411</t>
  </si>
  <si>
    <t>莫福瑞碎片</t>
  </si>
  <si>
    <t>收集满20个碎片可招募球员莫福瑞。</t>
  </si>
  <si>
    <t>搜集者碎片</t>
  </si>
  <si>
    <t>收集20个碎片可招募球员骨头搜集者。</t>
  </si>
  <si>
    <t>收集满20个碎片可招募球员骨头搜集者。</t>
  </si>
  <si>
    <t>10009:10912&amp;10017:11711&amp;10018:11811</t>
  </si>
  <si>
    <t>林玮碎片</t>
  </si>
  <si>
    <t>收集满10个碎片可招募球员林玮。</t>
  </si>
  <si>
    <t>10001:10111&amp;10003:10311</t>
  </si>
  <si>
    <t>姣碎片</t>
  </si>
  <si>
    <t>收集满20个碎片可招募球员姣。</t>
  </si>
  <si>
    <t>10010:11011&amp;10012:11211&amp;10014:11411</t>
  </si>
  <si>
    <t>布丽姬特碎片</t>
  </si>
  <si>
    <t>收集满20个碎片可招募球员布丽姬特。</t>
  </si>
  <si>
    <t>10011:11111&amp;10013:11311&amp;10015:11511</t>
  </si>
  <si>
    <t>李娜碎片</t>
  </si>
  <si>
    <t>收集满20个碎片可招募球员李娜。</t>
  </si>
  <si>
    <t>莱瑞拉碎片</t>
  </si>
  <si>
    <t>收集满20个碎片可招募球员莱瑞拉。</t>
  </si>
  <si>
    <t>10001:10112&amp;10002:10212&amp;10003:10312</t>
  </si>
  <si>
    <t>蜂王碎片</t>
  </si>
  <si>
    <t>收集满20个碎片可招募球员蜂王。</t>
  </si>
  <si>
    <t>10005:10511&amp;10006:10611&amp;10007:10711</t>
  </si>
  <si>
    <t>娜塔莎碎片</t>
  </si>
  <si>
    <t>收集满20个碎片可招募球员娜塔莎。</t>
  </si>
  <si>
    <t>10005:10512&amp;10008:10811&amp;10009:10911</t>
  </si>
  <si>
    <t>小飞侠碎片</t>
  </si>
  <si>
    <t>收集满90个碎片可招募球员小飞侠。</t>
  </si>
  <si>
    <t>艾斯克斯碎片</t>
  </si>
  <si>
    <t>收集满10个碎片可招募球员艾斯克斯。</t>
  </si>
  <si>
    <t>爱丝碎片</t>
  </si>
  <si>
    <t>收集满10个碎片可招募球员爱丝。</t>
  </si>
  <si>
    <t>野狗乔治碎片</t>
  </si>
  <si>
    <t>收集满10个碎片可招募球员野狗乔治。</t>
  </si>
  <si>
    <t>阿五碎片</t>
  </si>
  <si>
    <t>收集满10个碎片可招募球员阿五。</t>
  </si>
  <si>
    <t>小瑞碎片</t>
  </si>
  <si>
    <t>爱丽丝碎片</t>
  </si>
  <si>
    <t>收集满10个碎片可招募球员爱丽丝。</t>
  </si>
  <si>
    <t>水动乐30ML</t>
  </si>
  <si>
    <t>icon_train_10101</t>
  </si>
  <si>
    <t>用于干扰1-5级提升。</t>
  </si>
  <si>
    <t>10001:10101&amp;10001:10111</t>
  </si>
  <si>
    <t>脉动30ML</t>
  </si>
  <si>
    <t>icon_train_10102</t>
  </si>
  <si>
    <t>用于控球1-5级提升。</t>
  </si>
  <si>
    <t>10001:10104&amp;10001:10111</t>
  </si>
  <si>
    <t>尖叫30ML</t>
  </si>
  <si>
    <t>icon_train_10103</t>
  </si>
  <si>
    <t>用于盖帽1-5级提升。</t>
  </si>
  <si>
    <t>10001:10107&amp;10001:10111</t>
  </si>
  <si>
    <t>健力宝30ML</t>
  </si>
  <si>
    <t>icon_train_10104</t>
  </si>
  <si>
    <t>用于篮板1-5级提升。</t>
  </si>
  <si>
    <t>10001:10110&amp;10001:10111</t>
  </si>
  <si>
    <t>乐虎30ML</t>
  </si>
  <si>
    <t>icon_train_10105</t>
  </si>
  <si>
    <t>用于传球1-5级提升。</t>
  </si>
  <si>
    <t>10001:10112&amp;10002:10201</t>
  </si>
  <si>
    <t>水动乐60ML</t>
  </si>
  <si>
    <t>icon_train_10101&amp;com_card_d_gree</t>
  </si>
  <si>
    <t>用于干扰6-10级提升。</t>
  </si>
  <si>
    <t>10001:10112&amp;10002:10204</t>
  </si>
  <si>
    <t>脉动60ML</t>
  </si>
  <si>
    <t>icon_train_10102&amp;com_card_d_gree</t>
  </si>
  <si>
    <t>用于控球6-10级提升。</t>
  </si>
  <si>
    <t>10002:10207&amp;10002:10211</t>
  </si>
  <si>
    <t xml:space="preserve">            </t>
  </si>
  <si>
    <t>尖叫60ML</t>
  </si>
  <si>
    <t>icon_train_10103&amp;com_card_d_gree</t>
  </si>
  <si>
    <t>用于盖帽6-10级提升。</t>
  </si>
  <si>
    <t>10002:10210&amp;10002:10211</t>
  </si>
  <si>
    <t>健力宝60ML</t>
  </si>
  <si>
    <t>icon_train_10104&amp;com_card_d_gree</t>
  </si>
  <si>
    <t>用于篮板6-10级提升。</t>
  </si>
  <si>
    <t>10002:10212&amp;10003:10301</t>
  </si>
  <si>
    <t>乐虎60ML</t>
  </si>
  <si>
    <t>icon_train_10105&amp;com_card_d_gree</t>
  </si>
  <si>
    <t>用于传球6-10级提升。</t>
  </si>
  <si>
    <t>10002:10212&amp;10003:10304</t>
  </si>
  <si>
    <t>水动乐100ML</t>
  </si>
  <si>
    <t>icon_train_10101&amp;com_card_d_gree&amp;1</t>
  </si>
  <si>
    <t>用于干扰11-15级提升。</t>
  </si>
  <si>
    <t>10003:10307&amp;10003:10311</t>
  </si>
  <si>
    <t>脉动100ML</t>
  </si>
  <si>
    <t>icon_train_10102&amp;com_card_d_gree&amp;1</t>
  </si>
  <si>
    <t>用于控球11-15级提升。</t>
  </si>
  <si>
    <t>10003:10310&amp;10003:10311</t>
  </si>
  <si>
    <t>尖叫100ML</t>
  </si>
  <si>
    <t>icon_train_10103&amp;com_card_d_gree&amp;1</t>
  </si>
  <si>
    <t>用于盖帽11-15级提升。</t>
  </si>
  <si>
    <t>10003:10312&amp;10004:10401</t>
  </si>
  <si>
    <t>健力宝100ML</t>
  </si>
  <si>
    <t>icon_train_10104&amp;com_card_d_gree&amp;1</t>
  </si>
  <si>
    <t>用于篮板11-15级提升。</t>
  </si>
  <si>
    <t>10003:10312&amp;10004:10404</t>
  </si>
  <si>
    <t>乐虎100ML</t>
  </si>
  <si>
    <t>icon_train_10105&amp;com_card_d_gree&amp;1</t>
  </si>
  <si>
    <t>用于传球11-15级提升。</t>
  </si>
  <si>
    <t>10004:10407&amp;10004:10411</t>
  </si>
  <si>
    <t>水动乐150ML</t>
  </si>
  <si>
    <t>icon_train_10101&amp;com_card_d_blue</t>
  </si>
  <si>
    <t>用于干扰16-20级提升。</t>
  </si>
  <si>
    <t>10004:10410&amp;10004:10411</t>
  </si>
  <si>
    <t>脉动150ML</t>
  </si>
  <si>
    <t>icon_train_10102&amp;com_card_d_blue</t>
  </si>
  <si>
    <t>用于控球16-20级提升。</t>
  </si>
  <si>
    <t>10004:10412&amp;10005:10501</t>
  </si>
  <si>
    <t>尖叫150ML</t>
  </si>
  <si>
    <t>icon_train_10103&amp;com_card_d_blue</t>
  </si>
  <si>
    <t>用于盖帽16-20级提升。</t>
  </si>
  <si>
    <t>10004:10412&amp;10005:10504</t>
  </si>
  <si>
    <t>健力宝150ML</t>
  </si>
  <si>
    <t>icon_train_10104&amp;com_card_d_blue</t>
  </si>
  <si>
    <t>用于篮板16-20级提升。</t>
  </si>
  <si>
    <t>10005:10507&amp;10005:10511</t>
  </si>
  <si>
    <t>乐虎150ML</t>
  </si>
  <si>
    <t>icon_train_10105&amp;com_card_d_blue</t>
  </si>
  <si>
    <t>用于传球16-20级提升。</t>
  </si>
  <si>
    <t>10005:10510&amp;10005:10511</t>
  </si>
  <si>
    <t>水动乐180ML</t>
  </si>
  <si>
    <t>icon_train_10101&amp;com_card_d_blue&amp;1</t>
  </si>
  <si>
    <t>用于干扰21-25级提升。</t>
  </si>
  <si>
    <t>10005:10512&amp;10006:10601</t>
  </si>
  <si>
    <t>脉动180ML</t>
  </si>
  <si>
    <t>icon_train_10102&amp;com_card_d_blue&amp;1</t>
  </si>
  <si>
    <t>用于控球21-25级提升。</t>
  </si>
  <si>
    <t>10005:10512&amp;10006:10604</t>
  </si>
  <si>
    <t>尖叫180ML</t>
  </si>
  <si>
    <t>icon_train_10103&amp;com_card_d_blue&amp;1</t>
  </si>
  <si>
    <t>用于盖帽21-25级提升。</t>
  </si>
  <si>
    <t>10006:10607&amp;10006:10611</t>
  </si>
  <si>
    <t>健力宝180ML</t>
  </si>
  <si>
    <t>icon_train_10104&amp;com_card_d_blue&amp;1</t>
  </si>
  <si>
    <t>用于篮板21-25级提升。</t>
  </si>
  <si>
    <t>10006:10610&amp;10006:10611</t>
  </si>
  <si>
    <t>乐虎180ML</t>
  </si>
  <si>
    <t>icon_train_10105&amp;com_card_d_blue&amp;1</t>
  </si>
  <si>
    <t>用于传球21-25级提升。</t>
  </si>
  <si>
    <t>10006:10612&amp;10007:10701</t>
  </si>
  <si>
    <t>水动乐200ML</t>
  </si>
  <si>
    <t>icon_train_10101&amp;com_card_d_blue&amp;2</t>
  </si>
  <si>
    <t>用于干扰26-30级提升。</t>
  </si>
  <si>
    <t>10006:10612&amp;10007:10704</t>
  </si>
  <si>
    <t>脉动200ML</t>
  </si>
  <si>
    <t>icon_train_10102&amp;com_card_d_blue&amp;2</t>
  </si>
  <si>
    <t>用于控球26-30级提升。</t>
  </si>
  <si>
    <t>10007:10707&amp;10007:10711</t>
  </si>
  <si>
    <t>尖叫200ML</t>
  </si>
  <si>
    <t>icon_train_10103&amp;com_card_d_blue&amp;2</t>
  </si>
  <si>
    <t>用于盖帽26-30级提升。</t>
  </si>
  <si>
    <t>10007:10710&amp;10007:10711</t>
  </si>
  <si>
    <t>健力宝200ML</t>
  </si>
  <si>
    <t>icon_train_10104&amp;com_card_d_blue&amp;2</t>
  </si>
  <si>
    <t>用于篮板26-30级提升。</t>
  </si>
  <si>
    <t>10007:10712&amp;10008:10801</t>
  </si>
  <si>
    <t>乐虎200ML</t>
  </si>
  <si>
    <t>icon_train_10105&amp;com_card_d_blue&amp;2</t>
  </si>
  <si>
    <t>用于传球26-30级提升。</t>
  </si>
  <si>
    <t>10007:10712&amp;10008:10804</t>
  </si>
  <si>
    <t>水动乐250ML</t>
  </si>
  <si>
    <t>icon_train_10101&amp;com_card_d_purple</t>
  </si>
  <si>
    <t>用于干扰31-35级提升。</t>
  </si>
  <si>
    <t>10008:10807&amp;10008:10811</t>
  </si>
  <si>
    <t>脉动250ML</t>
  </si>
  <si>
    <t>icon_train_10102&amp;com_card_d_purple</t>
  </si>
  <si>
    <t>用于控球31-35级提升。</t>
  </si>
  <si>
    <t>10008:10810&amp;10008:10811</t>
  </si>
  <si>
    <t>尖叫250ML</t>
  </si>
  <si>
    <t>icon_train_10103&amp;com_card_d_purple</t>
  </si>
  <si>
    <t>用于盖帽31-35级提升。</t>
  </si>
  <si>
    <t>10008:10812&amp;10009:10901</t>
  </si>
  <si>
    <t>健力宝250ML</t>
  </si>
  <si>
    <t>icon_train_10104&amp;com_card_d_purple</t>
  </si>
  <si>
    <t>用于篮板31-35级提升。</t>
  </si>
  <si>
    <t>10008:10812&amp;10009:10904</t>
  </si>
  <si>
    <t>乐虎250ML</t>
  </si>
  <si>
    <t>icon_train_10105&amp;com_card_d_purple</t>
  </si>
  <si>
    <t>用于传球31-35级提升。</t>
  </si>
  <si>
    <t>10009:10907&amp;10009:10911</t>
  </si>
  <si>
    <t>水动乐300ML</t>
  </si>
  <si>
    <t>icon_train_10101&amp;com_card_d_purple&amp;1</t>
  </si>
  <si>
    <t>用于干扰36-40级提升。</t>
  </si>
  <si>
    <t>10009:10910&amp;10009:10911</t>
  </si>
  <si>
    <t>脉动300ML</t>
  </si>
  <si>
    <t>icon_train_10102&amp;com_card_d_purple&amp;1</t>
  </si>
  <si>
    <t>用于控球36-40级提升。</t>
  </si>
  <si>
    <t>10009:10912&amp;10010:11001</t>
  </si>
  <si>
    <t>尖叫300ML</t>
  </si>
  <si>
    <t>icon_train_10103&amp;com_card_d_purple&amp;1</t>
  </si>
  <si>
    <t>用于盖帽36-40级提升。</t>
  </si>
  <si>
    <t>10009:10912&amp;10010:11004</t>
  </si>
  <si>
    <t>健力宝300ML</t>
  </si>
  <si>
    <t>icon_train_10104&amp;com_card_d_purple&amp;1</t>
  </si>
  <si>
    <t>用于篮板36-40级提升。</t>
  </si>
  <si>
    <t>10010:11007&amp;10010:11011</t>
  </si>
  <si>
    <t>乐虎300ML</t>
  </si>
  <si>
    <t>icon_train_10105&amp;com_card_d_purple&amp;1</t>
  </si>
  <si>
    <t>用于传球36-40级提升。</t>
  </si>
  <si>
    <t>10010:11010&amp;10010:11011</t>
  </si>
  <si>
    <t>水动乐400ML</t>
  </si>
  <si>
    <t>icon_train_10101&amp;com_card_d_purple&amp;2</t>
  </si>
  <si>
    <t>用于干扰41-45级提升。</t>
  </si>
  <si>
    <t>10010:11012&amp;10011:11101</t>
  </si>
  <si>
    <t>脉动400ML</t>
  </si>
  <si>
    <t>icon_train_10102&amp;com_card_d_purple&amp;2</t>
  </si>
  <si>
    <t>用于控球41-45级提升。</t>
  </si>
  <si>
    <t>10010:11012&amp;10011:11104</t>
  </si>
  <si>
    <t>尖叫400ML</t>
  </si>
  <si>
    <t>icon_train_10103&amp;com_card_d_purple&amp;2</t>
  </si>
  <si>
    <t>用于盖帽41-45级提升。</t>
  </si>
  <si>
    <t>10011:11107&amp;10011:11111</t>
  </si>
  <si>
    <t>健力宝400ML</t>
  </si>
  <si>
    <t>icon_train_10104&amp;com_card_d_purple&amp;2</t>
  </si>
  <si>
    <t>用于篮板41-45级提升。</t>
  </si>
  <si>
    <t>10011:11110&amp;10011:11111</t>
  </si>
  <si>
    <t>乐虎400ML</t>
  </si>
  <si>
    <t>icon_train_10105&amp;com_card_d_purple&amp;2</t>
  </si>
  <si>
    <t>用于传球41-45级提升。</t>
  </si>
  <si>
    <t>10011:11112&amp;10012:11201</t>
  </si>
  <si>
    <t>水动乐500ML</t>
  </si>
  <si>
    <t>icon_train_10101&amp;com_card_d_purple&amp;3</t>
  </si>
  <si>
    <t>用于干扰46-50级提升。</t>
  </si>
  <si>
    <t>10011:11112&amp;10012:11204</t>
  </si>
  <si>
    <t>脉动500ML</t>
  </si>
  <si>
    <t>icon_train_10102&amp;com_card_d_purple&amp;3</t>
  </si>
  <si>
    <t>用于控球46-50级提升。</t>
  </si>
  <si>
    <t>10012:11207&amp;10012:11211</t>
  </si>
  <si>
    <t>尖叫500ML</t>
  </si>
  <si>
    <t>icon_train_10103&amp;com_card_d_purple&amp;3</t>
  </si>
  <si>
    <t>用于盖帽46-50级提升。</t>
  </si>
  <si>
    <t>10012:11210&amp;10012:11211</t>
  </si>
  <si>
    <t>健力宝500ML</t>
  </si>
  <si>
    <t>icon_train_10104&amp;com_card_d_purple&amp;3</t>
  </si>
  <si>
    <t>用于篮板46-50级提升。</t>
  </si>
  <si>
    <t>10012:11212&amp;10013:11301</t>
  </si>
  <si>
    <t>乐虎500ML</t>
  </si>
  <si>
    <t>icon_train_10105&amp;com_card_d_purple&amp;3</t>
  </si>
  <si>
    <t>用于传球46-50级提升。</t>
  </si>
  <si>
    <t>10012:11212&amp;10013:11304</t>
  </si>
  <si>
    <t>水动乐550ML</t>
  </si>
  <si>
    <t>icon_train_10101&amp;com_card_d_orange</t>
  </si>
  <si>
    <t>用于干扰51-55级提升。</t>
  </si>
  <si>
    <t>10013:11307&amp;10013:11311</t>
  </si>
  <si>
    <t>脉动550ML</t>
  </si>
  <si>
    <t>icon_train_10102&amp;com_card_d_orange</t>
  </si>
  <si>
    <t>用于控球51-55级提升。</t>
  </si>
  <si>
    <t>10013:11310&amp;10013:11311</t>
  </si>
  <si>
    <t>尖叫550ML</t>
  </si>
  <si>
    <t>icon_train_10103&amp;com_card_d_orange</t>
  </si>
  <si>
    <t>用于盖帽51-55级提升。</t>
  </si>
  <si>
    <t>10013:11312&amp;10014:11401</t>
  </si>
  <si>
    <t>健力宝550ML</t>
  </si>
  <si>
    <t>icon_train_10104&amp;com_card_d_orange</t>
  </si>
  <si>
    <t>用于篮板51-55级提升。</t>
  </si>
  <si>
    <t>10013:11312&amp;10014:11404</t>
  </si>
  <si>
    <t>乐虎550ML</t>
  </si>
  <si>
    <t>icon_train_10105&amp;com_card_d_orange</t>
  </si>
  <si>
    <t>用于传球51-55级提升。</t>
  </si>
  <si>
    <t>10014:11407&amp;10014:11411</t>
  </si>
  <si>
    <t>水动乐600ML</t>
  </si>
  <si>
    <t>icon_train_10101&amp;com_card_d_orange&amp;1</t>
  </si>
  <si>
    <t>用于干扰56-60级提升。</t>
  </si>
  <si>
    <t>10014:11410&amp;10014:11411</t>
  </si>
  <si>
    <t>脉动600ML</t>
  </si>
  <si>
    <t>icon_train_10102&amp;com_card_d_orange&amp;1</t>
  </si>
  <si>
    <t>用于控球56-60级提升。</t>
  </si>
  <si>
    <t>10014:11412&amp;10015:11501</t>
  </si>
  <si>
    <t>尖叫600ML</t>
  </si>
  <si>
    <t>icon_train_10103&amp;com_card_d_orange&amp;1</t>
  </si>
  <si>
    <t>用于盖帽56-60级提升。</t>
  </si>
  <si>
    <t>10014:11412&amp;10015:11504</t>
  </si>
  <si>
    <t>健力宝600ML</t>
  </si>
  <si>
    <t>icon_train_10104&amp;com_card_d_orange&amp;1</t>
  </si>
  <si>
    <t>用于篮板56-60级提升。</t>
  </si>
  <si>
    <t>10015:11507&amp;10015:11511</t>
  </si>
  <si>
    <t>乐虎600ML</t>
  </si>
  <si>
    <t>icon_train_10105&amp;com_card_d_orange&amp;1</t>
  </si>
  <si>
    <t>用于传球56-60级提升。</t>
  </si>
  <si>
    <t>10015:11510&amp;10015:11511</t>
  </si>
  <si>
    <t>水动乐700ML</t>
  </si>
  <si>
    <t>icon_train_10101&amp;com_card_d_orange&amp;2</t>
  </si>
  <si>
    <t>用于干扰61-65级提升。</t>
  </si>
  <si>
    <t>10015:11512&amp;10016:11601</t>
  </si>
  <si>
    <t>脉动700ML</t>
  </si>
  <si>
    <t>icon_train_10102&amp;com_card_d_orange&amp;2</t>
  </si>
  <si>
    <t>用于控球61-65级提升。</t>
  </si>
  <si>
    <t>10015:11512&amp;10016:11604</t>
  </si>
  <si>
    <t>尖叫700ML</t>
  </si>
  <si>
    <t>icon_train_10103&amp;com_card_d_orange&amp;2</t>
  </si>
  <si>
    <t>用于盖帽61-65级提升。</t>
  </si>
  <si>
    <t>10016:11607&amp;10016:11611</t>
  </si>
  <si>
    <t>健力宝700ML</t>
  </si>
  <si>
    <t>icon_train_10104&amp;com_card_d_orange&amp;2</t>
  </si>
  <si>
    <t>用于篮板61-65级提升。</t>
  </si>
  <si>
    <t>10016:11610&amp;10016:11611</t>
  </si>
  <si>
    <t>乐虎700ML</t>
  </si>
  <si>
    <t>icon_train_10105&amp;com_card_d_orange&amp;2</t>
  </si>
  <si>
    <t>用于传球61-65级提升。</t>
  </si>
  <si>
    <t>10016:11612&amp;10017:11701</t>
  </si>
  <si>
    <t>水动乐800ML</t>
  </si>
  <si>
    <t>icon_train_10101&amp;com_card_d_orange&amp;3</t>
  </si>
  <si>
    <t>用于干扰66-70级提升。</t>
  </si>
  <si>
    <t>10016:11612&amp;10017:11704</t>
  </si>
  <si>
    <t>脉动800ML</t>
  </si>
  <si>
    <t>icon_train_10102&amp;com_card_d_orange&amp;3</t>
  </si>
  <si>
    <t>用于控球66-70级提升。</t>
  </si>
  <si>
    <t>10017:11707&amp;10017:11711</t>
  </si>
  <si>
    <t>尖叫800ML</t>
  </si>
  <si>
    <t>icon_train_10103&amp;com_card_d_orange&amp;3</t>
  </si>
  <si>
    <t>用于盖帽66-70级提升。</t>
  </si>
  <si>
    <t>10017:11710&amp;10017:11711</t>
  </si>
  <si>
    <t>健力宝800ML</t>
  </si>
  <si>
    <t>icon_train_10104&amp;com_card_d_orange&amp;3</t>
  </si>
  <si>
    <t>用于篮板66-70级提升。</t>
  </si>
  <si>
    <t>10017:11712&amp;10018:11801</t>
  </si>
  <si>
    <t>乐虎800ML</t>
  </si>
  <si>
    <t>icon_train_10105&amp;com_card_d_orange&amp;3</t>
  </si>
  <si>
    <t>用于传球66-70级提升。</t>
  </si>
  <si>
    <t>10017:11712&amp;10018:11804&amp;10018:11807&amp;10018:11810&amp;10018:11811&amp;10018:11812</t>
  </si>
  <si>
    <t>干扰</t>
  </si>
  <si>
    <t>icon_skill_10000</t>
  </si>
  <si>
    <t>中锋林玮的干扰与专注训练。</t>
  </si>
  <si>
    <t>控球</t>
  </si>
  <si>
    <t>icon_skill_10001</t>
  </si>
  <si>
    <t>中锋林玮的控球与抢断训练。</t>
  </si>
  <si>
    <t>盖帽</t>
  </si>
  <si>
    <t>icon_skill_10004</t>
  </si>
  <si>
    <t>中锋林玮盖帽与抗盖帽训练。</t>
  </si>
  <si>
    <t>篮板</t>
  </si>
  <si>
    <t>icon_skill_10003</t>
  </si>
  <si>
    <t>中锋林玮的篮板训练。</t>
  </si>
  <si>
    <t>传球</t>
  </si>
  <si>
    <t>icon_skill_10002</t>
  </si>
  <si>
    <t>中锋林玮的传球训练。</t>
  </si>
  <si>
    <t>中锋爱神的干扰与专注训练。</t>
  </si>
  <si>
    <t>中锋爱神的控球与抢断训练。</t>
  </si>
  <si>
    <t>中锋爱神盖帽与抗盖帽训练。</t>
  </si>
  <si>
    <t>中锋爱神的篮板训练。</t>
  </si>
  <si>
    <t>中锋爱神的传球训练。</t>
  </si>
  <si>
    <t>大前锋艾斯克斯的干扰与专注训练。</t>
  </si>
  <si>
    <t>大前锋艾斯克斯的控球与抢断训练。</t>
  </si>
  <si>
    <t>大前锋艾斯克斯的盖帽与抗盖帽训练。</t>
  </si>
  <si>
    <t>大前锋艾斯克斯的篮板训练。</t>
  </si>
  <si>
    <t>大前锋艾斯克斯的传球训练。</t>
  </si>
  <si>
    <t>大前锋山羊干扰与专注训练。</t>
  </si>
  <si>
    <t>大前锋山羊控球与抢断训练。</t>
  </si>
  <si>
    <t>大前锋山羊的盖帽与抗盖帽训练。</t>
  </si>
  <si>
    <t>大前锋山羊的篮板训练。</t>
  </si>
  <si>
    <t>大前锋山羊的传球训练。</t>
  </si>
  <si>
    <t>大前锋给力芬的干扰与专注训练。</t>
  </si>
  <si>
    <t>大前锋给力芬的控球与抢断训练。</t>
  </si>
  <si>
    <t>大前锋给力芬的盖帽与抗盖帽训练。</t>
  </si>
  <si>
    <t>大前锋给力芬的篮板训练。</t>
  </si>
  <si>
    <t>大前锋给力芬的传球训练。</t>
  </si>
  <si>
    <t>小前锋骨头搜集者的干扰与专注训练。</t>
  </si>
  <si>
    <t>小前锋骨头搜集者的控球与抢断训练。</t>
  </si>
  <si>
    <t>小前锋骨头搜集者的盖帽与抗盖帽训练。</t>
  </si>
  <si>
    <t>小前锋骨头搜集者篮板训练。</t>
  </si>
  <si>
    <t>小前锋骨头搜集者传球训练。</t>
  </si>
  <si>
    <t>小前锋野狗乔治的干扰与专注训练。</t>
  </si>
  <si>
    <t>小前锋野狗乔治的控球与抢断训练。</t>
  </si>
  <si>
    <t>小前锋野狗乔治的盖帽与抗盖帽训练。</t>
  </si>
  <si>
    <t>小前锋野狗乔治的篮板训练。</t>
  </si>
  <si>
    <t>小前锋野狗乔治的传球训练。</t>
  </si>
  <si>
    <t>控球后卫辉干扰与专注训练。</t>
  </si>
  <si>
    <t>控球后卫辉控球与抢断训练。</t>
  </si>
  <si>
    <t>控球后卫辉的盖帽与抗盖帽训练。</t>
  </si>
  <si>
    <t>控球后卫辉的篮板训练。</t>
  </si>
  <si>
    <t>控球后卫辉的传球训练。</t>
  </si>
  <si>
    <t>控球后卫莫福瑞的干扰与专注训练。</t>
  </si>
  <si>
    <t>控球后卫莫福瑞的控球与抢断训练。</t>
  </si>
  <si>
    <t>控球后卫莫福瑞的盖帽与抗盖帽训练。</t>
  </si>
  <si>
    <t>控球后卫莫福瑞的篮板训练。</t>
  </si>
  <si>
    <t>控球后卫莫福瑞的传球训练。</t>
  </si>
  <si>
    <t>得分后卫艾伦的干扰与专注训练。</t>
  </si>
  <si>
    <t>得分后卫艾伦的控球与抢断训练。</t>
  </si>
  <si>
    <t>得分后卫艾伦的盖帽与抗盖帽训练。</t>
  </si>
  <si>
    <t>得分后卫艾伦的篮板训练。</t>
  </si>
  <si>
    <t>得分后卫艾伦的传球训练。</t>
  </si>
  <si>
    <t>得分后卫小飞侠的干扰与专注训练。</t>
  </si>
  <si>
    <t>得分后卫小飞侠的控球与抢断训练。</t>
  </si>
  <si>
    <t>得分后卫小飞侠的盖帽与抗盖帽训练。</t>
  </si>
  <si>
    <t>得分后卫小飞侠的篮板训练。</t>
  </si>
  <si>
    <t>得分后卫小飞侠的传球训练。</t>
  </si>
  <si>
    <t>中锋布丽姬特的干扰与专注训练。</t>
  </si>
  <si>
    <t>中锋布丽姬特的控球与抢断训练。</t>
  </si>
  <si>
    <t>中锋布丽姬特的盖帽与抗盖帽训练。</t>
  </si>
  <si>
    <t>中锋布丽姬特的篮板训练。</t>
  </si>
  <si>
    <t>中锋布丽姬特的传球训练。</t>
  </si>
  <si>
    <t>中锋赛莉娜干扰与专注训练。</t>
  </si>
  <si>
    <t>中锋赛莉娜控球与抢断训练。</t>
  </si>
  <si>
    <t>中锋赛莉娜的盖帽与抗盖帽训练。</t>
  </si>
  <si>
    <t>中锋赛莉娜的篮板训练。</t>
  </si>
  <si>
    <t>中锋赛莉娜的传球训练。</t>
  </si>
  <si>
    <t>大前锋姣的干扰与专注训练。</t>
  </si>
  <si>
    <t>大前锋姣的控球与抢断训练。</t>
  </si>
  <si>
    <t>大前锋姣盖帽与抗盖帽训练。</t>
  </si>
  <si>
    <t>大前锋姣的篮板训练。</t>
  </si>
  <si>
    <t>大前锋姣的传球训练。</t>
  </si>
  <si>
    <t>小前锋娜塔莎的干扰与专注训练。</t>
  </si>
  <si>
    <t>小前锋娜塔莎的控球与抢断训练。</t>
  </si>
  <si>
    <t>小前锋娜塔莎的盖帽与抗盖帽训练。</t>
  </si>
  <si>
    <t>小前锋娜塔莎的篮板训练。</t>
  </si>
  <si>
    <t>小前锋娜塔莎的传球训练。</t>
  </si>
  <si>
    <t>控球后卫萌萌的干扰与专注训练。</t>
  </si>
  <si>
    <t>控球后卫萌萌的控球与抢断训练。</t>
  </si>
  <si>
    <t>控球后卫萌萌的盖帽与抗盖帽训练。</t>
  </si>
  <si>
    <t>控球后卫萌萌的篮板训练。</t>
  </si>
  <si>
    <t>控球后卫萌萌的传球训练。</t>
  </si>
  <si>
    <t>得分后卫赛拉的干扰与专注训练。</t>
  </si>
  <si>
    <t>得分后卫赛拉的控球与抢断训练。</t>
  </si>
  <si>
    <t>得分后卫赛拉的盖帽与抗盖帽训练。</t>
  </si>
  <si>
    <t>得分后卫赛拉的篮板训练。</t>
  </si>
  <si>
    <t>得分后卫赛拉的传球训练。</t>
  </si>
  <si>
    <t>得分后卫爱丝的干扰与专注训练。</t>
  </si>
  <si>
    <t>得分后卫爱丝的控球与抢断训练。</t>
  </si>
  <si>
    <t>得分后卫爱丝的盖帽与抗盖帽训练。</t>
  </si>
  <si>
    <t>得分后卫爱丝的篮板训练。</t>
  </si>
  <si>
    <t>得分后卫爱丝的传球训练。</t>
  </si>
  <si>
    <t>小前锋莱安干扰与专注训练。</t>
  </si>
  <si>
    <t>小前锋莱安控球与抢断训练。</t>
  </si>
  <si>
    <t>小前锋莱安的盖帽与抗盖帽训练。</t>
  </si>
  <si>
    <t>小前锋莱安的篮板训练。</t>
  </si>
  <si>
    <t>小前锋莱安的传球训练。</t>
  </si>
  <si>
    <t>大前锋莱瑞拉的干扰与专注训练。</t>
  </si>
  <si>
    <t>大前锋莱瑞拉的控球与抢断训练。</t>
  </si>
  <si>
    <t>大前锋莱瑞拉的盖帽与抗盖帽训练。</t>
  </si>
  <si>
    <t>大前锋莱瑞拉的篮板训练。</t>
  </si>
  <si>
    <t>大前锋莱瑞拉的传球训练。</t>
  </si>
  <si>
    <t>得分后卫蜂王的干扰与专注训练。</t>
  </si>
  <si>
    <t>得分后卫蜂王的控球与抢断训练。</t>
  </si>
  <si>
    <t>得分后卫蜂王的盖帽与抗盖帽训练。</t>
  </si>
  <si>
    <t>得分后卫蜂王的篮板训练。</t>
  </si>
  <si>
    <t>得分后卫蜂王的传球训练。</t>
  </si>
  <si>
    <t>控球后卫李娜的干扰与专注训练。</t>
  </si>
  <si>
    <t>控球后卫李娜的控球与抢断训练。</t>
  </si>
  <si>
    <t>控球后卫李娜的盖帽与抗盖帽训练。</t>
  </si>
  <si>
    <t>控球后卫李娜的篮板训练。</t>
  </si>
  <si>
    <t>控球后卫李娜的传球训练。</t>
  </si>
  <si>
    <t>得分后卫萝拉的干扰与专注训练。</t>
  </si>
  <si>
    <t>得分后卫萝拉的控球与抢断训练。</t>
  </si>
  <si>
    <t>得分后卫萝拉的盖帽与抗盖帽训练。</t>
  </si>
  <si>
    <t>得分后卫萝拉的篮板训练。</t>
  </si>
  <si>
    <t>得分后卫萝拉的传球训练。</t>
  </si>
  <si>
    <t>涂鸦</t>
  </si>
  <si>
    <t>运球如风Ⅰ</t>
  </si>
  <si>
    <t>体壮如牛Ⅰ</t>
  </si>
  <si>
    <t>魔术手法Ⅰ</t>
  </si>
  <si>
    <t>眼花缭乱Ⅰ</t>
  </si>
  <si>
    <t>密不透风Ⅰ</t>
  </si>
  <si>
    <t>手到球来Ⅰ</t>
  </si>
  <si>
    <t>雁过拔毛Ⅰ</t>
  </si>
  <si>
    <t>见缝插针Ⅰ</t>
  </si>
  <si>
    <t>专注时刻Ⅰ</t>
  </si>
  <si>
    <t>运球如风Ⅱ</t>
  </si>
  <si>
    <t>体壮如牛Ⅱ</t>
  </si>
  <si>
    <t>魔术手法Ⅱ</t>
  </si>
  <si>
    <t>眼花缭乱Ⅱ</t>
  </si>
  <si>
    <t>妙手空空Ⅱ</t>
  </si>
  <si>
    <t>密不透风Ⅱ</t>
  </si>
  <si>
    <t>手到球来Ⅱ</t>
  </si>
  <si>
    <t>雁过拔毛Ⅱ</t>
  </si>
  <si>
    <t>见缝插针Ⅱ</t>
  </si>
  <si>
    <t>专注时刻Ⅱ</t>
  </si>
  <si>
    <t>篮下强化Ⅱ</t>
  </si>
  <si>
    <t>盯防强化Ⅱ</t>
  </si>
  <si>
    <t>稳扎稳打Ⅱ</t>
  </si>
  <si>
    <t>外线绝杀Ⅱ</t>
  </si>
  <si>
    <t>运球如风Ⅲ</t>
  </si>
  <si>
    <t>体壮如牛Ⅲ</t>
  </si>
  <si>
    <t>魔术手法Ⅲ</t>
  </si>
  <si>
    <t>眼花缭乱Ⅲ</t>
  </si>
  <si>
    <t>妙手空空Ⅲ</t>
  </si>
  <si>
    <t>密不透风Ⅲ</t>
  </si>
  <si>
    <t>手到球来Ⅲ</t>
  </si>
  <si>
    <t>雁过拔毛Ⅲ</t>
  </si>
  <si>
    <t>见缝插针Ⅲ</t>
  </si>
  <si>
    <t>专注时刻Ⅲ</t>
  </si>
  <si>
    <t>篮下强化Ⅲ</t>
  </si>
  <si>
    <t>盯防强化Ⅲ</t>
  </si>
  <si>
    <t>稳扎稳打Ⅲ</t>
  </si>
  <si>
    <t>外线绝杀Ⅲ</t>
  </si>
  <si>
    <t>运球如风Ⅳ</t>
  </si>
  <si>
    <t>体壮如牛Ⅳ</t>
  </si>
  <si>
    <t>魔术手法Ⅳ</t>
  </si>
  <si>
    <t>眼花缭乱Ⅳ</t>
  </si>
  <si>
    <t>妙手空空Ⅳ</t>
  </si>
  <si>
    <t>密不透风Ⅳ</t>
  </si>
  <si>
    <t>手到球来Ⅳ</t>
  </si>
  <si>
    <t>雁过拔毛Ⅳ</t>
  </si>
  <si>
    <t>见缝插针Ⅳ</t>
  </si>
  <si>
    <t>专注时刻Ⅳ</t>
  </si>
  <si>
    <t>篮下强化Ⅳ</t>
  </si>
  <si>
    <t>盯防强化Ⅳ</t>
  </si>
  <si>
    <t>稳扎稳打Ⅳ</t>
  </si>
  <si>
    <t>外线绝杀Ⅳ</t>
  </si>
  <si>
    <t>运球如风Ⅴ</t>
  </si>
  <si>
    <t>体壮如牛Ⅴ</t>
  </si>
  <si>
    <t>魔术手法Ⅴ</t>
  </si>
  <si>
    <t>眼花缭乱Ⅴ</t>
  </si>
  <si>
    <t>妙手空空Ⅴ</t>
  </si>
  <si>
    <t>密不透风Ⅴ</t>
  </si>
  <si>
    <t>手到球来Ⅴ</t>
  </si>
  <si>
    <t>雁过拔毛Ⅴ</t>
  </si>
  <si>
    <t>见缝插针Ⅴ</t>
  </si>
  <si>
    <t>专注时刻Ⅴ</t>
  </si>
  <si>
    <t>篮下强化Ⅴ</t>
  </si>
  <si>
    <t>盯防强化Ⅴ</t>
  </si>
  <si>
    <t>稳扎稳打Ⅴ</t>
  </si>
  <si>
    <t>外线绝杀Ⅴ</t>
  </si>
  <si>
    <t>pack_num</t>
  </si>
  <si>
    <t>new_type1</t>
  </si>
  <si>
    <t>new_id1</t>
  </si>
  <si>
    <t>odds1</t>
  </si>
  <si>
    <t>num_min1</t>
  </si>
  <si>
    <t>num_max1</t>
  </si>
  <si>
    <t>new_type2</t>
  </si>
  <si>
    <t>new_id2</t>
  </si>
  <si>
    <t>odds2</t>
  </si>
  <si>
    <t>num_min2</t>
  </si>
  <si>
    <t>num_max2</t>
  </si>
  <si>
    <t>new_type3</t>
  </si>
  <si>
    <t>new_id3</t>
  </si>
  <si>
    <t>odds3</t>
  </si>
  <si>
    <t>num_min3</t>
  </si>
  <si>
    <t>num_max3</t>
  </si>
  <si>
    <t>new_type4</t>
  </si>
  <si>
    <t>new_id4</t>
  </si>
  <si>
    <t>odds4</t>
  </si>
  <si>
    <t>num_min4</t>
  </si>
  <si>
    <t>num_max4</t>
  </si>
  <si>
    <t>37003</t>
  </si>
  <si>
    <t>71001</t>
  </si>
  <si>
    <t>71002</t>
  </si>
  <si>
    <t>71003</t>
  </si>
  <si>
    <t>71004</t>
  </si>
  <si>
    <t>71005</t>
  </si>
  <si>
    <t>71006</t>
  </si>
  <si>
    <t>71007</t>
  </si>
  <si>
    <t>81001</t>
  </si>
  <si>
    <t>81002</t>
  </si>
  <si>
    <t>81003</t>
  </si>
  <si>
    <t>81004</t>
  </si>
  <si>
    <t>81005</t>
  </si>
  <si>
    <t>81006</t>
  </si>
  <si>
    <t>81007</t>
  </si>
  <si>
    <t>81008</t>
  </si>
  <si>
    <t>src_id</t>
  </si>
  <si>
    <t>src_num</t>
  </si>
  <si>
    <t>dest_id</t>
  </si>
  <si>
    <t>dest_num</t>
  </si>
  <si>
    <t>costing</t>
  </si>
  <si>
    <t>level</t>
  </si>
  <si>
    <t>addn_attr</t>
  </si>
  <si>
    <t>require_level</t>
  </si>
  <si>
    <t>sacrifice_consume</t>
  </si>
  <si>
    <t>C</t>
  </si>
  <si>
    <t>中锋绿色纹身</t>
  </si>
  <si>
    <t>强化所受等级限制</t>
  </si>
  <si>
    <t>强化消耗金钱</t>
  </si>
  <si>
    <t>出售价格</t>
  </si>
  <si>
    <t>8:130&amp;12:130</t>
  </si>
  <si>
    <t>8:136&amp;12:136</t>
  </si>
  <si>
    <t>8:142&amp;12:142</t>
  </si>
  <si>
    <t>8:148&amp;12:148</t>
  </si>
  <si>
    <t>8:154&amp;12:154</t>
  </si>
  <si>
    <t>8:160&amp;12:160</t>
  </si>
  <si>
    <t>8:166&amp;12:166</t>
  </si>
  <si>
    <t>8:172&amp;12:172</t>
  </si>
  <si>
    <t>8:178&amp;12:178</t>
  </si>
  <si>
    <t>8:184&amp;12:184</t>
  </si>
  <si>
    <t>8:190&amp;12:190</t>
  </si>
  <si>
    <t>8:196&amp;12:196</t>
  </si>
  <si>
    <t>8:202&amp;12:202</t>
  </si>
  <si>
    <t>8:208&amp;12:208</t>
  </si>
  <si>
    <t>8:214&amp;12:214</t>
  </si>
  <si>
    <t>8:220&amp;12:220</t>
  </si>
  <si>
    <t>8:226&amp;12:226</t>
  </si>
  <si>
    <t>8:232&amp;12:232</t>
  </si>
  <si>
    <t>8:238&amp;12:238</t>
  </si>
  <si>
    <t>8:244&amp;12:244</t>
  </si>
  <si>
    <t>8:250&amp;12:250</t>
  </si>
  <si>
    <t>8:256&amp;12:256</t>
  </si>
  <si>
    <t>8:262&amp;12:262</t>
  </si>
  <si>
    <t>8:268&amp;12:268</t>
  </si>
  <si>
    <t>8:274&amp;12:274</t>
  </si>
  <si>
    <t>8:280&amp;12:280</t>
  </si>
  <si>
    <t>8:286&amp;12:286</t>
  </si>
  <si>
    <t>8:292&amp;12:292</t>
  </si>
  <si>
    <t>8:298&amp;12:298</t>
  </si>
  <si>
    <t>8:304&amp;12:304</t>
  </si>
  <si>
    <t>8:310&amp;12:310</t>
  </si>
  <si>
    <t>8:316&amp;12:316</t>
  </si>
  <si>
    <t>8:322&amp;12:322</t>
  </si>
  <si>
    <t>8:328&amp;12:328</t>
  </si>
  <si>
    <t>8:334&amp;12:334</t>
  </si>
  <si>
    <t>8:340&amp;12:340</t>
  </si>
  <si>
    <t>8:346&amp;12:346</t>
  </si>
  <si>
    <t>8:352&amp;12:352</t>
  </si>
  <si>
    <t>8:358&amp;12:358</t>
  </si>
  <si>
    <t>8:364&amp;12:364</t>
  </si>
  <si>
    <t>8:370&amp;12:370</t>
  </si>
  <si>
    <t>8:376&amp;12:376</t>
  </si>
  <si>
    <t>8:382&amp;12:382</t>
  </si>
  <si>
    <t>8:388&amp;12:388</t>
  </si>
  <si>
    <t>8:394&amp;12:394</t>
  </si>
  <si>
    <t>8:400&amp;12:400</t>
  </si>
  <si>
    <t>8:406&amp;12:406</t>
  </si>
  <si>
    <t>8:412&amp;12:412</t>
  </si>
  <si>
    <t>8:418&amp;12:418</t>
  </si>
  <si>
    <t>8:424&amp;12:424</t>
  </si>
  <si>
    <t>8:430&amp;12:430</t>
  </si>
  <si>
    <t>8:436&amp;12:436</t>
  </si>
  <si>
    <t>8:442&amp;12:442</t>
  </si>
  <si>
    <t>8:448&amp;12:448</t>
  </si>
  <si>
    <t>8:454&amp;12:454</t>
  </si>
  <si>
    <t>8:460&amp;12:460</t>
  </si>
  <si>
    <t>8:466&amp;12:466</t>
  </si>
  <si>
    <t>8:472&amp;12:472</t>
  </si>
  <si>
    <t>8:478&amp;12:478</t>
  </si>
  <si>
    <t>8:484&amp;12:484</t>
  </si>
  <si>
    <t>8:490&amp;12:490</t>
  </si>
  <si>
    <t>8:496&amp;12:496</t>
  </si>
  <si>
    <t>8:502&amp;12:502</t>
  </si>
  <si>
    <t>8:508&amp;12:508</t>
  </si>
  <si>
    <t>8:514&amp;12:514</t>
  </si>
  <si>
    <t>8:520&amp;12:520</t>
  </si>
  <si>
    <t>8:526&amp;12:526</t>
  </si>
  <si>
    <t>8:532&amp;12:532</t>
  </si>
  <si>
    <t>8:538&amp;12:538</t>
  </si>
  <si>
    <t>8:544&amp;12:544</t>
  </si>
  <si>
    <t>8:550&amp;12:550</t>
  </si>
  <si>
    <t>8:556&amp;12:556</t>
  </si>
  <si>
    <t>8:562&amp;12:562</t>
  </si>
  <si>
    <t>8:568&amp;12:568</t>
  </si>
  <si>
    <t>8:574&amp;12:574</t>
  </si>
  <si>
    <t>8:580&amp;12:580</t>
  </si>
  <si>
    <t>8:586&amp;12:586</t>
  </si>
  <si>
    <t>8:592&amp;12:592</t>
  </si>
  <si>
    <t>8:598&amp;12:598</t>
  </si>
  <si>
    <t>8:604&amp;12:604</t>
  </si>
  <si>
    <t>81</t>
  </si>
  <si>
    <t>19:130&amp;14:130</t>
  </si>
  <si>
    <t>19:136&amp;14:136</t>
  </si>
  <si>
    <t>19:142&amp;14:142</t>
  </si>
  <si>
    <t>19:148&amp;14:148</t>
  </si>
  <si>
    <t>19:154&amp;14:154</t>
  </si>
  <si>
    <t>19:160&amp;14:160</t>
  </si>
  <si>
    <t>19:166&amp;14:166</t>
  </si>
  <si>
    <t>19:172&amp;14:172</t>
  </si>
  <si>
    <t>19:178&amp;14:178</t>
  </si>
  <si>
    <t>19:184&amp;14:184</t>
  </si>
  <si>
    <t>19:190&amp;14:190</t>
  </si>
  <si>
    <t>19:196&amp;14:196</t>
  </si>
  <si>
    <t>19:202&amp;14:202</t>
  </si>
  <si>
    <t>19:208&amp;14:208</t>
  </si>
  <si>
    <t>19:214&amp;14:214</t>
  </si>
  <si>
    <t>19:220&amp;14:220</t>
  </si>
  <si>
    <t>19:226&amp;14:226</t>
  </si>
  <si>
    <t>19:232&amp;14:232</t>
  </si>
  <si>
    <t>19:238&amp;14:238</t>
  </si>
  <si>
    <t>19:244&amp;14:244</t>
  </si>
  <si>
    <t>19:250&amp;14:250</t>
  </si>
  <si>
    <t>19:256&amp;14:256</t>
  </si>
  <si>
    <t>19:262&amp;14:262</t>
  </si>
  <si>
    <t>19:268&amp;14:268</t>
  </si>
  <si>
    <t>19:274&amp;14:274</t>
  </si>
  <si>
    <t>19:280&amp;14:280</t>
  </si>
  <si>
    <t>19:286&amp;14:286</t>
  </si>
  <si>
    <t>19:292&amp;14:292</t>
  </si>
  <si>
    <t>19:298&amp;14:298</t>
  </si>
  <si>
    <t>19:304&amp;14:304</t>
  </si>
  <si>
    <t>19:310&amp;14:310</t>
  </si>
  <si>
    <t>19:316&amp;14:316</t>
  </si>
  <si>
    <t>19:322&amp;14:322</t>
  </si>
  <si>
    <t>19:328&amp;14:328</t>
  </si>
  <si>
    <t>19:334&amp;14:334</t>
  </si>
  <si>
    <t>19:340&amp;14:340</t>
  </si>
  <si>
    <t>19:346&amp;14:346</t>
  </si>
  <si>
    <t>19:352&amp;14:352</t>
  </si>
  <si>
    <t>19:358&amp;14:358</t>
  </si>
  <si>
    <t>19:364&amp;14:364</t>
  </si>
  <si>
    <t>19:370&amp;14:370</t>
  </si>
  <si>
    <t>19:376&amp;14:376</t>
  </si>
  <si>
    <t>19:382&amp;14:382</t>
  </si>
  <si>
    <t>19:388&amp;14:388</t>
  </si>
  <si>
    <t>19:394&amp;14:394</t>
  </si>
  <si>
    <t>19:400&amp;14:400</t>
  </si>
  <si>
    <t>19:406&amp;14:406</t>
  </si>
  <si>
    <t>19:412&amp;14:412</t>
  </si>
  <si>
    <t>19:418&amp;14:418</t>
  </si>
  <si>
    <t>19:424&amp;14:424</t>
  </si>
  <si>
    <t>19:430&amp;14:430</t>
  </si>
  <si>
    <t>19:436&amp;14:436</t>
  </si>
  <si>
    <t>19:442&amp;14:442</t>
  </si>
  <si>
    <t>19:448&amp;14:448</t>
  </si>
  <si>
    <t>19:454&amp;14:454</t>
  </si>
  <si>
    <t>19:460&amp;14:460</t>
  </si>
  <si>
    <t>19:466&amp;14:466</t>
  </si>
  <si>
    <t>19:472&amp;14:472</t>
  </si>
  <si>
    <t>19:478&amp;14:478</t>
  </si>
  <si>
    <t>19:484&amp;14:484</t>
  </si>
  <si>
    <t>19:490&amp;14:490</t>
  </si>
  <si>
    <t>19:496&amp;14:496</t>
  </si>
  <si>
    <t>19:502&amp;14:502</t>
  </si>
  <si>
    <t>19:508&amp;14:508</t>
  </si>
  <si>
    <t>19:514&amp;14:514</t>
  </si>
  <si>
    <t>19:520&amp;14:520</t>
  </si>
  <si>
    <t>19:526&amp;14:526</t>
  </si>
  <si>
    <t>19:532&amp;14:532</t>
  </si>
  <si>
    <t>19:538&amp;14:538</t>
  </si>
  <si>
    <t>19:544&amp;14:544</t>
  </si>
  <si>
    <t>19:550&amp;14:550</t>
  </si>
  <si>
    <t>19:556&amp;14:556</t>
  </si>
  <si>
    <t>19:562&amp;14:562</t>
  </si>
  <si>
    <t>19:568&amp;14:568</t>
  </si>
  <si>
    <t>19:574&amp;14:574</t>
  </si>
  <si>
    <t>19:580&amp;14:580</t>
  </si>
  <si>
    <t>19:586&amp;14:586</t>
  </si>
  <si>
    <t>19:592&amp;14:592</t>
  </si>
  <si>
    <t>19:598&amp;14:598</t>
  </si>
  <si>
    <t>19:604&amp;14:604</t>
  </si>
  <si>
    <t>13:130&amp;24:130</t>
  </si>
  <si>
    <t>13:136&amp;24:136</t>
  </si>
  <si>
    <t>13:142&amp;24:142</t>
  </si>
  <si>
    <t>13:148&amp;24:148</t>
  </si>
  <si>
    <t>13:154&amp;24:154</t>
  </si>
  <si>
    <t>13:160&amp;24:160</t>
  </si>
  <si>
    <t>13:166&amp;24:166</t>
  </si>
  <si>
    <t>13:172&amp;24:172</t>
  </si>
  <si>
    <t>13:178&amp;24:178</t>
  </si>
  <si>
    <t>13:184&amp;24:184</t>
  </si>
  <si>
    <t>13:190&amp;24:190</t>
  </si>
  <si>
    <t>13:196&amp;24:196</t>
  </si>
  <si>
    <t>13:202&amp;24:202</t>
  </si>
  <si>
    <t>13:208&amp;24:208</t>
  </si>
  <si>
    <t>13:214&amp;24:214</t>
  </si>
  <si>
    <t>13:220&amp;24:220</t>
  </si>
  <si>
    <t>13:226&amp;24:226</t>
  </si>
  <si>
    <t>13:232&amp;24:232</t>
  </si>
  <si>
    <t>13:238&amp;24:238</t>
  </si>
  <si>
    <t>13:244&amp;24:244</t>
  </si>
  <si>
    <t>13:250&amp;24:250</t>
  </si>
  <si>
    <t>13:256&amp;24:256</t>
  </si>
  <si>
    <t>13:262&amp;24:262</t>
  </si>
  <si>
    <t>13:268&amp;24:268</t>
  </si>
  <si>
    <t>13:274&amp;24:274</t>
  </si>
  <si>
    <t>13:280&amp;24:280</t>
  </si>
  <si>
    <t>13:286&amp;24:286</t>
  </si>
  <si>
    <t>13:292&amp;24:292</t>
  </si>
  <si>
    <t>13:298&amp;24:298</t>
  </si>
  <si>
    <t>13:304&amp;24:304</t>
  </si>
  <si>
    <t>13:310&amp;24:310</t>
  </si>
  <si>
    <t>13:316&amp;24:316</t>
  </si>
  <si>
    <t>13:322&amp;24:322</t>
  </si>
  <si>
    <t>13:328&amp;24:328</t>
  </si>
  <si>
    <t>13:334&amp;24:334</t>
  </si>
  <si>
    <t>13:340&amp;24:340</t>
  </si>
  <si>
    <t>13:346&amp;24:346</t>
  </si>
  <si>
    <t>13:352&amp;24:352</t>
  </si>
  <si>
    <t>13:358&amp;24:358</t>
  </si>
  <si>
    <t>13:364&amp;24:364</t>
  </si>
  <si>
    <t>13:370&amp;24:370</t>
  </si>
  <si>
    <t>13:376&amp;24:376</t>
  </si>
  <si>
    <t>13:382&amp;24:382</t>
  </si>
  <si>
    <t>13:388&amp;24:388</t>
  </si>
  <si>
    <t>13:394&amp;24:394</t>
  </si>
  <si>
    <t>13:400&amp;24:400</t>
  </si>
  <si>
    <t>13:406&amp;24:406</t>
  </si>
  <si>
    <t>13:412&amp;24:412</t>
  </si>
  <si>
    <t>13:418&amp;24:418</t>
  </si>
  <si>
    <t>13:424&amp;24:424</t>
  </si>
  <si>
    <t>13:430&amp;24:430</t>
  </si>
  <si>
    <t>13:436&amp;24:436</t>
  </si>
  <si>
    <t>13:442&amp;24:442</t>
  </si>
  <si>
    <t>13:448&amp;24:448</t>
  </si>
  <si>
    <t>13:454&amp;24:454</t>
  </si>
  <si>
    <t>13:460&amp;24:460</t>
  </si>
  <si>
    <t>13:466&amp;24:466</t>
  </si>
  <si>
    <t>13:472&amp;24:472</t>
  </si>
  <si>
    <t>13:478&amp;24:478</t>
  </si>
  <si>
    <t>13:484&amp;24:484</t>
  </si>
  <si>
    <t>13:490&amp;24:490</t>
  </si>
  <si>
    <t>13:496&amp;24:496</t>
  </si>
  <si>
    <t>13:502&amp;24:502</t>
  </si>
  <si>
    <t>13:508&amp;24:508</t>
  </si>
  <si>
    <t>13:514&amp;24:514</t>
  </si>
  <si>
    <t>13:520&amp;24:520</t>
  </si>
  <si>
    <t>13:526&amp;24:526</t>
  </si>
  <si>
    <t>13:532&amp;24:532</t>
  </si>
  <si>
    <t>13:538&amp;24:538</t>
  </si>
  <si>
    <t>13:544&amp;24:544</t>
  </si>
  <si>
    <t>13:550&amp;24:550</t>
  </si>
  <si>
    <t>13:556&amp;24:556</t>
  </si>
  <si>
    <t>13:562&amp;24:562</t>
  </si>
  <si>
    <t>13:568&amp;24:568</t>
  </si>
  <si>
    <t>13:574&amp;24:574</t>
  </si>
  <si>
    <t>13:580&amp;24:580</t>
  </si>
  <si>
    <t>13:586&amp;24:586</t>
  </si>
  <si>
    <t>13:592&amp;24:592</t>
  </si>
  <si>
    <t>13:598&amp;24:598</t>
  </si>
  <si>
    <t>13:604&amp;24:604</t>
  </si>
  <si>
    <t>11:130&amp;15:130</t>
  </si>
  <si>
    <t>11:136&amp;15:136</t>
  </si>
  <si>
    <t>11:142&amp;15:142</t>
  </si>
  <si>
    <t>11:148&amp;15:148</t>
  </si>
  <si>
    <t>11:154&amp;15:154</t>
  </si>
  <si>
    <t>11:160&amp;15:160</t>
  </si>
  <si>
    <t>11:166&amp;15:166</t>
  </si>
  <si>
    <t>11:172&amp;15:172</t>
  </si>
  <si>
    <t>11:178&amp;15:178</t>
  </si>
  <si>
    <t>11:184&amp;15:184</t>
  </si>
  <si>
    <t>11:190&amp;15:190</t>
  </si>
  <si>
    <t>11:196&amp;15:196</t>
  </si>
  <si>
    <t>11:202&amp;15:202</t>
  </si>
  <si>
    <t>11:208&amp;15:208</t>
  </si>
  <si>
    <t>11:214&amp;15:214</t>
  </si>
  <si>
    <t>11:220&amp;15:220</t>
  </si>
  <si>
    <t>11:226&amp;15:226</t>
  </si>
  <si>
    <t>11:232&amp;15:232</t>
  </si>
  <si>
    <t>11:238&amp;15:238</t>
  </si>
  <si>
    <t>11:244&amp;15:244</t>
  </si>
  <si>
    <t>11:250&amp;15:250</t>
  </si>
  <si>
    <t>11:256&amp;15:256</t>
  </si>
  <si>
    <t>11:262&amp;15:262</t>
  </si>
  <si>
    <t>11:268&amp;15:268</t>
  </si>
  <si>
    <t>11:274&amp;15:274</t>
  </si>
  <si>
    <t>11:280&amp;15:280</t>
  </si>
  <si>
    <t>11:286&amp;15:286</t>
  </si>
  <si>
    <t>11:292&amp;15:292</t>
  </si>
  <si>
    <t>11:298&amp;15:298</t>
  </si>
  <si>
    <t>11:304&amp;15:304</t>
  </si>
  <si>
    <t>11:310&amp;15:310</t>
  </si>
  <si>
    <t>11:316&amp;15:316</t>
  </si>
  <si>
    <t>11:322&amp;15:322</t>
  </si>
  <si>
    <t>11:328&amp;15:328</t>
  </si>
  <si>
    <t>11:334&amp;15:334</t>
  </si>
  <si>
    <t>11:340&amp;15:340</t>
  </si>
  <si>
    <t>11:346&amp;15:346</t>
  </si>
  <si>
    <t>11:352&amp;15:352</t>
  </si>
  <si>
    <t>11:358&amp;15:358</t>
  </si>
  <si>
    <t>11:364&amp;15:364</t>
  </si>
  <si>
    <t>11:370&amp;15:370</t>
  </si>
  <si>
    <t>11:376&amp;15:376</t>
  </si>
  <si>
    <t>11:382&amp;15:382</t>
  </si>
  <si>
    <t>11:388&amp;15:388</t>
  </si>
  <si>
    <t>11:394&amp;15:394</t>
  </si>
  <si>
    <t>11:400&amp;15:400</t>
  </si>
  <si>
    <t>11:406&amp;15:406</t>
  </si>
  <si>
    <t>11:412&amp;15:412</t>
  </si>
  <si>
    <t>11:418&amp;15:418</t>
  </si>
  <si>
    <t>11:424&amp;15:424</t>
  </si>
  <si>
    <t>11:430&amp;15:430</t>
  </si>
  <si>
    <t>11:436&amp;15:436</t>
  </si>
  <si>
    <t>11:442&amp;15:442</t>
  </si>
  <si>
    <t>11:448&amp;15:448</t>
  </si>
  <si>
    <t>11:454&amp;15:454</t>
  </si>
  <si>
    <t>11:460&amp;15:460</t>
  </si>
  <si>
    <t>11:466&amp;15:466</t>
  </si>
  <si>
    <t>11:472&amp;15:472</t>
  </si>
  <si>
    <t>11:478&amp;15:478</t>
  </si>
  <si>
    <t>11:484&amp;15:484</t>
  </si>
  <si>
    <t>11:490&amp;15:490</t>
  </si>
  <si>
    <t>11:496&amp;15:496</t>
  </si>
  <si>
    <t>11:502&amp;15:502</t>
  </si>
  <si>
    <t>11:508&amp;15:508</t>
  </si>
  <si>
    <t>11:514&amp;15:514</t>
  </si>
  <si>
    <t>11:520&amp;15:520</t>
  </si>
  <si>
    <t>11:526&amp;15:526</t>
  </si>
  <si>
    <t>11:532&amp;15:532</t>
  </si>
  <si>
    <t>11:538&amp;15:538</t>
  </si>
  <si>
    <t>11:544&amp;15:544</t>
  </si>
  <si>
    <t>11:550&amp;15:550</t>
  </si>
  <si>
    <t>11:556&amp;15:556</t>
  </si>
  <si>
    <t>11:562&amp;15:562</t>
  </si>
  <si>
    <t>11:568&amp;15:568</t>
  </si>
  <si>
    <t>11:574&amp;15:574</t>
  </si>
  <si>
    <t>11:580&amp;15:580</t>
  </si>
  <si>
    <t>11:586&amp;15:586</t>
  </si>
  <si>
    <t>11:592&amp;15:592</t>
  </si>
  <si>
    <t>11:598&amp;15:598</t>
  </si>
  <si>
    <t>11:604&amp;15:604</t>
  </si>
  <si>
    <t>9:130&amp;10:130</t>
  </si>
  <si>
    <t>9:136&amp;10:136</t>
  </si>
  <si>
    <t>9:142&amp;10:142</t>
  </si>
  <si>
    <t>9:148&amp;10:148</t>
  </si>
  <si>
    <t>9:154&amp;10:154</t>
  </si>
  <si>
    <t>9:160&amp;10:160</t>
  </si>
  <si>
    <t>9:166&amp;10:166</t>
  </si>
  <si>
    <t>9:172&amp;10:172</t>
  </si>
  <si>
    <t>9:178&amp;10:178</t>
  </si>
  <si>
    <t>9:184&amp;10:184</t>
  </si>
  <si>
    <t>9:190&amp;10:190</t>
  </si>
  <si>
    <t>9:196&amp;10:196</t>
  </si>
  <si>
    <t>9:202&amp;10:202</t>
  </si>
  <si>
    <t>9:208&amp;10:208</t>
  </si>
  <si>
    <t>9:214&amp;10:214</t>
  </si>
  <si>
    <t>9:220&amp;10:220</t>
  </si>
  <si>
    <t>9:226&amp;10:226</t>
  </si>
  <si>
    <t>9:232&amp;10:232</t>
  </si>
  <si>
    <t>9:238&amp;10:238</t>
  </si>
  <si>
    <t>9:244&amp;10:244</t>
  </si>
  <si>
    <t>9:250&amp;10:250</t>
  </si>
  <si>
    <t>9:256&amp;10:256</t>
  </si>
  <si>
    <t>9:262&amp;10:262</t>
  </si>
  <si>
    <t>9:268&amp;10:268</t>
  </si>
  <si>
    <t>9:274&amp;10:274</t>
  </si>
  <si>
    <t>9:280&amp;10:280</t>
  </si>
  <si>
    <t>9:286&amp;10:286</t>
  </si>
  <si>
    <t>9:292&amp;10:292</t>
  </si>
  <si>
    <t>9:298&amp;10:298</t>
  </si>
  <si>
    <t>9:304&amp;10:304</t>
  </si>
  <si>
    <t>9:310&amp;10:310</t>
  </si>
  <si>
    <t>9:316&amp;10:316</t>
  </si>
  <si>
    <t>9:322&amp;10:322</t>
  </si>
  <si>
    <t>9:328&amp;10:328</t>
  </si>
  <si>
    <t>9:334&amp;10:334</t>
  </si>
  <si>
    <t>9:340&amp;10:340</t>
  </si>
  <si>
    <t>9:346&amp;10:346</t>
  </si>
  <si>
    <t>9:352&amp;10:352</t>
  </si>
  <si>
    <t>9:358&amp;10:358</t>
  </si>
  <si>
    <t>9:364&amp;10:364</t>
  </si>
  <si>
    <t>9:370&amp;10:370</t>
  </si>
  <si>
    <t>9:376&amp;10:376</t>
  </si>
  <si>
    <t>9:382&amp;10:382</t>
  </si>
  <si>
    <t>9:388&amp;10:388</t>
  </si>
  <si>
    <t>9:394&amp;10:394</t>
  </si>
  <si>
    <t>9:400&amp;10:400</t>
  </si>
  <si>
    <t>9:406&amp;10:406</t>
  </si>
  <si>
    <t>9:412&amp;10:412</t>
  </si>
  <si>
    <t>9:418&amp;10:418</t>
  </si>
  <si>
    <t>9:424&amp;10:424</t>
  </si>
  <si>
    <t>9:430&amp;10:430</t>
  </si>
  <si>
    <t>9:436&amp;10:436</t>
  </si>
  <si>
    <t>9:442&amp;10:442</t>
  </si>
  <si>
    <t>9:448&amp;10:448</t>
  </si>
  <si>
    <t>9:454&amp;10:454</t>
  </si>
  <si>
    <t>9:460&amp;10:460</t>
  </si>
  <si>
    <t>9:466&amp;10:466</t>
  </si>
  <si>
    <t>9:472&amp;10:472</t>
  </si>
  <si>
    <t>9:478&amp;10:478</t>
  </si>
  <si>
    <t>9:484&amp;10:484</t>
  </si>
  <si>
    <t>9:490&amp;10:490</t>
  </si>
  <si>
    <t>9:496&amp;10:496</t>
  </si>
  <si>
    <t>9:502&amp;10:502</t>
  </si>
  <si>
    <t>9:508&amp;10:508</t>
  </si>
  <si>
    <t>9:514&amp;10:514</t>
  </si>
  <si>
    <t>9:520&amp;10:520</t>
  </si>
  <si>
    <t>9:526&amp;10:526</t>
  </si>
  <si>
    <t>9:532&amp;10:532</t>
  </si>
  <si>
    <t>9:538&amp;10:538</t>
  </si>
  <si>
    <t>9:544&amp;10:544</t>
  </si>
  <si>
    <t>9:550&amp;10:550</t>
  </si>
  <si>
    <t>9:556&amp;10:556</t>
  </si>
  <si>
    <t>9:562&amp;10:562</t>
  </si>
  <si>
    <t>9:568&amp;10:568</t>
  </si>
  <si>
    <t>9:574&amp;10:574</t>
  </si>
  <si>
    <t>9:580&amp;10:580</t>
  </si>
  <si>
    <t>9:586&amp;10:586</t>
  </si>
  <si>
    <t>9:592&amp;10:592</t>
  </si>
  <si>
    <t>9:598&amp;10:598</t>
  </si>
  <si>
    <t>9:604&amp;10:604</t>
  </si>
  <si>
    <t>8:243&amp;12:243</t>
  </si>
  <si>
    <t>8:254&amp;12:254</t>
  </si>
  <si>
    <t>8:265&amp;12:265</t>
  </si>
  <si>
    <t>8:276&amp;12:276</t>
  </si>
  <si>
    <t>8:287&amp;12:287</t>
  </si>
  <si>
    <t>8:309&amp;12:309</t>
  </si>
  <si>
    <t>8:320&amp;12:320</t>
  </si>
  <si>
    <t>8:331&amp;12:331</t>
  </si>
  <si>
    <t>8:342&amp;12:342</t>
  </si>
  <si>
    <t>8:353&amp;12:353</t>
  </si>
  <si>
    <t>8:375&amp;12:375</t>
  </si>
  <si>
    <t>8:386&amp;12:386</t>
  </si>
  <si>
    <t>8:397&amp;12:397</t>
  </si>
  <si>
    <t>8:408&amp;12:408</t>
  </si>
  <si>
    <t>8:419&amp;12:419</t>
  </si>
  <si>
    <t>8:441&amp;12:441</t>
  </si>
  <si>
    <t>8:452&amp;12:452</t>
  </si>
  <si>
    <t>8:463&amp;12:463</t>
  </si>
  <si>
    <t>8:474&amp;12:474</t>
  </si>
  <si>
    <t>8:485&amp;12:485</t>
  </si>
  <si>
    <t>8:507&amp;12:507</t>
  </si>
  <si>
    <t>8:518&amp;12:518</t>
  </si>
  <si>
    <t>8:529&amp;12:529</t>
  </si>
  <si>
    <t>8:540&amp;12:540</t>
  </si>
  <si>
    <t>8:551&amp;12:551</t>
  </si>
  <si>
    <t>8:573&amp;12:573</t>
  </si>
  <si>
    <t>8:584&amp;12:584</t>
  </si>
  <si>
    <t>8:595&amp;12:595</t>
  </si>
  <si>
    <t>8:606&amp;12:606</t>
  </si>
  <si>
    <t>8:617&amp;12:617</t>
  </si>
  <si>
    <t>8:628&amp;12:628</t>
  </si>
  <si>
    <t>8:639&amp;12:639</t>
  </si>
  <si>
    <t>8:650&amp;12:650</t>
  </si>
  <si>
    <t>8:661&amp;12:661</t>
  </si>
  <si>
    <t>8:672&amp;12:672</t>
  </si>
  <si>
    <t>8:683&amp;12:683</t>
  </si>
  <si>
    <t>8:694&amp;12:694</t>
  </si>
  <si>
    <t>8:705&amp;12:705</t>
  </si>
  <si>
    <t>8:716&amp;12:716</t>
  </si>
  <si>
    <t>8:727&amp;12:727</t>
  </si>
  <si>
    <t>8:738&amp;12:738</t>
  </si>
  <si>
    <t>8:749&amp;12:749</t>
  </si>
  <si>
    <t>8:760&amp;12:760</t>
  </si>
  <si>
    <t>8:771&amp;12:771</t>
  </si>
  <si>
    <t>8:782&amp;12:782</t>
  </si>
  <si>
    <t>8:793&amp;12:793</t>
  </si>
  <si>
    <t>8:804&amp;12:804</t>
  </si>
  <si>
    <t>8:815&amp;12:815</t>
  </si>
  <si>
    <t>8:826&amp;12:826</t>
  </si>
  <si>
    <t>8:837&amp;12:837</t>
  </si>
  <si>
    <t>8:848&amp;12:848</t>
  </si>
  <si>
    <t>8:859&amp;12:859</t>
  </si>
  <si>
    <t>8:870&amp;12:870</t>
  </si>
  <si>
    <t>8:881&amp;12:881</t>
  </si>
  <si>
    <t>8:892&amp;12:892</t>
  </si>
  <si>
    <t>8:903&amp;12:903</t>
  </si>
  <si>
    <t>8:914&amp;12:914</t>
  </si>
  <si>
    <t>8:925&amp;12:925</t>
  </si>
  <si>
    <t>8:936&amp;12:936</t>
  </si>
  <si>
    <t>8:947&amp;12:947</t>
  </si>
  <si>
    <t>8:958&amp;12:958</t>
  </si>
  <si>
    <t>8:969&amp;12:969</t>
  </si>
  <si>
    <t>8:980&amp;12:980</t>
  </si>
  <si>
    <t>8:991&amp;12:991</t>
  </si>
  <si>
    <t>8:1002&amp;12:1002</t>
  </si>
  <si>
    <t>8:1013&amp;12:1013</t>
  </si>
  <si>
    <t>8:1024&amp;12:1024</t>
  </si>
  <si>
    <t>8:1035&amp;12:1035</t>
  </si>
  <si>
    <t>8:1046&amp;12:1046</t>
  </si>
  <si>
    <t>8:1057&amp;12:1057</t>
  </si>
  <si>
    <t>8:1068&amp;12:1068</t>
  </si>
  <si>
    <t>8:1079&amp;12:1079</t>
  </si>
  <si>
    <t>8:1090&amp;12:1090</t>
  </si>
  <si>
    <t>8:1101&amp;12:1101</t>
  </si>
  <si>
    <t>19:243&amp;14:243</t>
  </si>
  <si>
    <t>19:254&amp;14:254</t>
  </si>
  <si>
    <t>19:265&amp;14:265</t>
  </si>
  <si>
    <t>19:276&amp;14:276</t>
  </si>
  <si>
    <t>19:287&amp;14:287</t>
  </si>
  <si>
    <t>19:309&amp;14:309</t>
  </si>
  <si>
    <t>19:320&amp;14:320</t>
  </si>
  <si>
    <t>19:331&amp;14:331</t>
  </si>
  <si>
    <t>19:342&amp;14:342</t>
  </si>
  <si>
    <t>19:353&amp;14:353</t>
  </si>
  <si>
    <t>19:375&amp;14:375</t>
  </si>
  <si>
    <t>19:386&amp;14:386</t>
  </si>
  <si>
    <t>19:397&amp;14:397</t>
  </si>
  <si>
    <t>19:408&amp;14:408</t>
  </si>
  <si>
    <t>19:419&amp;14:419</t>
  </si>
  <si>
    <t>19:441&amp;14:441</t>
  </si>
  <si>
    <t>19:452&amp;14:452</t>
  </si>
  <si>
    <t>19:463&amp;14:463</t>
  </si>
  <si>
    <t>19:474&amp;14:474</t>
  </si>
  <si>
    <t>19:485&amp;14:485</t>
  </si>
  <si>
    <t>19:507&amp;14:507</t>
  </si>
  <si>
    <t>19:518&amp;14:518</t>
  </si>
  <si>
    <t>19:529&amp;14:529</t>
  </si>
  <si>
    <t>19:540&amp;14:540</t>
  </si>
  <si>
    <t>19:551&amp;14:551</t>
  </si>
  <si>
    <t>19:573&amp;14:573</t>
  </si>
  <si>
    <t>19:584&amp;14:584</t>
  </si>
  <si>
    <t>19:595&amp;14:595</t>
  </si>
  <si>
    <t>19:606&amp;14:606</t>
  </si>
  <si>
    <t>19:617&amp;14:617</t>
  </si>
  <si>
    <t>19:628&amp;14:628</t>
  </si>
  <si>
    <t>19:639&amp;14:639</t>
  </si>
  <si>
    <t>19:650&amp;14:650</t>
  </si>
  <si>
    <t>19:661&amp;14:661</t>
  </si>
  <si>
    <t>19:672&amp;14:672</t>
  </si>
  <si>
    <t>19:683&amp;14:683</t>
  </si>
  <si>
    <t>19:694&amp;14:694</t>
  </si>
  <si>
    <t>19:705&amp;14:705</t>
  </si>
  <si>
    <t>19:716&amp;14:716</t>
  </si>
  <si>
    <t>19:727&amp;14:727</t>
  </si>
  <si>
    <t>19:738&amp;14:738</t>
  </si>
  <si>
    <t>19:749&amp;14:749</t>
  </si>
  <si>
    <t>19:760&amp;14:760</t>
  </si>
  <si>
    <t>19:771&amp;14:771</t>
  </si>
  <si>
    <t>19:782&amp;14:782</t>
  </si>
  <si>
    <t>19:793&amp;14:793</t>
  </si>
  <si>
    <t>19:804&amp;14:804</t>
  </si>
  <si>
    <t>19:815&amp;14:815</t>
  </si>
  <si>
    <t>19:826&amp;14:826</t>
  </si>
  <si>
    <t>19:837&amp;14:837</t>
  </si>
  <si>
    <t>19:848&amp;14:848</t>
  </si>
  <si>
    <t>19:859&amp;14:859</t>
  </si>
  <si>
    <t>19:870&amp;14:870</t>
  </si>
  <si>
    <t>19:881&amp;14:881</t>
  </si>
  <si>
    <t>19:892&amp;14:892</t>
  </si>
  <si>
    <t>19:903&amp;14:903</t>
  </si>
  <si>
    <t>19:914&amp;14:914</t>
  </si>
  <si>
    <t>19:925&amp;14:925</t>
  </si>
  <si>
    <t>19:936&amp;14:936</t>
  </si>
  <si>
    <t>19:947&amp;14:947</t>
  </si>
  <si>
    <t>19:958&amp;14:958</t>
  </si>
  <si>
    <t>19:969&amp;14:969</t>
  </si>
  <si>
    <t>19:980&amp;14:980</t>
  </si>
  <si>
    <t>19:991&amp;14:991</t>
  </si>
  <si>
    <t>19:1002&amp;14:1002</t>
  </si>
  <si>
    <t>19:1013&amp;14:1013</t>
  </si>
  <si>
    <t>19:1024&amp;14:1024</t>
  </si>
  <si>
    <t>19:1035&amp;14:1035</t>
  </si>
  <si>
    <t>19:1046&amp;14:1046</t>
  </si>
  <si>
    <t>19:1057&amp;14:1057</t>
  </si>
  <si>
    <t>19:1068&amp;14:1068</t>
  </si>
  <si>
    <t>19:1079&amp;14:1079</t>
  </si>
  <si>
    <t>19:1090&amp;14:1090</t>
  </si>
  <si>
    <t>19:1101&amp;14:1101</t>
  </si>
  <si>
    <t>13:243&amp;24:243</t>
  </si>
  <si>
    <t>13:254&amp;24:254</t>
  </si>
  <si>
    <t>13:265&amp;24:265</t>
  </si>
  <si>
    <t>13:276&amp;24:276</t>
  </si>
  <si>
    <t>13:287&amp;24:287</t>
  </si>
  <si>
    <t>13:309&amp;24:309</t>
  </si>
  <si>
    <t>13:320&amp;24:320</t>
  </si>
  <si>
    <t>13:331&amp;24:331</t>
  </si>
  <si>
    <t>13:342&amp;24:342</t>
  </si>
  <si>
    <t>13:353&amp;24:353</t>
  </si>
  <si>
    <t>13:375&amp;24:375</t>
  </si>
  <si>
    <t>13:386&amp;24:386</t>
  </si>
  <si>
    <t>13:397&amp;24:397</t>
  </si>
  <si>
    <t>13:408&amp;24:408</t>
  </si>
  <si>
    <t>13:419&amp;24:419</t>
  </si>
  <si>
    <t>13:441&amp;24:441</t>
  </si>
  <si>
    <t>13:452&amp;24:452</t>
  </si>
  <si>
    <t>13:463&amp;24:463</t>
  </si>
  <si>
    <t>13:474&amp;24:474</t>
  </si>
  <si>
    <t>13:485&amp;24:485</t>
  </si>
  <si>
    <t>13:507&amp;24:507</t>
  </si>
  <si>
    <t>13:518&amp;24:518</t>
  </si>
  <si>
    <t>13:529&amp;24:529</t>
  </si>
  <si>
    <t>13:540&amp;24:540</t>
  </si>
  <si>
    <t>13:551&amp;24:551</t>
  </si>
  <si>
    <t>13:573&amp;24:573</t>
  </si>
  <si>
    <t>13:584&amp;24:584</t>
  </si>
  <si>
    <t>13:595&amp;24:595</t>
  </si>
  <si>
    <t>13:606&amp;24:606</t>
  </si>
  <si>
    <t>13:617&amp;24:617</t>
  </si>
  <si>
    <t>13:628&amp;24:628</t>
  </si>
  <si>
    <t>13:639&amp;24:639</t>
  </si>
  <si>
    <t>13:650&amp;24:650</t>
  </si>
  <si>
    <t>13:661&amp;24:661</t>
  </si>
  <si>
    <t>13:672&amp;24:672</t>
  </si>
  <si>
    <t>13:683&amp;24:683</t>
  </si>
  <si>
    <t>13:694&amp;24:694</t>
  </si>
  <si>
    <t>13:705&amp;24:705</t>
  </si>
  <si>
    <t>13:716&amp;24:716</t>
  </si>
  <si>
    <t>13:727&amp;24:727</t>
  </si>
  <si>
    <t>13:738&amp;24:738</t>
  </si>
  <si>
    <t>13:749&amp;24:749</t>
  </si>
  <si>
    <t>13:760&amp;24:760</t>
  </si>
  <si>
    <t>13:771&amp;24:771</t>
  </si>
  <si>
    <t>13:782&amp;24:782</t>
  </si>
  <si>
    <t>13:793&amp;24:793</t>
  </si>
  <si>
    <t>13:804&amp;24:804</t>
  </si>
  <si>
    <t>13:815&amp;24:815</t>
  </si>
  <si>
    <t>13:826&amp;24:826</t>
  </si>
  <si>
    <t>13:837&amp;24:837</t>
  </si>
  <si>
    <t>13:848&amp;24:848</t>
  </si>
  <si>
    <t>13:859&amp;24:859</t>
  </si>
  <si>
    <t>13:870&amp;24:870</t>
  </si>
  <si>
    <t>13:881&amp;24:881</t>
  </si>
  <si>
    <t>13:892&amp;24:892</t>
  </si>
  <si>
    <t>13:903&amp;24:903</t>
  </si>
  <si>
    <t>13:914&amp;24:914</t>
  </si>
  <si>
    <t>13:925&amp;24:925</t>
  </si>
  <si>
    <t>13:936&amp;24:936</t>
  </si>
  <si>
    <t>13:947&amp;24:947</t>
  </si>
  <si>
    <t>13:958&amp;24:958</t>
  </si>
  <si>
    <t>13:969&amp;24:969</t>
  </si>
  <si>
    <t>13:980&amp;24:980</t>
  </si>
  <si>
    <t>13:991&amp;24:991</t>
  </si>
  <si>
    <t>13:1002&amp;24:1002</t>
  </si>
  <si>
    <t>13:1013&amp;24:1013</t>
  </si>
  <si>
    <t>13:1024&amp;24:1024</t>
  </si>
  <si>
    <t>13:1035&amp;24:1035</t>
  </si>
  <si>
    <t>13:1046&amp;24:1046</t>
  </si>
  <si>
    <t>13:1057&amp;24:1057</t>
  </si>
  <si>
    <t>13:1068&amp;24:1068</t>
  </si>
  <si>
    <t>13:1079&amp;24:1079</t>
  </si>
  <si>
    <t>13:1090&amp;24:1090</t>
  </si>
  <si>
    <t>13:1101&amp;24:1101</t>
  </si>
  <si>
    <t>11:243&amp;15:243</t>
  </si>
  <si>
    <t>11:254&amp;15:254</t>
  </si>
  <si>
    <t>11:265&amp;15:265</t>
  </si>
  <si>
    <t>11:276&amp;15:276</t>
  </si>
  <si>
    <t>11:287&amp;15:287</t>
  </si>
  <si>
    <t>11:309&amp;15:309</t>
  </si>
  <si>
    <t>11:320&amp;15:320</t>
  </si>
  <si>
    <t>11:331&amp;15:331</t>
  </si>
  <si>
    <t>11:342&amp;15:342</t>
  </si>
  <si>
    <t>11:353&amp;15:353</t>
  </si>
  <si>
    <t>11:375&amp;15:375</t>
  </si>
  <si>
    <t>11:386&amp;15:386</t>
  </si>
  <si>
    <t>11:397&amp;15:397</t>
  </si>
  <si>
    <t>11:408&amp;15:408</t>
  </si>
  <si>
    <t>11:419&amp;15:419</t>
  </si>
  <si>
    <t>11:441&amp;15:441</t>
  </si>
  <si>
    <t>11:452&amp;15:452</t>
  </si>
  <si>
    <t>11:463&amp;15:463</t>
  </si>
  <si>
    <t>11:474&amp;15:474</t>
  </si>
  <si>
    <t>11:485&amp;15:485</t>
  </si>
  <si>
    <t>11:507&amp;15:507</t>
  </si>
  <si>
    <t>11:518&amp;15:518</t>
  </si>
  <si>
    <t>11:529&amp;15:529</t>
  </si>
  <si>
    <t>11:540&amp;15:540</t>
  </si>
  <si>
    <t>11:551&amp;15:551</t>
  </si>
  <si>
    <t>11:573&amp;15:573</t>
  </si>
  <si>
    <t>11:584&amp;15:584</t>
  </si>
  <si>
    <t>11:595&amp;15:595</t>
  </si>
  <si>
    <t>11:606&amp;15:606</t>
  </si>
  <si>
    <t>11:617&amp;15:617</t>
  </si>
  <si>
    <t>11:628&amp;15:628</t>
  </si>
  <si>
    <t>11:639&amp;15:639</t>
  </si>
  <si>
    <t>11:650&amp;15:650</t>
  </si>
  <si>
    <t>11:661&amp;15:661</t>
  </si>
  <si>
    <t>11:672&amp;15:672</t>
  </si>
  <si>
    <t>11:683&amp;15:683</t>
  </si>
  <si>
    <t>11:694&amp;15:694</t>
  </si>
  <si>
    <t>11:705&amp;15:705</t>
  </si>
  <si>
    <t>11:716&amp;15:716</t>
  </si>
  <si>
    <t>11:727&amp;15:727</t>
  </si>
  <si>
    <t>11:738&amp;15:738</t>
  </si>
  <si>
    <t>11:749&amp;15:749</t>
  </si>
  <si>
    <t>11:760&amp;15:760</t>
  </si>
  <si>
    <t>11:771&amp;15:771</t>
  </si>
  <si>
    <t>11:782&amp;15:782</t>
  </si>
  <si>
    <t>11:793&amp;15:793</t>
  </si>
  <si>
    <t>11:804&amp;15:804</t>
  </si>
  <si>
    <t>11:815&amp;15:815</t>
  </si>
  <si>
    <t>11:826&amp;15:826</t>
  </si>
  <si>
    <t>11:837&amp;15:837</t>
  </si>
  <si>
    <t>11:848&amp;15:848</t>
  </si>
  <si>
    <t>11:859&amp;15:859</t>
  </si>
  <si>
    <t>11:870&amp;15:870</t>
  </si>
  <si>
    <t>11:881&amp;15:881</t>
  </si>
  <si>
    <t>11:892&amp;15:892</t>
  </si>
  <si>
    <t>11:903&amp;15:903</t>
  </si>
  <si>
    <t>11:914&amp;15:914</t>
  </si>
  <si>
    <t>11:925&amp;15:925</t>
  </si>
  <si>
    <t>11:936&amp;15:936</t>
  </si>
  <si>
    <t>11:947&amp;15:947</t>
  </si>
  <si>
    <t>11:958&amp;15:958</t>
  </si>
  <si>
    <t>11:969&amp;15:969</t>
  </si>
  <si>
    <t>11:980&amp;15:980</t>
  </si>
  <si>
    <t>11:991&amp;15:991</t>
  </si>
  <si>
    <t>11:1002&amp;15:1002</t>
  </si>
  <si>
    <t>11:1013&amp;15:1013</t>
  </si>
  <si>
    <t>11:1024&amp;15:1024</t>
  </si>
  <si>
    <t>11:1035&amp;15:1035</t>
  </si>
  <si>
    <t>11:1046&amp;15:1046</t>
  </si>
  <si>
    <t>11:1057&amp;15:1057</t>
  </si>
  <si>
    <t>11:1068&amp;15:1068</t>
  </si>
  <si>
    <t>11:1079&amp;15:1079</t>
  </si>
  <si>
    <t>11:1090&amp;15:1090</t>
  </si>
  <si>
    <t>11:1101&amp;15:1101</t>
  </si>
  <si>
    <t>9:243&amp;10:243</t>
  </si>
  <si>
    <t>9:254&amp;10:254</t>
  </si>
  <si>
    <t>9:265&amp;10:265</t>
  </si>
  <si>
    <t>9:276&amp;10:276</t>
  </si>
  <si>
    <t>9:287&amp;10:287</t>
  </si>
  <si>
    <t>9:309&amp;10:309</t>
  </si>
  <si>
    <t>9:320&amp;10:320</t>
  </si>
  <si>
    <t>9:331&amp;10:331</t>
  </si>
  <si>
    <t>9:342&amp;10:342</t>
  </si>
  <si>
    <t>9:353&amp;10:353</t>
  </si>
  <si>
    <t>9:375&amp;10:375</t>
  </si>
  <si>
    <t>9:386&amp;10:386</t>
  </si>
  <si>
    <t>9:397&amp;10:397</t>
  </si>
  <si>
    <t>9:408&amp;10:408</t>
  </si>
  <si>
    <t>9:419&amp;10:419</t>
  </si>
  <si>
    <t>9:441&amp;10:441</t>
  </si>
  <si>
    <t>9:452&amp;10:452</t>
  </si>
  <si>
    <t>9:463&amp;10:463</t>
  </si>
  <si>
    <t>9:474&amp;10:474</t>
  </si>
  <si>
    <t>9:485&amp;10:485</t>
  </si>
  <si>
    <t>9:507&amp;10:507</t>
  </si>
  <si>
    <t>9:518&amp;10:518</t>
  </si>
  <si>
    <t>9:529&amp;10:529</t>
  </si>
  <si>
    <t>9:540&amp;10:540</t>
  </si>
  <si>
    <t>9:551&amp;10:551</t>
  </si>
  <si>
    <t>9:573&amp;10:573</t>
  </si>
  <si>
    <t>9:584&amp;10:584</t>
  </si>
  <si>
    <t>9:595&amp;10:595</t>
  </si>
  <si>
    <t>9:606&amp;10:606</t>
  </si>
  <si>
    <t>9:617&amp;10:617</t>
  </si>
  <si>
    <t>9:628&amp;10:628</t>
  </si>
  <si>
    <t>9:639&amp;10:639</t>
  </si>
  <si>
    <t>9:650&amp;10:650</t>
  </si>
  <si>
    <t>9:661&amp;10:661</t>
  </si>
  <si>
    <t>9:672&amp;10:672</t>
  </si>
  <si>
    <t>9:683&amp;10:683</t>
  </si>
  <si>
    <t>9:694&amp;10:694</t>
  </si>
  <si>
    <t>9:705&amp;10:705</t>
  </si>
  <si>
    <t>9:716&amp;10:716</t>
  </si>
  <si>
    <t>9:727&amp;10:727</t>
  </si>
  <si>
    <t>9:738&amp;10:738</t>
  </si>
  <si>
    <t>9:749&amp;10:749</t>
  </si>
  <si>
    <t>9:760&amp;10:760</t>
  </si>
  <si>
    <t>9:771&amp;10:771</t>
  </si>
  <si>
    <t>9:782&amp;10:782</t>
  </si>
  <si>
    <t>9:793&amp;10:793</t>
  </si>
  <si>
    <t>9:804&amp;10:804</t>
  </si>
  <si>
    <t>9:815&amp;10:815</t>
  </si>
  <si>
    <t>9:826&amp;10:826</t>
  </si>
  <si>
    <t>9:837&amp;10:837</t>
  </si>
  <si>
    <t>9:848&amp;10:848</t>
  </si>
  <si>
    <t>9:859&amp;10:859</t>
  </si>
  <si>
    <t>9:870&amp;10:870</t>
  </si>
  <si>
    <t>9:881&amp;10:881</t>
  </si>
  <si>
    <t>9:892&amp;10:892</t>
  </si>
  <si>
    <t>9:903&amp;10:903</t>
  </si>
  <si>
    <t>9:914&amp;10:914</t>
  </si>
  <si>
    <t>9:925&amp;10:925</t>
  </si>
  <si>
    <t>9:936&amp;10:936</t>
  </si>
  <si>
    <t>9:947&amp;10:947</t>
  </si>
  <si>
    <t>9:958&amp;10:958</t>
  </si>
  <si>
    <t>9:969&amp;10:969</t>
  </si>
  <si>
    <t>9:980&amp;10:980</t>
  </si>
  <si>
    <t>9:991&amp;10:991</t>
  </si>
  <si>
    <t>9:1002&amp;10:1002</t>
  </si>
  <si>
    <t>9:1013&amp;10:1013</t>
  </si>
  <si>
    <t>9:1024&amp;10:1024</t>
  </si>
  <si>
    <t>9:1035&amp;10:1035</t>
  </si>
  <si>
    <t>9:1046&amp;10:1046</t>
  </si>
  <si>
    <t>9:1057&amp;10:1057</t>
  </si>
  <si>
    <t>9:1068&amp;10:1068</t>
  </si>
  <si>
    <t>9:1079&amp;10:1079</t>
  </si>
  <si>
    <t>9:1090&amp;10:1090</t>
  </si>
  <si>
    <t>9:1101&amp;10:1101</t>
  </si>
  <si>
    <t>8:345&amp;12:345</t>
  </si>
  <si>
    <t>8:361&amp;12:361</t>
  </si>
  <si>
    <t>8:377&amp;12:377</t>
  </si>
  <si>
    <t>8:393&amp;12:393</t>
  </si>
  <si>
    <t>8:409&amp;12:409</t>
  </si>
  <si>
    <t>8:425&amp;12:425</t>
  </si>
  <si>
    <t>8:457&amp;12:457</t>
  </si>
  <si>
    <t>8:473&amp;12:473</t>
  </si>
  <si>
    <t>8:489&amp;12:489</t>
  </si>
  <si>
    <t>8:505&amp;12:505</t>
  </si>
  <si>
    <t>8:521&amp;12:521</t>
  </si>
  <si>
    <t>8:537&amp;12:537</t>
  </si>
  <si>
    <t>8:553&amp;12:553</t>
  </si>
  <si>
    <t>8:569&amp;12:569</t>
  </si>
  <si>
    <t>8:585&amp;12:585</t>
  </si>
  <si>
    <t>8:601&amp;12:601</t>
  </si>
  <si>
    <t>8:633&amp;12:633</t>
  </si>
  <si>
    <t>8:649&amp;12:649</t>
  </si>
  <si>
    <t>8:665&amp;12:665</t>
  </si>
  <si>
    <t>8:681&amp;12:681</t>
  </si>
  <si>
    <t>8:697&amp;12:697</t>
  </si>
  <si>
    <t>8:713&amp;12:713</t>
  </si>
  <si>
    <t>8:729&amp;12:729</t>
  </si>
  <si>
    <t>8:745&amp;12:745</t>
  </si>
  <si>
    <t>8:761&amp;12:761</t>
  </si>
  <si>
    <t>8:777&amp;12:777</t>
  </si>
  <si>
    <t>8:809&amp;12:809</t>
  </si>
  <si>
    <t>8:825&amp;12:825</t>
  </si>
  <si>
    <t>8:841&amp;12:841</t>
  </si>
  <si>
    <t>8:857&amp;12:857</t>
  </si>
  <si>
    <t>8:873&amp;12:873</t>
  </si>
  <si>
    <t>8:889&amp;12:889</t>
  </si>
  <si>
    <t>8:905&amp;12:905</t>
  </si>
  <si>
    <t>8:921&amp;12:921</t>
  </si>
  <si>
    <t>8:937&amp;12:937</t>
  </si>
  <si>
    <t>8:953&amp;12:953</t>
  </si>
  <si>
    <t>8:985&amp;12:985</t>
  </si>
  <si>
    <t>8:1001&amp;12:1001</t>
  </si>
  <si>
    <t>8:1017&amp;12:1017</t>
  </si>
  <si>
    <t>8:1033&amp;12:1033</t>
  </si>
  <si>
    <t>8:1049&amp;12:1049</t>
  </si>
  <si>
    <t>8:1065&amp;12:1065</t>
  </si>
  <si>
    <t>8:1081&amp;12:1081</t>
  </si>
  <si>
    <t>8:1097&amp;12:1097</t>
  </si>
  <si>
    <t>8:1113&amp;12:1113</t>
  </si>
  <si>
    <t>8:1129&amp;12:1129</t>
  </si>
  <si>
    <t>8:1145&amp;12:1145</t>
  </si>
  <si>
    <t>8:1161&amp;12:1161</t>
  </si>
  <si>
    <t>8:1177&amp;12:1177</t>
  </si>
  <si>
    <t>8:1193&amp;12:1193</t>
  </si>
  <si>
    <t>8:1209&amp;12:1209</t>
  </si>
  <si>
    <t>8:1225&amp;12:1225</t>
  </si>
  <si>
    <t>8:1241&amp;12:1241</t>
  </si>
  <si>
    <t>8:1257&amp;12:1257</t>
  </si>
  <si>
    <t>8:1273&amp;12:1273</t>
  </si>
  <si>
    <t>8:1289&amp;12:1289</t>
  </si>
  <si>
    <t>8:1305&amp;12:1305</t>
  </si>
  <si>
    <t>8:1321&amp;12:1321</t>
  </si>
  <si>
    <t>8:1337&amp;12:1337</t>
  </si>
  <si>
    <t>8:1353&amp;12:1353</t>
  </si>
  <si>
    <t>8:1369&amp;12:1369</t>
  </si>
  <si>
    <t>8:1385&amp;12:1385</t>
  </si>
  <si>
    <t>8:1401&amp;12:1401</t>
  </si>
  <si>
    <t>8:1417&amp;12:1417</t>
  </si>
  <si>
    <t>8:1433&amp;12:1433</t>
  </si>
  <si>
    <t>8:1449&amp;12:1449</t>
  </si>
  <si>
    <t>8:1465&amp;12:1465</t>
  </si>
  <si>
    <t>8:1481&amp;12:1481</t>
  </si>
  <si>
    <t>8:1497&amp;12:1497</t>
  </si>
  <si>
    <t>8:1513&amp;12:1513</t>
  </si>
  <si>
    <t>8:1529&amp;12:1529</t>
  </si>
  <si>
    <t>8:1545&amp;12:1545</t>
  </si>
  <si>
    <t>8:1561&amp;12:1561</t>
  </si>
  <si>
    <t>8:1577&amp;12:1577</t>
  </si>
  <si>
    <t>8:1593&amp;12:1593</t>
  </si>
  <si>
    <t>8:1609&amp;12:1609</t>
  </si>
  <si>
    <t>19:345&amp;14:345</t>
  </si>
  <si>
    <t>19:361&amp;14:361</t>
  </si>
  <si>
    <t>19:377&amp;14:377</t>
  </si>
  <si>
    <t>19:393&amp;14:393</t>
  </si>
  <si>
    <t>19:409&amp;14:409</t>
  </si>
  <si>
    <t>19:425&amp;14:425</t>
  </si>
  <si>
    <t>19:457&amp;14:457</t>
  </si>
  <si>
    <t>19:473&amp;14:473</t>
  </si>
  <si>
    <t>19:489&amp;14:489</t>
  </si>
  <si>
    <t>19:505&amp;14:505</t>
  </si>
  <si>
    <t>19:521&amp;14:521</t>
  </si>
  <si>
    <t>19:537&amp;14:537</t>
  </si>
  <si>
    <t>19:553&amp;14:553</t>
  </si>
  <si>
    <t>19:569&amp;14:569</t>
  </si>
  <si>
    <t>19:585&amp;14:585</t>
  </si>
  <si>
    <t>19:601&amp;14:601</t>
  </si>
  <si>
    <t>19:633&amp;14:633</t>
  </si>
  <si>
    <t>19:649&amp;14:649</t>
  </si>
  <si>
    <t>19:665&amp;14:665</t>
  </si>
  <si>
    <t>19:681&amp;14:681</t>
  </si>
  <si>
    <t>19:697&amp;14:697</t>
  </si>
  <si>
    <t>19:713&amp;14:713</t>
  </si>
  <si>
    <t>19:729&amp;14:729</t>
  </si>
  <si>
    <t>19:745&amp;14:745</t>
  </si>
  <si>
    <t>19:761&amp;14:761</t>
  </si>
  <si>
    <t>19:777&amp;14:777</t>
  </si>
  <si>
    <t>19:809&amp;14:809</t>
  </si>
  <si>
    <t>19:825&amp;14:825</t>
  </si>
  <si>
    <t>19:841&amp;14:841</t>
  </si>
  <si>
    <t>19:857&amp;14:857</t>
  </si>
  <si>
    <t>19:873&amp;14:873</t>
  </si>
  <si>
    <t>19:889&amp;14:889</t>
  </si>
  <si>
    <t>19:905&amp;14:905</t>
  </si>
  <si>
    <t>19:921&amp;14:921</t>
  </si>
  <si>
    <t>19:937&amp;14:937</t>
  </si>
  <si>
    <t>19:953&amp;14:953</t>
  </si>
  <si>
    <t>19:985&amp;14:985</t>
  </si>
  <si>
    <t>19:1001&amp;14:1001</t>
  </si>
  <si>
    <t>19:1017&amp;14:1017</t>
  </si>
  <si>
    <t>19:1033&amp;14:1033</t>
  </si>
  <si>
    <t>19:1049&amp;14:1049</t>
  </si>
  <si>
    <t>19:1065&amp;14:1065</t>
  </si>
  <si>
    <t>19:1081&amp;14:1081</t>
  </si>
  <si>
    <t>19:1097&amp;14:1097</t>
  </si>
  <si>
    <t>19:1113&amp;14:1113</t>
  </si>
  <si>
    <t>19:1129&amp;14:1129</t>
  </si>
  <si>
    <t>19:1145&amp;14:1145</t>
  </si>
  <si>
    <t>19:1161&amp;14:1161</t>
  </si>
  <si>
    <t>19:1177&amp;14:1177</t>
  </si>
  <si>
    <t>19:1193&amp;14:1193</t>
  </si>
  <si>
    <t>19:1209&amp;14:1209</t>
  </si>
  <si>
    <t>19:1225&amp;14:1225</t>
  </si>
  <si>
    <t>19:1241&amp;14:1241</t>
  </si>
  <si>
    <t>19:1257&amp;14:1257</t>
  </si>
  <si>
    <t>19:1273&amp;14:1273</t>
  </si>
  <si>
    <t>19:1289&amp;14:1289</t>
  </si>
  <si>
    <t>19:1305&amp;14:1305</t>
  </si>
  <si>
    <t>19:1321&amp;14:1321</t>
  </si>
  <si>
    <t>19:1337&amp;14:1337</t>
  </si>
  <si>
    <t>19:1353&amp;14:1353</t>
  </si>
  <si>
    <t>19:1369&amp;14:1369</t>
  </si>
  <si>
    <t>19:1385&amp;14:1385</t>
  </si>
  <si>
    <t>19:1401&amp;14:1401</t>
  </si>
  <si>
    <t>19:1417&amp;14:1417</t>
  </si>
  <si>
    <t>19:1433&amp;14:1433</t>
  </si>
  <si>
    <t>19:1449&amp;14:1449</t>
  </si>
  <si>
    <t>19:1465&amp;14:1465</t>
  </si>
  <si>
    <t>19:1481&amp;14:1481</t>
  </si>
  <si>
    <t>19:1497&amp;14:1497</t>
  </si>
  <si>
    <t>19:1513&amp;14:1513</t>
  </si>
  <si>
    <t>19:1529&amp;14:1529</t>
  </si>
  <si>
    <t>19:1545&amp;14:1545</t>
  </si>
  <si>
    <t>19:1561&amp;14:1561</t>
  </si>
  <si>
    <t>19:1577&amp;14:1577</t>
  </si>
  <si>
    <t>19:1593&amp;14:1593</t>
  </si>
  <si>
    <t>19:1609&amp;14:1609</t>
  </si>
  <si>
    <t>13:345&amp;24:345</t>
  </si>
  <si>
    <t>13:361&amp;24:361</t>
  </si>
  <si>
    <t>13:377&amp;24:377</t>
  </si>
  <si>
    <t>13:393&amp;24:393</t>
  </si>
  <si>
    <t>13:409&amp;24:409</t>
  </si>
  <si>
    <t>13:425&amp;24:425</t>
  </si>
  <si>
    <t>13:457&amp;24:457</t>
  </si>
  <si>
    <t>13:473&amp;24:473</t>
  </si>
  <si>
    <t>13:489&amp;24:489</t>
  </si>
  <si>
    <t>13:505&amp;24:505</t>
  </si>
  <si>
    <t>13:521&amp;24:521</t>
  </si>
  <si>
    <t>13:537&amp;24:537</t>
  </si>
  <si>
    <t>13:553&amp;24:553</t>
  </si>
  <si>
    <t>13:569&amp;24:569</t>
  </si>
  <si>
    <t>13:585&amp;24:585</t>
  </si>
  <si>
    <t>13:601&amp;24:601</t>
  </si>
  <si>
    <t>13:633&amp;24:633</t>
  </si>
  <si>
    <t>13:649&amp;24:649</t>
  </si>
  <si>
    <t>13:665&amp;24:665</t>
  </si>
  <si>
    <t>13:681&amp;24:681</t>
  </si>
  <si>
    <t>13:697&amp;24:697</t>
  </si>
  <si>
    <t>13:713&amp;24:713</t>
  </si>
  <si>
    <t>13:729&amp;24:729</t>
  </si>
  <si>
    <t>13:745&amp;24:745</t>
  </si>
  <si>
    <t>13:761&amp;24:761</t>
  </si>
  <si>
    <t>13:777&amp;24:777</t>
  </si>
  <si>
    <t>13:809&amp;24:809</t>
  </si>
  <si>
    <t>13:825&amp;24:825</t>
  </si>
  <si>
    <t>13:841&amp;24:841</t>
  </si>
  <si>
    <t>13:857&amp;24:857</t>
  </si>
  <si>
    <t>13:873&amp;24:873</t>
  </si>
  <si>
    <t>13:889&amp;24:889</t>
  </si>
  <si>
    <t>13:905&amp;24:905</t>
  </si>
  <si>
    <t>13:921&amp;24:921</t>
  </si>
  <si>
    <t>13:937&amp;24:937</t>
  </si>
  <si>
    <t>13:953&amp;24:953</t>
  </si>
  <si>
    <t>13:985&amp;24:985</t>
  </si>
  <si>
    <t>13:1001&amp;24:1001</t>
  </si>
  <si>
    <t>13:1017&amp;24:1017</t>
  </si>
  <si>
    <t>13:1033&amp;24:1033</t>
  </si>
  <si>
    <t>13:1049&amp;24:1049</t>
  </si>
  <si>
    <t>13:1065&amp;24:1065</t>
  </si>
  <si>
    <t>13:1081&amp;24:1081</t>
  </si>
  <si>
    <t>13:1097&amp;24:1097</t>
  </si>
  <si>
    <t>13:1113&amp;24:1113</t>
  </si>
  <si>
    <t>13:1129&amp;24:1129</t>
  </si>
  <si>
    <t>13:1145&amp;24:1145</t>
  </si>
  <si>
    <t>13:1161&amp;24:1161</t>
  </si>
  <si>
    <t>13:1177&amp;24:1177</t>
  </si>
  <si>
    <t>13:1193&amp;24:1193</t>
  </si>
  <si>
    <t>13:1209&amp;24:1209</t>
  </si>
  <si>
    <t>13:1225&amp;24:1225</t>
  </si>
  <si>
    <t>13:1241&amp;24:1241</t>
  </si>
  <si>
    <t>13:1257&amp;24:1257</t>
  </si>
  <si>
    <t>13:1273&amp;24:1273</t>
  </si>
  <si>
    <t>13:1289&amp;24:1289</t>
  </si>
  <si>
    <t>13:1305&amp;24:1305</t>
  </si>
  <si>
    <t>13:1321&amp;24:1321</t>
  </si>
  <si>
    <t>13:1337&amp;24:1337</t>
  </si>
  <si>
    <t>13:1353&amp;24:1353</t>
  </si>
  <si>
    <t>13:1369&amp;24:1369</t>
  </si>
  <si>
    <t>13:1385&amp;24:1385</t>
  </si>
  <si>
    <t>13:1401&amp;24:1401</t>
  </si>
  <si>
    <t>13:1417&amp;24:1417</t>
  </si>
  <si>
    <t>13:1433&amp;24:1433</t>
  </si>
  <si>
    <t>13:1449&amp;24:1449</t>
  </si>
  <si>
    <t>13:1465&amp;24:1465</t>
  </si>
  <si>
    <t>13:1481&amp;24:1481</t>
  </si>
  <si>
    <t>13:1497&amp;24:1497</t>
  </si>
  <si>
    <t>13:1513&amp;24:1513</t>
  </si>
  <si>
    <t>13:1529&amp;24:1529</t>
  </si>
  <si>
    <t>13:1545&amp;24:1545</t>
  </si>
  <si>
    <t>13:1561&amp;24:1561</t>
  </si>
  <si>
    <t>13:1577&amp;24:1577</t>
  </si>
  <si>
    <t>13:1593&amp;24:1593</t>
  </si>
  <si>
    <t>13:1609&amp;24:1609</t>
  </si>
  <si>
    <t>11:345&amp;15:345</t>
  </si>
  <si>
    <t>11:361&amp;15:361</t>
  </si>
  <si>
    <t>11:377&amp;15:377</t>
  </si>
  <si>
    <t>11:393&amp;15:393</t>
  </si>
  <si>
    <t>11:409&amp;15:409</t>
  </si>
  <si>
    <t>11:425&amp;15:425</t>
  </si>
  <si>
    <t>11:457&amp;15:457</t>
  </si>
  <si>
    <t>11:473&amp;15:473</t>
  </si>
  <si>
    <t>11:489&amp;15:489</t>
  </si>
  <si>
    <t>11:505&amp;15:505</t>
  </si>
  <si>
    <t>11:521&amp;15:521</t>
  </si>
  <si>
    <t>11:537&amp;15:537</t>
  </si>
  <si>
    <t>11:553&amp;15:553</t>
  </si>
  <si>
    <t>11:569&amp;15:569</t>
  </si>
  <si>
    <t>11:585&amp;15:585</t>
  </si>
  <si>
    <t>11:601&amp;15:601</t>
  </si>
  <si>
    <t>11:633&amp;15:633</t>
  </si>
  <si>
    <t>11:649&amp;15:649</t>
  </si>
  <si>
    <t>11:665&amp;15:665</t>
  </si>
  <si>
    <t>11:681&amp;15:681</t>
  </si>
  <si>
    <t>11:697&amp;15:697</t>
  </si>
  <si>
    <t>11:713&amp;15:713</t>
  </si>
  <si>
    <t>11:729&amp;15:729</t>
  </si>
  <si>
    <t>11:745&amp;15:745</t>
  </si>
  <si>
    <t>11:761&amp;15:761</t>
  </si>
  <si>
    <t>11:777&amp;15:777</t>
  </si>
  <si>
    <t>11:809&amp;15:809</t>
  </si>
  <si>
    <t>11:825&amp;15:825</t>
  </si>
  <si>
    <t>11:841&amp;15:841</t>
  </si>
  <si>
    <t>11:857&amp;15:857</t>
  </si>
  <si>
    <t>11:873&amp;15:873</t>
  </si>
  <si>
    <t>11:889&amp;15:889</t>
  </si>
  <si>
    <t>11:905&amp;15:905</t>
  </si>
  <si>
    <t>11:921&amp;15:921</t>
  </si>
  <si>
    <t>11:937&amp;15:937</t>
  </si>
  <si>
    <t>11:953&amp;15:953</t>
  </si>
  <si>
    <t>11:985&amp;15:985</t>
  </si>
  <si>
    <t>11:1001&amp;15:1001</t>
  </si>
  <si>
    <t>11:1017&amp;15:1017</t>
  </si>
  <si>
    <t>11:1033&amp;15:1033</t>
  </si>
  <si>
    <t>11:1049&amp;15:1049</t>
  </si>
  <si>
    <t>11:1065&amp;15:1065</t>
  </si>
  <si>
    <t>11:1081&amp;15:1081</t>
  </si>
  <si>
    <t>11:1097&amp;15:1097</t>
  </si>
  <si>
    <t>11:1113&amp;15:1113</t>
  </si>
  <si>
    <t>11:1129&amp;15:1129</t>
  </si>
  <si>
    <t>11:1145&amp;15:1145</t>
  </si>
  <si>
    <t>11:1161&amp;15:1161</t>
  </si>
  <si>
    <t>11:1177&amp;15:1177</t>
  </si>
  <si>
    <t>11:1193&amp;15:1193</t>
  </si>
  <si>
    <t>11:1209&amp;15:1209</t>
  </si>
  <si>
    <t>11:1225&amp;15:1225</t>
  </si>
  <si>
    <t>11:1241&amp;15:1241</t>
  </si>
  <si>
    <t>11:1257&amp;15:1257</t>
  </si>
  <si>
    <t>11:1273&amp;15:1273</t>
  </si>
  <si>
    <t>11:1289&amp;15:1289</t>
  </si>
  <si>
    <t>11:1305&amp;15:1305</t>
  </si>
  <si>
    <t>11:1321&amp;15:1321</t>
  </si>
  <si>
    <t>11:1337&amp;15:1337</t>
  </si>
  <si>
    <t>11:1353&amp;15:1353</t>
  </si>
  <si>
    <t>11:1369&amp;15:1369</t>
  </si>
  <si>
    <t>11:1385&amp;15:1385</t>
  </si>
  <si>
    <t>11:1401&amp;15:1401</t>
  </si>
  <si>
    <t>11:1417&amp;15:1417</t>
  </si>
  <si>
    <t>11:1433&amp;15:1433</t>
  </si>
  <si>
    <t>11:1449&amp;15:1449</t>
  </si>
  <si>
    <t>11:1465&amp;15:1465</t>
  </si>
  <si>
    <t>11:1481&amp;15:1481</t>
  </si>
  <si>
    <t>11:1497&amp;15:1497</t>
  </si>
  <si>
    <t>11:1513&amp;15:1513</t>
  </si>
  <si>
    <t>11:1529&amp;15:1529</t>
  </si>
  <si>
    <t>11:1545&amp;15:1545</t>
  </si>
  <si>
    <t>11:1561&amp;15:1561</t>
  </si>
  <si>
    <t>11:1577&amp;15:1577</t>
  </si>
  <si>
    <t>11:1593&amp;15:1593</t>
  </si>
  <si>
    <t>11:1609&amp;15:1609</t>
  </si>
  <si>
    <t>9:345&amp;10:345</t>
  </si>
  <si>
    <t>9:361&amp;10:361</t>
  </si>
  <si>
    <t>9:377&amp;10:377</t>
  </si>
  <si>
    <t>9:393&amp;10:393</t>
  </si>
  <si>
    <t>9:409&amp;10:409</t>
  </si>
  <si>
    <t>9:425&amp;10:425</t>
  </si>
  <si>
    <t>9:457&amp;10:457</t>
  </si>
  <si>
    <t>9:473&amp;10:473</t>
  </si>
  <si>
    <t>9:489&amp;10:489</t>
  </si>
  <si>
    <t>9:505&amp;10:505</t>
  </si>
  <si>
    <t>9:521&amp;10:521</t>
  </si>
  <si>
    <t>9:537&amp;10:537</t>
  </si>
  <si>
    <t>9:553&amp;10:553</t>
  </si>
  <si>
    <t>9:569&amp;10:569</t>
  </si>
  <si>
    <t>9:585&amp;10:585</t>
  </si>
  <si>
    <t>9:601&amp;10:601</t>
  </si>
  <si>
    <t>9:633&amp;10:633</t>
  </si>
  <si>
    <t>9:649&amp;10:649</t>
  </si>
  <si>
    <t>9:665&amp;10:665</t>
  </si>
  <si>
    <t>9:681&amp;10:681</t>
  </si>
  <si>
    <t>9:697&amp;10:697</t>
  </si>
  <si>
    <t>9:713&amp;10:713</t>
  </si>
  <si>
    <t>9:729&amp;10:729</t>
  </si>
  <si>
    <t>9:745&amp;10:745</t>
  </si>
  <si>
    <t>9:761&amp;10:761</t>
  </si>
  <si>
    <t>9:777&amp;10:777</t>
  </si>
  <si>
    <t>9:809&amp;10:809</t>
  </si>
  <si>
    <t>9:825&amp;10:825</t>
  </si>
  <si>
    <t>9:841&amp;10:841</t>
  </si>
  <si>
    <t>9:857&amp;10:857</t>
  </si>
  <si>
    <t>9:873&amp;10:873</t>
  </si>
  <si>
    <t>9:889&amp;10:889</t>
  </si>
  <si>
    <t>9:905&amp;10:905</t>
  </si>
  <si>
    <t>9:921&amp;10:921</t>
  </si>
  <si>
    <t>9:937&amp;10:937</t>
  </si>
  <si>
    <t>9:953&amp;10:953</t>
  </si>
  <si>
    <t>9:985&amp;10:985</t>
  </si>
  <si>
    <t>9:1001&amp;10:1001</t>
  </si>
  <si>
    <t>9:1017&amp;10:1017</t>
  </si>
  <si>
    <t>9:1033&amp;10:1033</t>
  </si>
  <si>
    <t>9:1049&amp;10:1049</t>
  </si>
  <si>
    <t>9:1065&amp;10:1065</t>
  </si>
  <si>
    <t>9:1081&amp;10:1081</t>
  </si>
  <si>
    <t>9:1097&amp;10:1097</t>
  </si>
  <si>
    <t>9:1113&amp;10:1113</t>
  </si>
  <si>
    <t>9:1129&amp;10:1129</t>
  </si>
  <si>
    <t>9:1145&amp;10:1145</t>
  </si>
  <si>
    <t>9:1161&amp;10:1161</t>
  </si>
  <si>
    <t>9:1177&amp;10:1177</t>
  </si>
  <si>
    <t>9:1193&amp;10:1193</t>
  </si>
  <si>
    <t>9:1209&amp;10:1209</t>
  </si>
  <si>
    <t>9:1225&amp;10:1225</t>
  </si>
  <si>
    <t>9:1241&amp;10:1241</t>
  </si>
  <si>
    <t>9:1257&amp;10:1257</t>
  </si>
  <si>
    <t>9:1273&amp;10:1273</t>
  </si>
  <si>
    <t>9:1289&amp;10:1289</t>
  </si>
  <si>
    <t>9:1305&amp;10:1305</t>
  </si>
  <si>
    <t>9:1321&amp;10:1321</t>
  </si>
  <si>
    <t>9:1337&amp;10:1337</t>
  </si>
  <si>
    <t>9:1353&amp;10:1353</t>
  </si>
  <si>
    <t>9:1369&amp;10:1369</t>
  </si>
  <si>
    <t>9:1385&amp;10:1385</t>
  </si>
  <si>
    <t>9:1401&amp;10:1401</t>
  </si>
  <si>
    <t>9:1417&amp;10:1417</t>
  </si>
  <si>
    <t>9:1433&amp;10:1433</t>
  </si>
  <si>
    <t>9:1449&amp;10:1449</t>
  </si>
  <si>
    <t>9:1465&amp;10:1465</t>
  </si>
  <si>
    <t>9:1481&amp;10:1481</t>
  </si>
  <si>
    <t>9:1497&amp;10:1497</t>
  </si>
  <si>
    <t>9:1513&amp;10:1513</t>
  </si>
  <si>
    <t>9:1529&amp;10:1529</t>
  </si>
  <si>
    <t>9:1545&amp;10:1545</t>
  </si>
  <si>
    <t>9:1561&amp;10:1561</t>
  </si>
  <si>
    <t>9:1577&amp;10:1577</t>
  </si>
  <si>
    <t>9:1593&amp;10:1593</t>
  </si>
  <si>
    <t>9:1609&amp;10:1609</t>
  </si>
  <si>
    <t>8:614&amp;12:614</t>
  </si>
  <si>
    <t>8:643&amp;12:643</t>
  </si>
  <si>
    <t>8:701&amp;12:701</t>
  </si>
  <si>
    <t>8:730&amp;12:730</t>
  </si>
  <si>
    <t>8:759&amp;12:759</t>
  </si>
  <si>
    <t>8:788&amp;12:788</t>
  </si>
  <si>
    <t>8:817&amp;12:817</t>
  </si>
  <si>
    <t>8:846&amp;12:846</t>
  </si>
  <si>
    <t>8:875&amp;12:875</t>
  </si>
  <si>
    <t>8:904&amp;12:904</t>
  </si>
  <si>
    <t>8:933&amp;12:933</t>
  </si>
  <si>
    <t>8:962&amp;12:962</t>
  </si>
  <si>
    <t>8:1020&amp;12:1020</t>
  </si>
  <si>
    <t>8:1078&amp;12:1078</t>
  </si>
  <si>
    <t>8:1107&amp;12:1107</t>
  </si>
  <si>
    <t>8:1136&amp;12:1136</t>
  </si>
  <si>
    <t>8:1165&amp;12:1165</t>
  </si>
  <si>
    <t>8:1194&amp;12:1194</t>
  </si>
  <si>
    <t>8:1223&amp;12:1223</t>
  </si>
  <si>
    <t>8:1252&amp;12:1252</t>
  </si>
  <si>
    <t>8:1281&amp;12:1281</t>
  </si>
  <si>
    <t>8:1310&amp;12:1310</t>
  </si>
  <si>
    <t>8:1339&amp;12:1339</t>
  </si>
  <si>
    <t>8:1368&amp;12:1368</t>
  </si>
  <si>
    <t>8:1397&amp;12:1397</t>
  </si>
  <si>
    <t>8:1426&amp;12:1426</t>
  </si>
  <si>
    <t>8:1455&amp;12:1455</t>
  </si>
  <si>
    <t>8:1484&amp;12:1484</t>
  </si>
  <si>
    <t>8:1542&amp;12:1542</t>
  </si>
  <si>
    <t>8:1571&amp;12:1571</t>
  </si>
  <si>
    <t>8:1600&amp;12:1600</t>
  </si>
  <si>
    <t>8:1629&amp;12:1629</t>
  </si>
  <si>
    <t>8:1658&amp;12:1658</t>
  </si>
  <si>
    <t>8:1687&amp;12:1687</t>
  </si>
  <si>
    <t>8:1716&amp;12:1716</t>
  </si>
  <si>
    <t>8:1745&amp;12:1745</t>
  </si>
  <si>
    <t>8:1774&amp;12:1774</t>
  </si>
  <si>
    <t>8:1803&amp;12:1803</t>
  </si>
  <si>
    <t>8:1832&amp;12:1832</t>
  </si>
  <si>
    <t>8:1861&amp;12:1861</t>
  </si>
  <si>
    <t>8:1890&amp;12:1890</t>
  </si>
  <si>
    <t>8:1919&amp;12:1919</t>
  </si>
  <si>
    <t>8:1948&amp;12:1948</t>
  </si>
  <si>
    <t>8:1977&amp;12:1977</t>
  </si>
  <si>
    <t>8:2006&amp;12:2006</t>
  </si>
  <si>
    <t>8:2035&amp;12:2035</t>
  </si>
  <si>
    <t>8:2064&amp;12:2064</t>
  </si>
  <si>
    <t>8:2093&amp;12:2093</t>
  </si>
  <si>
    <t>8:2122&amp;12:2122</t>
  </si>
  <si>
    <t>8:2151&amp;12:2151</t>
  </si>
  <si>
    <t>8:2180&amp;12:2180</t>
  </si>
  <si>
    <t>8:2209&amp;12:2209</t>
  </si>
  <si>
    <t>8:2238&amp;12:2238</t>
  </si>
  <si>
    <t>8:2267&amp;12:2267</t>
  </si>
  <si>
    <t>8:2296&amp;12:2296</t>
  </si>
  <si>
    <t>8:2325&amp;12:2325</t>
  </si>
  <si>
    <t>8:2354&amp;12:2354</t>
  </si>
  <si>
    <t>8:2383&amp;12:2383</t>
  </si>
  <si>
    <t>8:2412&amp;12:2412</t>
  </si>
  <si>
    <t>8:2441&amp;12:2441</t>
  </si>
  <si>
    <t>8:2470&amp;12:2470</t>
  </si>
  <si>
    <t>8:2499&amp;12:2499</t>
  </si>
  <si>
    <t>8:2528&amp;12:2528</t>
  </si>
  <si>
    <t>8:2557&amp;12:2557</t>
  </si>
  <si>
    <t>8:2586&amp;12:2586</t>
  </si>
  <si>
    <t>8:2615&amp;12:2615</t>
  </si>
  <si>
    <t>8:2644&amp;12:2644</t>
  </si>
  <si>
    <t>8:2673&amp;12:2673</t>
  </si>
  <si>
    <t>8:2702&amp;12:2702</t>
  </si>
  <si>
    <t>8:2731&amp;12:2731</t>
  </si>
  <si>
    <t>8:2760&amp;12:2760</t>
  </si>
  <si>
    <t>8:2789&amp;12:2789</t>
  </si>
  <si>
    <t>8:2818&amp;12:2818</t>
  </si>
  <si>
    <t>8:2847&amp;12:2847</t>
  </si>
  <si>
    <t>8:2876&amp;12:2876</t>
  </si>
  <si>
    <t>8:2905&amp;12:2905</t>
  </si>
  <si>
    <t>19:614&amp;14:614</t>
  </si>
  <si>
    <t>19:643&amp;14:643</t>
  </si>
  <si>
    <t>19:701&amp;14:701</t>
  </si>
  <si>
    <t>19:730&amp;14:730</t>
  </si>
  <si>
    <t>19:759&amp;14:759</t>
  </si>
  <si>
    <t>19:788&amp;14:788</t>
  </si>
  <si>
    <t>19:817&amp;14:817</t>
  </si>
  <si>
    <t>19:846&amp;14:846</t>
  </si>
  <si>
    <t>19:875&amp;14:875</t>
  </si>
  <si>
    <t>19:904&amp;14:904</t>
  </si>
  <si>
    <t>19:933&amp;14:933</t>
  </si>
  <si>
    <t>19:962&amp;14:962</t>
  </si>
  <si>
    <t>19:1020&amp;14:1020</t>
  </si>
  <si>
    <t>19:1078&amp;14:1078</t>
  </si>
  <si>
    <t>19:1107&amp;14:1107</t>
  </si>
  <si>
    <t>19:1136&amp;14:1136</t>
  </si>
  <si>
    <t>19:1165&amp;14:1165</t>
  </si>
  <si>
    <t>19:1194&amp;14:1194</t>
  </si>
  <si>
    <t>19:1223&amp;14:1223</t>
  </si>
  <si>
    <t>19:1252&amp;14:1252</t>
  </si>
  <si>
    <t>19:1281&amp;14:1281</t>
  </si>
  <si>
    <t>19:1310&amp;14:1310</t>
  </si>
  <si>
    <t>19:1339&amp;14:1339</t>
  </si>
  <si>
    <t>19:1368&amp;14:1368</t>
  </si>
  <si>
    <t>19:1397&amp;14:1397</t>
  </si>
  <si>
    <t>19:1426&amp;14:1426</t>
  </si>
  <si>
    <t>19:1455&amp;14:1455</t>
  </si>
  <si>
    <t>19:1484&amp;14:1484</t>
  </si>
  <si>
    <t>19:1542&amp;14:1542</t>
  </si>
  <si>
    <t>19:1571&amp;14:1571</t>
  </si>
  <si>
    <t>19:1600&amp;14:1600</t>
  </si>
  <si>
    <t>19:1629&amp;14:1629</t>
  </si>
  <si>
    <t>19:1658&amp;14:1658</t>
  </si>
  <si>
    <t>19:1687&amp;14:1687</t>
  </si>
  <si>
    <t>19:1716&amp;14:1716</t>
  </si>
  <si>
    <t>19:1745&amp;14:1745</t>
  </si>
  <si>
    <t>19:1774&amp;14:1774</t>
  </si>
  <si>
    <t>19:1803&amp;14:1803</t>
  </si>
  <si>
    <t>19:1832&amp;14:1832</t>
  </si>
  <si>
    <t>19:1861&amp;14:1861</t>
  </si>
  <si>
    <t>19:1890&amp;14:1890</t>
  </si>
  <si>
    <t>19:1919&amp;14:1919</t>
  </si>
  <si>
    <t>19:1948&amp;14:1948</t>
  </si>
  <si>
    <t>19:1977&amp;14:1977</t>
  </si>
  <si>
    <t>19:2006&amp;14:2006</t>
  </si>
  <si>
    <t>19:2035&amp;14:2035</t>
  </si>
  <si>
    <t>19:2064&amp;14:2064</t>
  </si>
  <si>
    <t>19:2093&amp;14:2093</t>
  </si>
  <si>
    <t>19:2122&amp;14:2122</t>
  </si>
  <si>
    <t>19:2151&amp;14:2151</t>
  </si>
  <si>
    <t>19:2180&amp;14:2180</t>
  </si>
  <si>
    <t>19:2209&amp;14:2209</t>
  </si>
  <si>
    <t>19:2238&amp;14:2238</t>
  </si>
  <si>
    <t>19:2267&amp;14:2267</t>
  </si>
  <si>
    <t>19:2296&amp;14:2296</t>
  </si>
  <si>
    <t>19:2325&amp;14:2325</t>
  </si>
  <si>
    <t>19:2354&amp;14:2354</t>
  </si>
  <si>
    <t>19:2383&amp;14:2383</t>
  </si>
  <si>
    <t>19:2412&amp;14:2412</t>
  </si>
  <si>
    <t>19:2441&amp;14:2441</t>
  </si>
  <si>
    <t>19:2470&amp;14:2470</t>
  </si>
  <si>
    <t>19:2499&amp;14:2499</t>
  </si>
  <si>
    <t>19:2528&amp;14:2528</t>
  </si>
  <si>
    <t>19:2557&amp;14:2557</t>
  </si>
  <si>
    <t>19:2586&amp;14:2586</t>
  </si>
  <si>
    <t>19:2615&amp;14:2615</t>
  </si>
  <si>
    <t>19:2644&amp;14:2644</t>
  </si>
  <si>
    <t>19:2673&amp;14:2673</t>
  </si>
  <si>
    <t>19:2702&amp;14:2702</t>
  </si>
  <si>
    <t>19:2731&amp;14:2731</t>
  </si>
  <si>
    <t>19:2760&amp;14:2760</t>
  </si>
  <si>
    <t>19:2789&amp;14:2789</t>
  </si>
  <si>
    <t>19:2818&amp;14:2818</t>
  </si>
  <si>
    <t>19:2847&amp;14:2847</t>
  </si>
  <si>
    <t>19:2876&amp;14:2876</t>
  </si>
  <si>
    <t>19:2905&amp;14:2905</t>
  </si>
  <si>
    <t>13:614&amp;24:614</t>
  </si>
  <si>
    <t>13:643&amp;24:643</t>
  </si>
  <si>
    <t>13:701&amp;24:701</t>
  </si>
  <si>
    <t>13:730&amp;24:730</t>
  </si>
  <si>
    <t>13:759&amp;24:759</t>
  </si>
  <si>
    <t>13:788&amp;24:788</t>
  </si>
  <si>
    <t>13:817&amp;24:817</t>
  </si>
  <si>
    <t>13:846&amp;24:846</t>
  </si>
  <si>
    <t>13:875&amp;24:875</t>
  </si>
  <si>
    <t>13:904&amp;24:904</t>
  </si>
  <si>
    <t>13:933&amp;24:933</t>
  </si>
  <si>
    <t>13:962&amp;24:962</t>
  </si>
  <si>
    <t>13:1020&amp;24:1020</t>
  </si>
  <si>
    <t>13:1078&amp;24:1078</t>
  </si>
  <si>
    <t>13:1107&amp;24:1107</t>
  </si>
  <si>
    <t>13:1136&amp;24:1136</t>
  </si>
  <si>
    <t>13:1165&amp;24:1165</t>
  </si>
  <si>
    <t>13:1194&amp;24:1194</t>
  </si>
  <si>
    <t>13:1223&amp;24:1223</t>
  </si>
  <si>
    <t>13:1252&amp;24:1252</t>
  </si>
  <si>
    <t>13:1281&amp;24:1281</t>
  </si>
  <si>
    <t>13:1310&amp;24:1310</t>
  </si>
  <si>
    <t>13:1339&amp;24:1339</t>
  </si>
  <si>
    <t>13:1368&amp;24:1368</t>
  </si>
  <si>
    <t>13:1397&amp;24:1397</t>
  </si>
  <si>
    <t>13:1426&amp;24:1426</t>
  </si>
  <si>
    <t>13:1455&amp;24:1455</t>
  </si>
  <si>
    <t>13:1484&amp;24:1484</t>
  </si>
  <si>
    <t>13:1542&amp;24:1542</t>
  </si>
  <si>
    <t>13:1571&amp;24:1571</t>
  </si>
  <si>
    <t>13:1600&amp;24:1600</t>
  </si>
  <si>
    <t>13:1629&amp;24:1629</t>
  </si>
  <si>
    <t>13:1658&amp;24:1658</t>
  </si>
  <si>
    <t>13:1687&amp;24:1687</t>
  </si>
  <si>
    <t>13:1716&amp;24:1716</t>
  </si>
  <si>
    <t>13:1745&amp;24:1745</t>
  </si>
  <si>
    <t>13:1774&amp;24:1774</t>
  </si>
  <si>
    <t>13:1803&amp;24:1803</t>
  </si>
  <si>
    <t>13:1832&amp;24:1832</t>
  </si>
  <si>
    <t>13:1861&amp;24:1861</t>
  </si>
  <si>
    <t>13:1890&amp;24:1890</t>
  </si>
  <si>
    <t>13:1919&amp;24:1919</t>
  </si>
  <si>
    <t>13:1948&amp;24:1948</t>
  </si>
  <si>
    <t>13:1977&amp;24:1977</t>
  </si>
  <si>
    <t>13:2006&amp;24:2006</t>
  </si>
  <si>
    <t>13:2035&amp;24:2035</t>
  </si>
  <si>
    <t>13:2064&amp;24:2064</t>
  </si>
  <si>
    <t>13:2093&amp;24:2093</t>
  </si>
  <si>
    <t>13:2122&amp;24:2122</t>
  </si>
  <si>
    <t>13:2151&amp;24:2151</t>
  </si>
  <si>
    <t>13:2180&amp;24:2180</t>
  </si>
  <si>
    <t>13:2209&amp;24:2209</t>
  </si>
  <si>
    <t>13:2238&amp;24:2238</t>
  </si>
  <si>
    <t>13:2267&amp;24:2267</t>
  </si>
  <si>
    <t>13:2296&amp;24:2296</t>
  </si>
  <si>
    <t>13:2325&amp;24:2325</t>
  </si>
  <si>
    <t>13:2354&amp;24:2354</t>
  </si>
  <si>
    <t>13:2383&amp;24:2383</t>
  </si>
  <si>
    <t>13:2412&amp;24:2412</t>
  </si>
  <si>
    <t>13:2441&amp;24:2441</t>
  </si>
  <si>
    <t>13:2470&amp;24:2470</t>
  </si>
  <si>
    <t>13:2499&amp;24:2499</t>
  </si>
  <si>
    <t>13:2528&amp;24:2528</t>
  </si>
  <si>
    <t>13:2557&amp;24:2557</t>
  </si>
  <si>
    <t>13:2586&amp;24:2586</t>
  </si>
  <si>
    <t>13:2615&amp;24:2615</t>
  </si>
  <si>
    <t>13:2644&amp;24:2644</t>
  </si>
  <si>
    <t>13:2673&amp;24:2673</t>
  </si>
  <si>
    <t>13:2702&amp;24:2702</t>
  </si>
  <si>
    <t>13:2731&amp;24:2731</t>
  </si>
  <si>
    <t>13:2760&amp;24:2760</t>
  </si>
  <si>
    <t>13:2789&amp;24:2789</t>
  </si>
  <si>
    <t>13:2818&amp;24:2818</t>
  </si>
  <si>
    <t>13:2847&amp;24:2847</t>
  </si>
  <si>
    <t>13:2876&amp;24:2876</t>
  </si>
  <si>
    <t>13:2905&amp;24:2905</t>
  </si>
  <si>
    <t>11:614&amp;15:614</t>
  </si>
  <si>
    <t>11:643&amp;15:643</t>
  </si>
  <si>
    <t>11:701&amp;15:701</t>
  </si>
  <si>
    <t>11:730&amp;15:730</t>
  </si>
  <si>
    <t>11:759&amp;15:759</t>
  </si>
  <si>
    <t>11:788&amp;15:788</t>
  </si>
  <si>
    <t>11:817&amp;15:817</t>
  </si>
  <si>
    <t>11:846&amp;15:846</t>
  </si>
  <si>
    <t>11:875&amp;15:875</t>
  </si>
  <si>
    <t>11:904&amp;15:904</t>
  </si>
  <si>
    <t>11:933&amp;15:933</t>
  </si>
  <si>
    <t>11:962&amp;15:962</t>
  </si>
  <si>
    <t>11:1020&amp;15:1020</t>
  </si>
  <si>
    <t>11:1078&amp;15:1078</t>
  </si>
  <si>
    <t>11:1107&amp;15:1107</t>
  </si>
  <si>
    <t>11:1136&amp;15:1136</t>
  </si>
  <si>
    <t>11:1165&amp;15:1165</t>
  </si>
  <si>
    <t>11:1194&amp;15:1194</t>
  </si>
  <si>
    <t>11:1223&amp;15:1223</t>
  </si>
  <si>
    <t>11:1252&amp;15:1252</t>
  </si>
  <si>
    <t>11:1281&amp;15:1281</t>
  </si>
  <si>
    <t>11:1310&amp;15:1310</t>
  </si>
  <si>
    <t>11:1339&amp;15:1339</t>
  </si>
  <si>
    <t>11:1368&amp;15:1368</t>
  </si>
  <si>
    <t>11:1397&amp;15:1397</t>
  </si>
  <si>
    <t>11:1426&amp;15:1426</t>
  </si>
  <si>
    <t>11:1455&amp;15:1455</t>
  </si>
  <si>
    <t>11:1484&amp;15:1484</t>
  </si>
  <si>
    <t>11:1542&amp;15:1542</t>
  </si>
  <si>
    <t>11:1571&amp;15:1571</t>
  </si>
  <si>
    <t>11:1600&amp;15:1600</t>
  </si>
  <si>
    <t>11:1629&amp;15:1629</t>
  </si>
  <si>
    <t>11:1658&amp;15:1658</t>
  </si>
  <si>
    <t>11:1687&amp;15:1687</t>
  </si>
  <si>
    <t>11:1716&amp;15:1716</t>
  </si>
  <si>
    <t>11:1745&amp;15:1745</t>
  </si>
  <si>
    <t>11:1774&amp;15:1774</t>
  </si>
  <si>
    <t>11:1803&amp;15:1803</t>
  </si>
  <si>
    <t>11:1832&amp;15:1832</t>
  </si>
  <si>
    <t>11:1861&amp;15:1861</t>
  </si>
  <si>
    <t>11:1890&amp;15:1890</t>
  </si>
  <si>
    <t>11:1919&amp;15:1919</t>
  </si>
  <si>
    <t>11:1948&amp;15:1948</t>
  </si>
  <si>
    <t>11:1977&amp;15:1977</t>
  </si>
  <si>
    <t>11:2006&amp;15:2006</t>
  </si>
  <si>
    <t>11:2035&amp;15:2035</t>
  </si>
  <si>
    <t>11:2064&amp;15:2064</t>
  </si>
  <si>
    <t>11:2093&amp;15:2093</t>
  </si>
  <si>
    <t>11:2122&amp;15:2122</t>
  </si>
  <si>
    <t>11:2151&amp;15:2151</t>
  </si>
  <si>
    <t>11:2180&amp;15:2180</t>
  </si>
  <si>
    <t>11:2209&amp;15:2209</t>
  </si>
  <si>
    <t>11:2238&amp;15:2238</t>
  </si>
  <si>
    <t>11:2267&amp;15:2267</t>
  </si>
  <si>
    <t>11:2296&amp;15:2296</t>
  </si>
  <si>
    <t>11:2325&amp;15:2325</t>
  </si>
  <si>
    <t>11:2354&amp;15:2354</t>
  </si>
  <si>
    <t>11:2383&amp;15:2383</t>
  </si>
  <si>
    <t>11:2412&amp;15:2412</t>
  </si>
  <si>
    <t>11:2441&amp;15:2441</t>
  </si>
  <si>
    <t>11:2470&amp;15:2470</t>
  </si>
  <si>
    <t>11:2499&amp;15:2499</t>
  </si>
  <si>
    <t>11:2528&amp;15:2528</t>
  </si>
  <si>
    <t>11:2557&amp;15:2557</t>
  </si>
  <si>
    <t>11:2586&amp;15:2586</t>
  </si>
  <si>
    <t>11:2615&amp;15:2615</t>
  </si>
  <si>
    <t>11:2644&amp;15:2644</t>
  </si>
  <si>
    <t>11:2673&amp;15:2673</t>
  </si>
  <si>
    <t>11:2702&amp;15:2702</t>
  </si>
  <si>
    <t>11:2731&amp;15:2731</t>
  </si>
  <si>
    <t>11:2760&amp;15:2760</t>
  </si>
  <si>
    <t>11:2789&amp;15:2789</t>
  </si>
  <si>
    <t>11:2818&amp;15:2818</t>
  </si>
  <si>
    <t>11:2847&amp;15:2847</t>
  </si>
  <si>
    <t>11:2876&amp;15:2876</t>
  </si>
  <si>
    <t>11:2905&amp;15:2905</t>
  </si>
  <si>
    <t>9:614&amp;10:614</t>
  </si>
  <si>
    <t>9:643&amp;10:643</t>
  </si>
  <si>
    <t>9:701&amp;10:701</t>
  </si>
  <si>
    <t>9:730&amp;10:730</t>
  </si>
  <si>
    <t>9:759&amp;10:759</t>
  </si>
  <si>
    <t>9:788&amp;10:788</t>
  </si>
  <si>
    <t>9:817&amp;10:817</t>
  </si>
  <si>
    <t>9:846&amp;10:846</t>
  </si>
  <si>
    <t>9:875&amp;10:875</t>
  </si>
  <si>
    <t>9:904&amp;10:904</t>
  </si>
  <si>
    <t>9:933&amp;10:933</t>
  </si>
  <si>
    <t>9:962&amp;10:962</t>
  </si>
  <si>
    <t>9:1020&amp;10:1020</t>
  </si>
  <si>
    <t>9:1078&amp;10:1078</t>
  </si>
  <si>
    <t>9:1107&amp;10:1107</t>
  </si>
  <si>
    <t>9:1136&amp;10:1136</t>
  </si>
  <si>
    <t>9:1165&amp;10:1165</t>
  </si>
  <si>
    <t>9:1194&amp;10:1194</t>
  </si>
  <si>
    <t>9:1223&amp;10:1223</t>
  </si>
  <si>
    <t>9:1252&amp;10:1252</t>
  </si>
  <si>
    <t>9:1281&amp;10:1281</t>
  </si>
  <si>
    <t>9:1310&amp;10:1310</t>
  </si>
  <si>
    <t>9:1339&amp;10:1339</t>
  </si>
  <si>
    <t>9:1368&amp;10:1368</t>
  </si>
  <si>
    <t>9:1397&amp;10:1397</t>
  </si>
  <si>
    <t>9:1426&amp;10:1426</t>
  </si>
  <si>
    <t>9:1455&amp;10:1455</t>
  </si>
  <si>
    <t>9:1484&amp;10:1484</t>
  </si>
  <si>
    <t>9:1542&amp;10:1542</t>
  </si>
  <si>
    <t>9:1571&amp;10:1571</t>
  </si>
  <si>
    <t>9:1600&amp;10:1600</t>
  </si>
  <si>
    <t>9:1629&amp;10:1629</t>
  </si>
  <si>
    <t>9:1658&amp;10:1658</t>
  </si>
  <si>
    <t>9:1687&amp;10:1687</t>
  </si>
  <si>
    <t>9:1716&amp;10:1716</t>
  </si>
  <si>
    <t>9:1745&amp;10:1745</t>
  </si>
  <si>
    <t>9:1774&amp;10:1774</t>
  </si>
  <si>
    <t>9:1803&amp;10:1803</t>
  </si>
  <si>
    <t>9:1832&amp;10:1832</t>
  </si>
  <si>
    <t>9:1861&amp;10:1861</t>
  </si>
  <si>
    <t>9:1890&amp;10:1890</t>
  </si>
  <si>
    <t>9:1919&amp;10:1919</t>
  </si>
  <si>
    <t>9:1948&amp;10:1948</t>
  </si>
  <si>
    <t>9:1977&amp;10:1977</t>
  </si>
  <si>
    <t>9:2006&amp;10:2006</t>
  </si>
  <si>
    <t>9:2035&amp;10:2035</t>
  </si>
  <si>
    <t>9:2064&amp;10:2064</t>
  </si>
  <si>
    <t>9:2093&amp;10:2093</t>
  </si>
  <si>
    <t>9:2122&amp;10:2122</t>
  </si>
  <si>
    <t>9:2151&amp;10:2151</t>
  </si>
  <si>
    <t>9:2180&amp;10:2180</t>
  </si>
  <si>
    <t>9:2209&amp;10:2209</t>
  </si>
  <si>
    <t>9:2238&amp;10:2238</t>
  </si>
  <si>
    <t>9:2267&amp;10:2267</t>
  </si>
  <si>
    <t>9:2296&amp;10:2296</t>
  </si>
  <si>
    <t>9:2325&amp;10:2325</t>
  </si>
  <si>
    <t>9:2354&amp;10:2354</t>
  </si>
  <si>
    <t>9:2383&amp;10:2383</t>
  </si>
  <si>
    <t>9:2412&amp;10:2412</t>
  </si>
  <si>
    <t>9:2441&amp;10:2441</t>
  </si>
  <si>
    <t>9:2470&amp;10:2470</t>
  </si>
  <si>
    <t>9:2499&amp;10:2499</t>
  </si>
  <si>
    <t>9:2528&amp;10:2528</t>
  </si>
  <si>
    <t>9:2557&amp;10:2557</t>
  </si>
  <si>
    <t>9:2586&amp;10:2586</t>
  </si>
  <si>
    <t>9:2615&amp;10:2615</t>
  </si>
  <si>
    <t>9:2644&amp;10:2644</t>
  </si>
  <si>
    <t>9:2673&amp;10:2673</t>
  </si>
  <si>
    <t>9:2702&amp;10:2702</t>
  </si>
  <si>
    <t>9:2731&amp;10:2731</t>
  </si>
  <si>
    <t>9:2760&amp;10:2760</t>
  </si>
  <si>
    <t>9:2789&amp;10:2789</t>
  </si>
  <si>
    <t>9:2818&amp;10:2818</t>
  </si>
  <si>
    <t>9:2847&amp;10:2847</t>
  </si>
  <si>
    <t>9:2876&amp;10:2876</t>
  </si>
  <si>
    <t>9:2905&amp;10:2905</t>
  </si>
  <si>
    <t>8:383&amp;12:383</t>
  </si>
  <si>
    <t>8:401&amp;12:401</t>
  </si>
  <si>
    <t>8:437&amp;12:437</t>
  </si>
  <si>
    <t>8:455&amp;12:455</t>
  </si>
  <si>
    <t>8:492&amp;12:492</t>
  </si>
  <si>
    <t>8:510&amp;12:510</t>
  </si>
  <si>
    <t>8:528&amp;12:528</t>
  </si>
  <si>
    <t>8:546&amp;12:546</t>
  </si>
  <si>
    <t>8:564&amp;12:564</t>
  </si>
  <si>
    <t>8:582&amp;12:582</t>
  </si>
  <si>
    <t>8:600&amp;12:600</t>
  </si>
  <si>
    <t>8:618&amp;12:618</t>
  </si>
  <si>
    <t>8:636&amp;12:636</t>
  </si>
  <si>
    <t>8:654&amp;12:654</t>
  </si>
  <si>
    <t>8:673&amp;12:673</t>
  </si>
  <si>
    <t>8:691&amp;12:691</t>
  </si>
  <si>
    <t>8:709&amp;12:709</t>
  </si>
  <si>
    <t>8:763&amp;12:763</t>
  </si>
  <si>
    <t>8:781&amp;12:781</t>
  </si>
  <si>
    <t>8:799&amp;12:799</t>
  </si>
  <si>
    <t>8:835&amp;12:835</t>
  </si>
  <si>
    <t>8:854&amp;12:854</t>
  </si>
  <si>
    <t>8:872&amp;12:872</t>
  </si>
  <si>
    <t>8:890&amp;12:890</t>
  </si>
  <si>
    <t>8:908&amp;12:908</t>
  </si>
  <si>
    <t>8:926&amp;12:926</t>
  </si>
  <si>
    <t>8:944&amp;12:944</t>
  </si>
  <si>
    <t>8:998&amp;12:998</t>
  </si>
  <si>
    <t>8:1016&amp;12:1016</t>
  </si>
  <si>
    <t>8:1053&amp;12:1053</t>
  </si>
  <si>
    <t>8:1071&amp;12:1071</t>
  </si>
  <si>
    <t>8:1089&amp;12:1089</t>
  </si>
  <si>
    <t>8:1125&amp;12:1125</t>
  </si>
  <si>
    <t>8:1143&amp;12:1143</t>
  </si>
  <si>
    <t>8:1179&amp;12:1179</t>
  </si>
  <si>
    <t>8:1197&amp;12:1197</t>
  </si>
  <si>
    <t>8:1216&amp;12:1216</t>
  </si>
  <si>
    <t>8:1234&amp;12:1234</t>
  </si>
  <si>
    <t>8:1270&amp;12:1270</t>
  </si>
  <si>
    <t>8:1288&amp;12:1288</t>
  </si>
  <si>
    <t>8:1306&amp;12:1306</t>
  </si>
  <si>
    <t>8:1324&amp;12:1324</t>
  </si>
  <si>
    <t>8:1342&amp;12:1342</t>
  </si>
  <si>
    <t>8:1360&amp;12:1360</t>
  </si>
  <si>
    <t>8:1378&amp;12:1378</t>
  </si>
  <si>
    <t>8:1415&amp;12:1415</t>
  </si>
  <si>
    <t>8:1451&amp;12:1451</t>
  </si>
  <si>
    <t>8:1469&amp;12:1469</t>
  </si>
  <si>
    <t>8:1487&amp;12:1487</t>
  </si>
  <si>
    <t>8:1505&amp;12:1505</t>
  </si>
  <si>
    <t>8:1523&amp;12:1523</t>
  </si>
  <si>
    <t>8:1541&amp;12:1541</t>
  </si>
  <si>
    <t>8:1559&amp;12:1559</t>
  </si>
  <si>
    <t>8:1578&amp;12:1578</t>
  </si>
  <si>
    <t>8:1596&amp;12:1596</t>
  </si>
  <si>
    <t>8:1614&amp;12:1614</t>
  </si>
  <si>
    <t>8:1632&amp;12:1632</t>
  </si>
  <si>
    <t>8:1650&amp;12:1650</t>
  </si>
  <si>
    <t>8:1668&amp;12:1668</t>
  </si>
  <si>
    <t>8:1686&amp;12:1686</t>
  </si>
  <si>
    <t>8:1704&amp;12:1704</t>
  </si>
  <si>
    <t>8:1722&amp;12:1722</t>
  </si>
  <si>
    <t>8:1740&amp;12:1740</t>
  </si>
  <si>
    <t>8:1759&amp;12:1759</t>
  </si>
  <si>
    <t>8:1777&amp;12:1777</t>
  </si>
  <si>
    <t>8:1795&amp;12:1795</t>
  </si>
  <si>
    <t>8:1813&amp;12:1813</t>
  </si>
  <si>
    <t>19:383&amp;14:383</t>
  </si>
  <si>
    <t>19:401&amp;14:401</t>
  </si>
  <si>
    <t>19:437&amp;14:437</t>
  </si>
  <si>
    <t>19:455&amp;14:455</t>
  </si>
  <si>
    <t>19:492&amp;14:492</t>
  </si>
  <si>
    <t>19:510&amp;14:510</t>
  </si>
  <si>
    <t>19:528&amp;14:528</t>
  </si>
  <si>
    <t>19:546&amp;14:546</t>
  </si>
  <si>
    <t>19:564&amp;14:564</t>
  </si>
  <si>
    <t>19:582&amp;14:582</t>
  </si>
  <si>
    <t>19:600&amp;14:600</t>
  </si>
  <si>
    <t>19:618&amp;14:618</t>
  </si>
  <si>
    <t>19:636&amp;14:636</t>
  </si>
  <si>
    <t>19:654&amp;14:654</t>
  </si>
  <si>
    <t>19:673&amp;14:673</t>
  </si>
  <si>
    <t>19:691&amp;14:691</t>
  </si>
  <si>
    <t>19:709&amp;14:709</t>
  </si>
  <si>
    <t>19:763&amp;14:763</t>
  </si>
  <si>
    <t>19:781&amp;14:781</t>
  </si>
  <si>
    <t>19:799&amp;14:799</t>
  </si>
  <si>
    <t>19:835&amp;14:835</t>
  </si>
  <si>
    <t>19:854&amp;14:854</t>
  </si>
  <si>
    <t>19:872&amp;14:872</t>
  </si>
  <si>
    <t>19:890&amp;14:890</t>
  </si>
  <si>
    <t>19:908&amp;14:908</t>
  </si>
  <si>
    <t>19:926&amp;14:926</t>
  </si>
  <si>
    <t>19:944&amp;14:944</t>
  </si>
  <si>
    <t>19:998&amp;14:998</t>
  </si>
  <si>
    <t>19:1016&amp;14:1016</t>
  </si>
  <si>
    <t>19:1053&amp;14:1053</t>
  </si>
  <si>
    <t>19:1071&amp;14:1071</t>
  </si>
  <si>
    <t>19:1089&amp;14:1089</t>
  </si>
  <si>
    <t>19:1125&amp;14:1125</t>
  </si>
  <si>
    <t>19:1143&amp;14:1143</t>
  </si>
  <si>
    <t>19:1179&amp;14:1179</t>
  </si>
  <si>
    <t>19:1197&amp;14:1197</t>
  </si>
  <si>
    <t>19:1216&amp;14:1216</t>
  </si>
  <si>
    <t>19:1234&amp;14:1234</t>
  </si>
  <si>
    <t>19:1270&amp;14:1270</t>
  </si>
  <si>
    <t>19:1288&amp;14:1288</t>
  </si>
  <si>
    <t>19:1306&amp;14:1306</t>
  </si>
  <si>
    <t>19:1324&amp;14:1324</t>
  </si>
  <si>
    <t>19:1342&amp;14:1342</t>
  </si>
  <si>
    <t>19:1360&amp;14:1360</t>
  </si>
  <si>
    <t>19:1378&amp;14:1378</t>
  </si>
  <si>
    <t>19:1415&amp;14:1415</t>
  </si>
  <si>
    <t>19:1451&amp;14:1451</t>
  </si>
  <si>
    <t>19:1469&amp;14:1469</t>
  </si>
  <si>
    <t>19:1487&amp;14:1487</t>
  </si>
  <si>
    <t>19:1505&amp;14:1505</t>
  </si>
  <si>
    <t>19:1523&amp;14:1523</t>
  </si>
  <si>
    <t>19:1541&amp;14:1541</t>
  </si>
  <si>
    <t>19:1559&amp;14:1559</t>
  </si>
  <si>
    <t>19:1578&amp;14:1578</t>
  </si>
  <si>
    <t>19:1596&amp;14:1596</t>
  </si>
  <si>
    <t>19:1614&amp;14:1614</t>
  </si>
  <si>
    <t>19:1632&amp;14:1632</t>
  </si>
  <si>
    <t>19:1650&amp;14:1650</t>
  </si>
  <si>
    <t>19:1668&amp;14:1668</t>
  </si>
  <si>
    <t>19:1686&amp;14:1686</t>
  </si>
  <si>
    <t>19:1704&amp;14:1704</t>
  </si>
  <si>
    <t>19:1722&amp;14:1722</t>
  </si>
  <si>
    <t>19:1740&amp;14:1740</t>
  </si>
  <si>
    <t>19:1759&amp;14:1759</t>
  </si>
  <si>
    <t>19:1777&amp;14:1777</t>
  </si>
  <si>
    <t>19:1795&amp;14:1795</t>
  </si>
  <si>
    <t>19:1813&amp;14:1813</t>
  </si>
  <si>
    <t>13:383&amp;24:383</t>
  </si>
  <si>
    <t>13:401&amp;24:401</t>
  </si>
  <si>
    <t>13:437&amp;24:437</t>
  </si>
  <si>
    <t>13:455&amp;24:455</t>
  </si>
  <si>
    <t>13:492&amp;24:492</t>
  </si>
  <si>
    <t>13:510&amp;24:510</t>
  </si>
  <si>
    <t>13:528&amp;24:528</t>
  </si>
  <si>
    <t>13:546&amp;24:546</t>
  </si>
  <si>
    <t>13:564&amp;24:564</t>
  </si>
  <si>
    <t>13:582&amp;24:582</t>
  </si>
  <si>
    <t>13:600&amp;24:600</t>
  </si>
  <si>
    <t>13:618&amp;24:618</t>
  </si>
  <si>
    <t>13:636&amp;24:636</t>
  </si>
  <si>
    <t>13:654&amp;24:654</t>
  </si>
  <si>
    <t>13:673&amp;24:673</t>
  </si>
  <si>
    <t>13:691&amp;24:691</t>
  </si>
  <si>
    <t>13:709&amp;24:709</t>
  </si>
  <si>
    <t>13:763&amp;24:763</t>
  </si>
  <si>
    <t>13:781&amp;24:781</t>
  </si>
  <si>
    <t>13:799&amp;24:799</t>
  </si>
  <si>
    <t>13:835&amp;24:835</t>
  </si>
  <si>
    <t>13:854&amp;24:854</t>
  </si>
  <si>
    <t>13:872&amp;24:872</t>
  </si>
  <si>
    <t>13:890&amp;24:890</t>
  </si>
  <si>
    <t>13:908&amp;24:908</t>
  </si>
  <si>
    <t>13:926&amp;24:926</t>
  </si>
  <si>
    <t>13:944&amp;24:944</t>
  </si>
  <si>
    <t>13:998&amp;24:998</t>
  </si>
  <si>
    <t>13:1016&amp;24:1016</t>
  </si>
  <si>
    <t>13:1053&amp;24:1053</t>
  </si>
  <si>
    <t>13:1071&amp;24:1071</t>
  </si>
  <si>
    <t>13:1089&amp;24:1089</t>
  </si>
  <si>
    <t>13:1125&amp;24:1125</t>
  </si>
  <si>
    <t>13:1143&amp;24:1143</t>
  </si>
  <si>
    <t>13:1179&amp;24:1179</t>
  </si>
  <si>
    <t>13:1197&amp;24:1197</t>
  </si>
  <si>
    <t>13:1216&amp;24:1216</t>
  </si>
  <si>
    <t>13:1234&amp;24:1234</t>
  </si>
  <si>
    <t>13:1270&amp;24:1270</t>
  </si>
  <si>
    <t>13:1288&amp;24:1288</t>
  </si>
  <si>
    <t>13:1306&amp;24:1306</t>
  </si>
  <si>
    <t>13:1324&amp;24:1324</t>
  </si>
  <si>
    <t>13:1342&amp;24:1342</t>
  </si>
  <si>
    <t>13:1360&amp;24:1360</t>
  </si>
  <si>
    <t>13:1378&amp;24:1378</t>
  </si>
  <si>
    <t>13:1415&amp;24:1415</t>
  </si>
  <si>
    <t>13:1451&amp;24:1451</t>
  </si>
  <si>
    <t>13:1469&amp;24:1469</t>
  </si>
  <si>
    <t>13:1487&amp;24:1487</t>
  </si>
  <si>
    <t>13:1505&amp;24:1505</t>
  </si>
  <si>
    <t>13:1523&amp;24:1523</t>
  </si>
  <si>
    <t>13:1541&amp;24:1541</t>
  </si>
  <si>
    <t>13:1559&amp;24:1559</t>
  </si>
  <si>
    <t>13:1578&amp;24:1578</t>
  </si>
  <si>
    <t>13:1596&amp;24:1596</t>
  </si>
  <si>
    <t>13:1614&amp;24:1614</t>
  </si>
  <si>
    <t>13:1632&amp;24:1632</t>
  </si>
  <si>
    <t>13:1650&amp;24:1650</t>
  </si>
  <si>
    <t>13:1668&amp;24:1668</t>
  </si>
  <si>
    <t>13:1686&amp;24:1686</t>
  </si>
  <si>
    <t>13:1704&amp;24:1704</t>
  </si>
  <si>
    <t>13:1722&amp;24:1722</t>
  </si>
  <si>
    <t>13:1740&amp;24:1740</t>
  </si>
  <si>
    <t>13:1759&amp;24:1759</t>
  </si>
  <si>
    <t>13:1777&amp;24:1777</t>
  </si>
  <si>
    <t>13:1795&amp;24:1795</t>
  </si>
  <si>
    <t>13:1813&amp;24:1813</t>
  </si>
  <si>
    <t>11:383&amp;15:383</t>
  </si>
  <si>
    <t>11:401&amp;15:401</t>
  </si>
  <si>
    <t>11:437&amp;15:437</t>
  </si>
  <si>
    <t>11:455&amp;15:455</t>
  </si>
  <si>
    <t>11:492&amp;15:492</t>
  </si>
  <si>
    <t>11:510&amp;15:510</t>
  </si>
  <si>
    <t>11:528&amp;15:528</t>
  </si>
  <si>
    <t>11:546&amp;15:546</t>
  </si>
  <si>
    <t>11:564&amp;15:564</t>
  </si>
  <si>
    <t>11:582&amp;15:582</t>
  </si>
  <si>
    <t>11:600&amp;15:600</t>
  </si>
  <si>
    <t>11:618&amp;15:618</t>
  </si>
  <si>
    <t>11:636&amp;15:636</t>
  </si>
  <si>
    <t>11:654&amp;15:654</t>
  </si>
  <si>
    <t>11:673&amp;15:673</t>
  </si>
  <si>
    <t>11:691&amp;15:691</t>
  </si>
  <si>
    <t>11:709&amp;15:709</t>
  </si>
  <si>
    <t>11:763&amp;15:763</t>
  </si>
  <si>
    <t>11:781&amp;15:781</t>
  </si>
  <si>
    <t>11:799&amp;15:799</t>
  </si>
  <si>
    <t>11:835&amp;15:835</t>
  </si>
  <si>
    <t>11:854&amp;15:854</t>
  </si>
  <si>
    <t>11:872&amp;15:872</t>
  </si>
  <si>
    <t>11:890&amp;15:890</t>
  </si>
  <si>
    <t>11:908&amp;15:908</t>
  </si>
  <si>
    <t>11:926&amp;15:926</t>
  </si>
  <si>
    <t>11:944&amp;15:944</t>
  </si>
  <si>
    <t>11:998&amp;15:998</t>
  </si>
  <si>
    <t>11:1016&amp;15:1016</t>
  </si>
  <si>
    <t>11:1053&amp;15:1053</t>
  </si>
  <si>
    <t>11:1071&amp;15:1071</t>
  </si>
  <si>
    <t>11:1089&amp;15:1089</t>
  </si>
  <si>
    <t>11:1125&amp;15:1125</t>
  </si>
  <si>
    <t>11:1143&amp;15:1143</t>
  </si>
  <si>
    <t>11:1179&amp;15:1179</t>
  </si>
  <si>
    <t>11:1197&amp;15:1197</t>
  </si>
  <si>
    <t>11:1216&amp;15:1216</t>
  </si>
  <si>
    <t>11:1234&amp;15:1234</t>
  </si>
  <si>
    <t>11:1270&amp;15:1270</t>
  </si>
  <si>
    <t>11:1288&amp;15:1288</t>
  </si>
  <si>
    <t>11:1306&amp;15:1306</t>
  </si>
  <si>
    <t>11:1324&amp;15:1324</t>
  </si>
  <si>
    <t>11:1342&amp;15:1342</t>
  </si>
  <si>
    <t>11:1360&amp;15:1360</t>
  </si>
  <si>
    <t>11:1378&amp;15:1378</t>
  </si>
  <si>
    <t>11:1415&amp;15:1415</t>
  </si>
  <si>
    <t>11:1451&amp;15:1451</t>
  </si>
  <si>
    <t>11:1469&amp;15:1469</t>
  </si>
  <si>
    <t>11:1487&amp;15:1487</t>
  </si>
  <si>
    <t>11:1505&amp;15:1505</t>
  </si>
  <si>
    <t>11:1523&amp;15:1523</t>
  </si>
  <si>
    <t>11:1541&amp;15:1541</t>
  </si>
  <si>
    <t>11:1559&amp;15:1559</t>
  </si>
  <si>
    <t>11:1578&amp;15:1578</t>
  </si>
  <si>
    <t>11:1596&amp;15:1596</t>
  </si>
  <si>
    <t>11:1614&amp;15:1614</t>
  </si>
  <si>
    <t>11:1632&amp;15:1632</t>
  </si>
  <si>
    <t>11:1650&amp;15:1650</t>
  </si>
  <si>
    <t>11:1668&amp;15:1668</t>
  </si>
  <si>
    <t>11:1686&amp;15:1686</t>
  </si>
  <si>
    <t>11:1704&amp;15:1704</t>
  </si>
  <si>
    <t>11:1722&amp;15:1722</t>
  </si>
  <si>
    <t>11:1740&amp;15:1740</t>
  </si>
  <si>
    <t>11:1759&amp;15:1759</t>
  </si>
  <si>
    <t>11:1777&amp;15:1777</t>
  </si>
  <si>
    <t>11:1795&amp;15:1795</t>
  </si>
  <si>
    <t>11:1813&amp;15:1813</t>
  </si>
  <si>
    <t>9:383&amp;10:383</t>
  </si>
  <si>
    <t>9:401&amp;10:401</t>
  </si>
  <si>
    <t>9:437&amp;10:437</t>
  </si>
  <si>
    <t>9:455&amp;10:455</t>
  </si>
  <si>
    <t>9:492&amp;10:492</t>
  </si>
  <si>
    <t>9:510&amp;10:510</t>
  </si>
  <si>
    <t>9:528&amp;10:528</t>
  </si>
  <si>
    <t>9:546&amp;10:546</t>
  </si>
  <si>
    <t>9:564&amp;10:564</t>
  </si>
  <si>
    <t>9:582&amp;10:582</t>
  </si>
  <si>
    <t>9:600&amp;10:600</t>
  </si>
  <si>
    <t>9:618&amp;10:618</t>
  </si>
  <si>
    <t>9:636&amp;10:636</t>
  </si>
  <si>
    <t>9:654&amp;10:654</t>
  </si>
  <si>
    <t>9:673&amp;10:673</t>
  </si>
  <si>
    <t>9:691&amp;10:691</t>
  </si>
  <si>
    <t>9:709&amp;10:709</t>
  </si>
  <si>
    <t>9:763&amp;10:763</t>
  </si>
  <si>
    <t>9:781&amp;10:781</t>
  </si>
  <si>
    <t>9:799&amp;10:799</t>
  </si>
  <si>
    <t>9:835&amp;10:835</t>
  </si>
  <si>
    <t>9:854&amp;10:854</t>
  </si>
  <si>
    <t>9:872&amp;10:872</t>
  </si>
  <si>
    <t>9:890&amp;10:890</t>
  </si>
  <si>
    <t>9:908&amp;10:908</t>
  </si>
  <si>
    <t>9:926&amp;10:926</t>
  </si>
  <si>
    <t>9:944&amp;10:944</t>
  </si>
  <si>
    <t>9:998&amp;10:998</t>
  </si>
  <si>
    <t>9:1016&amp;10:1016</t>
  </si>
  <si>
    <t>9:1053&amp;10:1053</t>
  </si>
  <si>
    <t>9:1071&amp;10:1071</t>
  </si>
  <si>
    <t>9:1089&amp;10:1089</t>
  </si>
  <si>
    <t>9:1125&amp;10:1125</t>
  </si>
  <si>
    <t>9:1143&amp;10:1143</t>
  </si>
  <si>
    <t>9:1179&amp;10:1179</t>
  </si>
  <si>
    <t>9:1197&amp;10:1197</t>
  </si>
  <si>
    <t>9:1216&amp;10:1216</t>
  </si>
  <si>
    <t>9:1234&amp;10:1234</t>
  </si>
  <si>
    <t>9:1270&amp;10:1270</t>
  </si>
  <si>
    <t>9:1288&amp;10:1288</t>
  </si>
  <si>
    <t>9:1306&amp;10:1306</t>
  </si>
  <si>
    <t>9:1324&amp;10:1324</t>
  </si>
  <si>
    <t>9:1342&amp;10:1342</t>
  </si>
  <si>
    <t>9:1360&amp;10:1360</t>
  </si>
  <si>
    <t>9:1378&amp;10:1378</t>
  </si>
  <si>
    <t>9:1415&amp;10:1415</t>
  </si>
  <si>
    <t>9:1451&amp;10:1451</t>
  </si>
  <si>
    <t>9:1469&amp;10:1469</t>
  </si>
  <si>
    <t>9:1487&amp;10:1487</t>
  </si>
  <si>
    <t>9:1505&amp;10:1505</t>
  </si>
  <si>
    <t>9:1523&amp;10:1523</t>
  </si>
  <si>
    <t>9:1541&amp;10:1541</t>
  </si>
  <si>
    <t>9:1559&amp;10:1559</t>
  </si>
  <si>
    <t>9:1578&amp;10:1578</t>
  </si>
  <si>
    <t>9:1596&amp;10:1596</t>
  </si>
  <si>
    <t>9:1614&amp;10:1614</t>
  </si>
  <si>
    <t>9:1632&amp;10:1632</t>
  </si>
  <si>
    <t>9:1650&amp;10:1650</t>
  </si>
  <si>
    <t>9:1668&amp;10:1668</t>
  </si>
  <si>
    <t>9:1686&amp;10:1686</t>
  </si>
  <si>
    <t>9:1704&amp;10:1704</t>
  </si>
  <si>
    <t>9:1722&amp;10:1722</t>
  </si>
  <si>
    <t>9:1740&amp;10:1740</t>
  </si>
  <si>
    <t>9:1759&amp;10:1759</t>
  </si>
  <si>
    <t>9:1777&amp;10:1777</t>
  </si>
  <si>
    <t>9:1795&amp;10:1795</t>
  </si>
  <si>
    <t>9:1813&amp;10:1813</t>
  </si>
  <si>
    <t>8:689&amp;12:689</t>
  </si>
  <si>
    <t>8:722&amp;12:722</t>
  </si>
  <si>
    <t>8:755&amp;12:755</t>
  </si>
  <si>
    <t>8:787&amp;12:787</t>
  </si>
  <si>
    <t>8:820&amp;12:820</t>
  </si>
  <si>
    <t>8:852&amp;12:852</t>
  </si>
  <si>
    <t>8:885&amp;12:885</t>
  </si>
  <si>
    <t>8:918&amp;12:918</t>
  </si>
  <si>
    <t>8:950&amp;12:950</t>
  </si>
  <si>
    <t>8:983&amp;12:983</t>
  </si>
  <si>
    <t>8:1015&amp;12:1015</t>
  </si>
  <si>
    <t>8:1048&amp;12:1048</t>
  </si>
  <si>
    <t>8:1146&amp;12:1146</t>
  </si>
  <si>
    <t>8:1178&amp;12:1178</t>
  </si>
  <si>
    <t>8:1211&amp;12:1211</t>
  </si>
  <si>
    <t>8:1244&amp;12:1244</t>
  </si>
  <si>
    <t>8:1276&amp;12:1276</t>
  </si>
  <si>
    <t>8:1309&amp;12:1309</t>
  </si>
  <si>
    <t>8:1341&amp;12:1341</t>
  </si>
  <si>
    <t>8:1374&amp;12:1374</t>
  </si>
  <si>
    <t>8:1407&amp;12:1407</t>
  </si>
  <si>
    <t>8:1439&amp;12:1439</t>
  </si>
  <si>
    <t>8:1472&amp;12:1472</t>
  </si>
  <si>
    <t>8:1504&amp;12:1504</t>
  </si>
  <si>
    <t>8:1537&amp;12:1537</t>
  </si>
  <si>
    <t>8:1570&amp;12:1570</t>
  </si>
  <si>
    <t>8:1602&amp;12:1602</t>
  </si>
  <si>
    <t>8:1635&amp;12:1635</t>
  </si>
  <si>
    <t>8:1667&amp;12:1667</t>
  </si>
  <si>
    <t>8:1700&amp;12:1700</t>
  </si>
  <si>
    <t>8:1733&amp;12:1733</t>
  </si>
  <si>
    <t>8:1765&amp;12:1765</t>
  </si>
  <si>
    <t>8:1798&amp;12:1798</t>
  </si>
  <si>
    <t>8:1830&amp;12:1830</t>
  </si>
  <si>
    <t>8:1863&amp;12:1863</t>
  </si>
  <si>
    <t>8:1896&amp;12:1896</t>
  </si>
  <si>
    <t>8:1928&amp;12:1928</t>
  </si>
  <si>
    <t>8:1961&amp;12:1961</t>
  </si>
  <si>
    <t>8:1993&amp;12:1993</t>
  </si>
  <si>
    <t>8:2026&amp;12:2026</t>
  </si>
  <si>
    <t>8:2059&amp;12:2059</t>
  </si>
  <si>
    <t>8:2091&amp;12:2091</t>
  </si>
  <si>
    <t>8:2124&amp;12:2124</t>
  </si>
  <si>
    <t>8:2156&amp;12:2156</t>
  </si>
  <si>
    <t>8:2189&amp;12:2189</t>
  </si>
  <si>
    <t>8:2222&amp;12:2222</t>
  </si>
  <si>
    <t>8:2254&amp;12:2254</t>
  </si>
  <si>
    <t>8:2287&amp;12:2287</t>
  </si>
  <si>
    <t>8:2319&amp;12:2319</t>
  </si>
  <si>
    <t>8:2352&amp;12:2352</t>
  </si>
  <si>
    <t>8:2385&amp;12:2385</t>
  </si>
  <si>
    <t>8:2417&amp;12:2417</t>
  </si>
  <si>
    <t>8:2450&amp;12:2450</t>
  </si>
  <si>
    <t>8:2482&amp;12:2482</t>
  </si>
  <si>
    <t>8:2515&amp;12:2515</t>
  </si>
  <si>
    <t>8:2548&amp;12:2548</t>
  </si>
  <si>
    <t>8:2580&amp;12:2580</t>
  </si>
  <si>
    <t>8:2613&amp;12:2613</t>
  </si>
  <si>
    <t>8:2645&amp;12:2645</t>
  </si>
  <si>
    <t>8:2678&amp;12:2678</t>
  </si>
  <si>
    <t>8:2711&amp;12:2711</t>
  </si>
  <si>
    <t>8:2743&amp;12:2743</t>
  </si>
  <si>
    <t>8:2776&amp;12:2776</t>
  </si>
  <si>
    <t>8:2808&amp;12:2808</t>
  </si>
  <si>
    <t>8:2841&amp;12:2841</t>
  </si>
  <si>
    <t>8:2874&amp;12:2874</t>
  </si>
  <si>
    <t>8:2906&amp;12:2906</t>
  </si>
  <si>
    <t>8:2939&amp;12:2939</t>
  </si>
  <si>
    <t>8:2971&amp;12:2971</t>
  </si>
  <si>
    <t>8:3004&amp;12:3004</t>
  </si>
  <si>
    <t>8:3037&amp;12:3037</t>
  </si>
  <si>
    <t>8:3069&amp;12:3069</t>
  </si>
  <si>
    <t>8:3102&amp;12:3102</t>
  </si>
  <si>
    <t>8:3134&amp;12:3134</t>
  </si>
  <si>
    <t>8:3167&amp;12:3167</t>
  </si>
  <si>
    <t>8:3200&amp;12:3200</t>
  </si>
  <si>
    <t>8:3232&amp;12:3232</t>
  </si>
  <si>
    <t>8:3265&amp;12:3265</t>
  </si>
  <si>
    <t>19:689&amp;14:689</t>
  </si>
  <si>
    <t>19:722&amp;14:722</t>
  </si>
  <si>
    <t>19:755&amp;14:755</t>
  </si>
  <si>
    <t>19:787&amp;14:787</t>
  </si>
  <si>
    <t>19:820&amp;14:820</t>
  </si>
  <si>
    <t>19:852&amp;14:852</t>
  </si>
  <si>
    <t>19:885&amp;14:885</t>
  </si>
  <si>
    <t>19:918&amp;14:918</t>
  </si>
  <si>
    <t>19:950&amp;14:950</t>
  </si>
  <si>
    <t>19:983&amp;14:983</t>
  </si>
  <si>
    <t>19:1015&amp;14:1015</t>
  </si>
  <si>
    <t>19:1048&amp;14:1048</t>
  </si>
  <si>
    <t>19:1146&amp;14:1146</t>
  </si>
  <si>
    <t>19:1178&amp;14:1178</t>
  </si>
  <si>
    <t>19:1211&amp;14:1211</t>
  </si>
  <si>
    <t>19:1244&amp;14:1244</t>
  </si>
  <si>
    <t>19:1276&amp;14:1276</t>
  </si>
  <si>
    <t>19:1309&amp;14:1309</t>
  </si>
  <si>
    <t>19:1341&amp;14:1341</t>
  </si>
  <si>
    <t>19:1374&amp;14:1374</t>
  </si>
  <si>
    <t>19:1407&amp;14:1407</t>
  </si>
  <si>
    <t>19:1439&amp;14:1439</t>
  </si>
  <si>
    <t>19:1472&amp;14:1472</t>
  </si>
  <si>
    <t>19:1504&amp;14:1504</t>
  </si>
  <si>
    <t>19:1537&amp;14:1537</t>
  </si>
  <si>
    <t>19:1570&amp;14:1570</t>
  </si>
  <si>
    <t>19:1602&amp;14:1602</t>
  </si>
  <si>
    <t>19:1635&amp;14:1635</t>
  </si>
  <si>
    <t>19:1667&amp;14:1667</t>
  </si>
  <si>
    <t>19:1700&amp;14:1700</t>
  </si>
  <si>
    <t>19:1733&amp;14:1733</t>
  </si>
  <si>
    <t>19:1765&amp;14:1765</t>
  </si>
  <si>
    <t>19:1798&amp;14:1798</t>
  </si>
  <si>
    <t>19:1830&amp;14:1830</t>
  </si>
  <si>
    <t>19:1863&amp;14:1863</t>
  </si>
  <si>
    <t>19:1896&amp;14:1896</t>
  </si>
  <si>
    <t>19:1928&amp;14:1928</t>
  </si>
  <si>
    <t>19:1961&amp;14:1961</t>
  </si>
  <si>
    <t>19:1993&amp;14:1993</t>
  </si>
  <si>
    <t>19:2026&amp;14:2026</t>
  </si>
  <si>
    <t>19:2059&amp;14:2059</t>
  </si>
  <si>
    <t>19:2091&amp;14:2091</t>
  </si>
  <si>
    <t>19:2124&amp;14:2124</t>
  </si>
  <si>
    <t>19:2156&amp;14:2156</t>
  </si>
  <si>
    <t>19:2189&amp;14:2189</t>
  </si>
  <si>
    <t>19:2222&amp;14:2222</t>
  </si>
  <si>
    <t>19:2254&amp;14:2254</t>
  </si>
  <si>
    <t>19:2287&amp;14:2287</t>
  </si>
  <si>
    <t>19:2319&amp;14:2319</t>
  </si>
  <si>
    <t>19:2352&amp;14:2352</t>
  </si>
  <si>
    <t>19:2385&amp;14:2385</t>
  </si>
  <si>
    <t>19:2417&amp;14:2417</t>
  </si>
  <si>
    <t>19:2450&amp;14:2450</t>
  </si>
  <si>
    <t>19:2482&amp;14:2482</t>
  </si>
  <si>
    <t>19:2515&amp;14:2515</t>
  </si>
  <si>
    <t>19:2548&amp;14:2548</t>
  </si>
  <si>
    <t>19:2580&amp;14:2580</t>
  </si>
  <si>
    <t>19:2613&amp;14:2613</t>
  </si>
  <si>
    <t>19:2645&amp;14:2645</t>
  </si>
  <si>
    <t>19:2678&amp;14:2678</t>
  </si>
  <si>
    <t>19:2711&amp;14:2711</t>
  </si>
  <si>
    <t>19:2743&amp;14:2743</t>
  </si>
  <si>
    <t>19:2776&amp;14:2776</t>
  </si>
  <si>
    <t>19:2808&amp;14:2808</t>
  </si>
  <si>
    <t>19:2841&amp;14:2841</t>
  </si>
  <si>
    <t>19:2874&amp;14:2874</t>
  </si>
  <si>
    <t>19:2906&amp;14:2906</t>
  </si>
  <si>
    <t>19:2939&amp;14:2939</t>
  </si>
  <si>
    <t>19:2971&amp;14:2971</t>
  </si>
  <si>
    <t>19:3004&amp;14:3004</t>
  </si>
  <si>
    <t>19:3037&amp;14:3037</t>
  </si>
  <si>
    <t>19:3069&amp;14:3069</t>
  </si>
  <si>
    <t>19:3102&amp;14:3102</t>
  </si>
  <si>
    <t>19:3134&amp;14:3134</t>
  </si>
  <si>
    <t>19:3167&amp;14:3167</t>
  </si>
  <si>
    <t>19:3200&amp;14:3200</t>
  </si>
  <si>
    <t>19:3232&amp;14:3232</t>
  </si>
  <si>
    <t>19:3265&amp;14:3265</t>
  </si>
  <si>
    <t>13:689&amp;24:689</t>
  </si>
  <si>
    <t>13:722&amp;24:722</t>
  </si>
  <si>
    <t>13:755&amp;24:755</t>
  </si>
  <si>
    <t>13:787&amp;24:787</t>
  </si>
  <si>
    <t>13:820&amp;24:820</t>
  </si>
  <si>
    <t>13:852&amp;24:852</t>
  </si>
  <si>
    <t>13:885&amp;24:885</t>
  </si>
  <si>
    <t>13:918&amp;24:918</t>
  </si>
  <si>
    <t>13:950&amp;24:950</t>
  </si>
  <si>
    <t>13:983&amp;24:983</t>
  </si>
  <si>
    <t>13:1015&amp;24:1015</t>
  </si>
  <si>
    <t>13:1048&amp;24:1048</t>
  </si>
  <si>
    <t>13:1146&amp;24:1146</t>
  </si>
  <si>
    <t>13:1178&amp;24:1178</t>
  </si>
  <si>
    <t>13:1211&amp;24:1211</t>
  </si>
  <si>
    <t>13:1244&amp;24:1244</t>
  </si>
  <si>
    <t>13:1276&amp;24:1276</t>
  </si>
  <si>
    <t>13:1309&amp;24:1309</t>
  </si>
  <si>
    <t>13:1341&amp;24:1341</t>
  </si>
  <si>
    <t>13:1374&amp;24:1374</t>
  </si>
  <si>
    <t>13:1407&amp;24:1407</t>
  </si>
  <si>
    <t>13:1439&amp;24:1439</t>
  </si>
  <si>
    <t>13:1472&amp;24:1472</t>
  </si>
  <si>
    <t>13:1504&amp;24:1504</t>
  </si>
  <si>
    <t>13:1537&amp;24:1537</t>
  </si>
  <si>
    <t>13:1570&amp;24:1570</t>
  </si>
  <si>
    <t>13:1602&amp;24:1602</t>
  </si>
  <si>
    <t>13:1635&amp;24:1635</t>
  </si>
  <si>
    <t>13:1667&amp;24:1667</t>
  </si>
  <si>
    <t>13:1700&amp;24:1700</t>
  </si>
  <si>
    <t>13:1733&amp;24:1733</t>
  </si>
  <si>
    <t>13:1765&amp;24:1765</t>
  </si>
  <si>
    <t>13:1798&amp;24:1798</t>
  </si>
  <si>
    <t>13:1830&amp;24:1830</t>
  </si>
  <si>
    <t>13:1863&amp;24:1863</t>
  </si>
  <si>
    <t>13:1896&amp;24:1896</t>
  </si>
  <si>
    <t>13:1928&amp;24:1928</t>
  </si>
  <si>
    <t>13:1961&amp;24:1961</t>
  </si>
  <si>
    <t>13:1993&amp;24:1993</t>
  </si>
  <si>
    <t>13:2026&amp;24:2026</t>
  </si>
  <si>
    <t>13:2059&amp;24:2059</t>
  </si>
  <si>
    <t>13:2091&amp;24:2091</t>
  </si>
  <si>
    <t>13:2124&amp;24:2124</t>
  </si>
  <si>
    <t>13:2156&amp;24:2156</t>
  </si>
  <si>
    <t>13:2189&amp;24:2189</t>
  </si>
  <si>
    <t>13:2222&amp;24:2222</t>
  </si>
  <si>
    <t>13:2254&amp;24:2254</t>
  </si>
  <si>
    <t>13:2287&amp;24:2287</t>
  </si>
  <si>
    <t>13:2319&amp;24:2319</t>
  </si>
  <si>
    <t>13:2352&amp;24:2352</t>
  </si>
  <si>
    <t>13:2385&amp;24:2385</t>
  </si>
  <si>
    <t>13:2417&amp;24:2417</t>
  </si>
  <si>
    <t>13:2450&amp;24:2450</t>
  </si>
  <si>
    <t>13:2482&amp;24:2482</t>
  </si>
  <si>
    <t>13:2515&amp;24:2515</t>
  </si>
  <si>
    <t>13:2548&amp;24:2548</t>
  </si>
  <si>
    <t>13:2580&amp;24:2580</t>
  </si>
  <si>
    <t>13:2613&amp;24:2613</t>
  </si>
  <si>
    <t>13:2645&amp;24:2645</t>
  </si>
  <si>
    <t>13:2678&amp;24:2678</t>
  </si>
  <si>
    <t>13:2711&amp;24:2711</t>
  </si>
  <si>
    <t>13:2743&amp;24:2743</t>
  </si>
  <si>
    <t>13:2776&amp;24:2776</t>
  </si>
  <si>
    <t>13:2808&amp;24:2808</t>
  </si>
  <si>
    <t>13:2841&amp;24:2841</t>
  </si>
  <si>
    <t>13:2874&amp;24:2874</t>
  </si>
  <si>
    <t>13:2906&amp;24:2906</t>
  </si>
  <si>
    <t>13:2939&amp;24:2939</t>
  </si>
  <si>
    <t>13:2971&amp;24:2971</t>
  </si>
  <si>
    <t>13:3004&amp;24:3004</t>
  </si>
  <si>
    <t>13:3037&amp;24:3037</t>
  </si>
  <si>
    <t>13:3069&amp;24:3069</t>
  </si>
  <si>
    <t>13:3102&amp;24:3102</t>
  </si>
  <si>
    <t>13:3134&amp;24:3134</t>
  </si>
  <si>
    <t>13:3167&amp;24:3167</t>
  </si>
  <si>
    <t>13:3200&amp;24:3200</t>
  </si>
  <si>
    <t>13:3232&amp;24:3232</t>
  </si>
  <si>
    <t>13:3265&amp;24:3265</t>
  </si>
  <si>
    <t>11:689&amp;15:689</t>
  </si>
  <si>
    <t>11:722&amp;15:722</t>
  </si>
  <si>
    <t>11:755&amp;15:755</t>
  </si>
  <si>
    <t>11:787&amp;15:787</t>
  </si>
  <si>
    <t>11:820&amp;15:820</t>
  </si>
  <si>
    <t>11:852&amp;15:852</t>
  </si>
  <si>
    <t>11:885&amp;15:885</t>
  </si>
  <si>
    <t>11:918&amp;15:918</t>
  </si>
  <si>
    <t>11:950&amp;15:950</t>
  </si>
  <si>
    <t>11:983&amp;15:983</t>
  </si>
  <si>
    <t>11:1015&amp;15:1015</t>
  </si>
  <si>
    <t>11:1048&amp;15:1048</t>
  </si>
  <si>
    <t>11:1146&amp;15:1146</t>
  </si>
  <si>
    <t>11:1178&amp;15:1178</t>
  </si>
  <si>
    <t>11:1211&amp;15:1211</t>
  </si>
  <si>
    <t>11:1244&amp;15:1244</t>
  </si>
  <si>
    <t>11:1276&amp;15:1276</t>
  </si>
  <si>
    <t>11:1309&amp;15:1309</t>
  </si>
  <si>
    <t>11:1341&amp;15:1341</t>
  </si>
  <si>
    <t>11:1374&amp;15:1374</t>
  </si>
  <si>
    <t>11:1407&amp;15:1407</t>
  </si>
  <si>
    <t>11:1439&amp;15:1439</t>
  </si>
  <si>
    <t>11:1472&amp;15:1472</t>
  </si>
  <si>
    <t>11:1504&amp;15:1504</t>
  </si>
  <si>
    <t>11:1537&amp;15:1537</t>
  </si>
  <si>
    <t>11:1570&amp;15:1570</t>
  </si>
  <si>
    <t>11:1602&amp;15:1602</t>
  </si>
  <si>
    <t>11:1635&amp;15:1635</t>
  </si>
  <si>
    <t>11:1667&amp;15:1667</t>
  </si>
  <si>
    <t>11:1700&amp;15:1700</t>
  </si>
  <si>
    <t>11:1733&amp;15:1733</t>
  </si>
  <si>
    <t>11:1765&amp;15:1765</t>
  </si>
  <si>
    <t>11:1798&amp;15:1798</t>
  </si>
  <si>
    <t>11:1830&amp;15:1830</t>
  </si>
  <si>
    <t>11:1863&amp;15:1863</t>
  </si>
  <si>
    <t>11:1896&amp;15:1896</t>
  </si>
  <si>
    <t>11:1928&amp;15:1928</t>
  </si>
  <si>
    <t>11:1961&amp;15:1961</t>
  </si>
  <si>
    <t>11:1993&amp;15:1993</t>
  </si>
  <si>
    <t>11:2026&amp;15:2026</t>
  </si>
  <si>
    <t>11:2059&amp;15:2059</t>
  </si>
  <si>
    <t>11:2091&amp;15:2091</t>
  </si>
  <si>
    <t>11:2124&amp;15:2124</t>
  </si>
  <si>
    <t>11:2156&amp;15:2156</t>
  </si>
  <si>
    <t>11:2189&amp;15:2189</t>
  </si>
  <si>
    <t>11:2222&amp;15:2222</t>
  </si>
  <si>
    <t>11:2254&amp;15:2254</t>
  </si>
  <si>
    <t>11:2287&amp;15:2287</t>
  </si>
  <si>
    <t>11:2319&amp;15:2319</t>
  </si>
  <si>
    <t>11:2352&amp;15:2352</t>
  </si>
  <si>
    <t>11:2385&amp;15:2385</t>
  </si>
  <si>
    <t>11:2417&amp;15:2417</t>
  </si>
  <si>
    <t>11:2450&amp;15:2450</t>
  </si>
  <si>
    <t>11:2482&amp;15:2482</t>
  </si>
  <si>
    <t>11:2515&amp;15:2515</t>
  </si>
  <si>
    <t>11:2548&amp;15:2548</t>
  </si>
  <si>
    <t>11:2580&amp;15:2580</t>
  </si>
  <si>
    <t>11:2613&amp;15:2613</t>
  </si>
  <si>
    <t>11:2645&amp;15:2645</t>
  </si>
  <si>
    <t>11:2678&amp;15:2678</t>
  </si>
  <si>
    <t>11:2711&amp;15:2711</t>
  </si>
  <si>
    <t>11:2743&amp;15:2743</t>
  </si>
  <si>
    <t>11:2776&amp;15:2776</t>
  </si>
  <si>
    <t>11:2808&amp;15:2808</t>
  </si>
  <si>
    <t>11:2841&amp;15:2841</t>
  </si>
  <si>
    <t>11:2874&amp;15:2874</t>
  </si>
  <si>
    <t>11:2906&amp;15:2906</t>
  </si>
  <si>
    <t>11:2939&amp;15:2939</t>
  </si>
  <si>
    <t>11:2971&amp;15:2971</t>
  </si>
  <si>
    <t>11:3004&amp;15:3004</t>
  </si>
  <si>
    <t>11:3037&amp;15:3037</t>
  </si>
  <si>
    <t>11:3069&amp;15:3069</t>
  </si>
  <si>
    <t>11:3102&amp;15:3102</t>
  </si>
  <si>
    <t>11:3134&amp;15:3134</t>
  </si>
  <si>
    <t>11:3167&amp;15:3167</t>
  </si>
  <si>
    <t>11:3200&amp;15:3200</t>
  </si>
  <si>
    <t>11:3232&amp;15:3232</t>
  </si>
  <si>
    <t>11:3265&amp;15:3265</t>
  </si>
  <si>
    <t>9:689&amp;10:689</t>
  </si>
  <si>
    <t>9:722&amp;10:722</t>
  </si>
  <si>
    <t>9:755&amp;10:755</t>
  </si>
  <si>
    <t>9:787&amp;10:787</t>
  </si>
  <si>
    <t>9:820&amp;10:820</t>
  </si>
  <si>
    <t>9:852&amp;10:852</t>
  </si>
  <si>
    <t>9:885&amp;10:885</t>
  </si>
  <si>
    <t>9:918&amp;10:918</t>
  </si>
  <si>
    <t>9:950&amp;10:950</t>
  </si>
  <si>
    <t>9:983&amp;10:983</t>
  </si>
  <si>
    <t>9:1015&amp;10:1015</t>
  </si>
  <si>
    <t>9:1048&amp;10:1048</t>
  </si>
  <si>
    <t>9:1146&amp;10:1146</t>
  </si>
  <si>
    <t>9:1178&amp;10:1178</t>
  </si>
  <si>
    <t>9:1211&amp;10:1211</t>
  </si>
  <si>
    <t>9:1244&amp;10:1244</t>
  </si>
  <si>
    <t>9:1276&amp;10:1276</t>
  </si>
  <si>
    <t>9:1309&amp;10:1309</t>
  </si>
  <si>
    <t>9:1341&amp;10:1341</t>
  </si>
  <si>
    <t>9:1374&amp;10:1374</t>
  </si>
  <si>
    <t>9:1407&amp;10:1407</t>
  </si>
  <si>
    <t>9:1439&amp;10:1439</t>
  </si>
  <si>
    <t>9:1472&amp;10:1472</t>
  </si>
  <si>
    <t>9:1504&amp;10:1504</t>
  </si>
  <si>
    <t>9:1537&amp;10:1537</t>
  </si>
  <si>
    <t>9:1570&amp;10:1570</t>
  </si>
  <si>
    <t>9:1602&amp;10:1602</t>
  </si>
  <si>
    <t>9:1635&amp;10:1635</t>
  </si>
  <si>
    <t>9:1667&amp;10:1667</t>
  </si>
  <si>
    <t>9:1700&amp;10:1700</t>
  </si>
  <si>
    <t>9:1733&amp;10:1733</t>
  </si>
  <si>
    <t>9:1765&amp;10:1765</t>
  </si>
  <si>
    <t>9:1798&amp;10:1798</t>
  </si>
  <si>
    <t>9:1830&amp;10:1830</t>
  </si>
  <si>
    <t>9:1863&amp;10:1863</t>
  </si>
  <si>
    <t>9:1896&amp;10:1896</t>
  </si>
  <si>
    <t>9:1928&amp;10:1928</t>
  </si>
  <si>
    <t>9:1961&amp;10:1961</t>
  </si>
  <si>
    <t>9:1993&amp;10:1993</t>
  </si>
  <si>
    <t>9:2026&amp;10:2026</t>
  </si>
  <si>
    <t>9:2059&amp;10:2059</t>
  </si>
  <si>
    <t>9:2091&amp;10:2091</t>
  </si>
  <si>
    <t>9:2124&amp;10:2124</t>
  </si>
  <si>
    <t>9:2156&amp;10:2156</t>
  </si>
  <si>
    <t>9:2189&amp;10:2189</t>
  </si>
  <si>
    <t>9:2222&amp;10:2222</t>
  </si>
  <si>
    <t>9:2254&amp;10:2254</t>
  </si>
  <si>
    <t>9:2287&amp;10:2287</t>
  </si>
  <si>
    <t>9:2319&amp;10:2319</t>
  </si>
  <si>
    <t>9:2352&amp;10:2352</t>
  </si>
  <si>
    <t>9:2385&amp;10:2385</t>
  </si>
  <si>
    <t>9:2417&amp;10:2417</t>
  </si>
  <si>
    <t>9:2450&amp;10:2450</t>
  </si>
  <si>
    <t>9:2482&amp;10:2482</t>
  </si>
  <si>
    <t>9:2515&amp;10:2515</t>
  </si>
  <si>
    <t>9:2548&amp;10:2548</t>
  </si>
  <si>
    <t>9:2580&amp;10:2580</t>
  </si>
  <si>
    <t>9:2613&amp;10:2613</t>
  </si>
  <si>
    <t>9:2645&amp;10:2645</t>
  </si>
  <si>
    <t>9:2678&amp;10:2678</t>
  </si>
  <si>
    <t>9:2711&amp;10:2711</t>
  </si>
  <si>
    <t>9:2743&amp;10:2743</t>
  </si>
  <si>
    <t>9:2776&amp;10:2776</t>
  </si>
  <si>
    <t>9:2808&amp;10:2808</t>
  </si>
  <si>
    <t>9:2841&amp;10:2841</t>
  </si>
  <si>
    <t>9:2874&amp;10:2874</t>
  </si>
  <si>
    <t>9:2906&amp;10:2906</t>
  </si>
  <si>
    <t>9:2939&amp;10:2939</t>
  </si>
  <si>
    <t>9:2971&amp;10:2971</t>
  </si>
  <si>
    <t>9:3004&amp;10:3004</t>
  </si>
  <si>
    <t>9:3037&amp;10:3037</t>
  </si>
  <si>
    <t>9:3069&amp;10:3069</t>
  </si>
  <si>
    <t>9:3102&amp;10:3102</t>
  </si>
  <si>
    <t>9:3134&amp;10:3134</t>
  </si>
  <si>
    <t>9:3167&amp;10:3167</t>
  </si>
  <si>
    <t>9:3200&amp;10:3200</t>
  </si>
  <si>
    <t>9:3232&amp;10:3232</t>
  </si>
  <si>
    <t>9:3265&amp;10:3265</t>
  </si>
  <si>
    <t>src</t>
  </si>
  <si>
    <t>dest</t>
  </si>
  <si>
    <t>4024:15</t>
  </si>
  <si>
    <t>4024:45</t>
  </si>
  <si>
    <t>4024:130</t>
  </si>
  <si>
    <t>4024:400</t>
  </si>
  <si>
    <t>4024:1500</t>
  </si>
  <si>
    <t>1:0</t>
    <phoneticPr fontId="24" type="noConversion"/>
  </si>
  <si>
    <t>背扣</t>
    <phoneticPr fontId="24" type="noConversion"/>
  </si>
  <si>
    <t>在远距离起跳，背对篮筐，将篮球360°旋转一圈后经头顶扣入篮筐。</t>
    <phoneticPr fontId="24" type="noConversion"/>
  </si>
  <si>
    <t>icon_portrait_1406</t>
    <phoneticPr fontId="24" type="noConversion"/>
  </si>
  <si>
    <t>icon_portrait_1204</t>
    <phoneticPr fontId="24" type="noConversion"/>
  </si>
  <si>
    <t>icon_portrait_1205</t>
    <phoneticPr fontId="24" type="noConversion"/>
  </si>
  <si>
    <t>icon_portrait_1305</t>
    <phoneticPr fontId="24" type="noConversion"/>
  </si>
  <si>
    <t>icon_portrait_1306</t>
    <phoneticPr fontId="24" type="noConversion"/>
  </si>
  <si>
    <t>icon_portrait_1307</t>
    <phoneticPr fontId="24" type="noConversion"/>
  </si>
  <si>
    <t>icon_portrait_1107</t>
    <phoneticPr fontId="24" type="noConversion"/>
  </si>
  <si>
    <t>可招募爱丽丝。</t>
    <phoneticPr fontId="24" type="noConversion"/>
  </si>
  <si>
    <t>4024</t>
    <phoneticPr fontId="24" type="noConversion"/>
  </si>
  <si>
    <t>妙手空空Ⅰ</t>
  </si>
  <si>
    <t>持球强化Ⅱ</t>
  </si>
  <si>
    <t>持球强化Ⅲ</t>
  </si>
  <si>
    <t>持球强化Ⅳ</t>
  </si>
  <si>
    <t>持球强化Ⅴ</t>
  </si>
  <si>
    <t>强化控球，不容易被抢断</t>
  </si>
  <si>
    <t>强化对抗，身体接触后不容易倒地</t>
  </si>
  <si>
    <t>强化传球，传球时不容易被截断</t>
  </si>
  <si>
    <t>强化干扰，降低防守目标的命中率</t>
  </si>
  <si>
    <t>强化抢断，抢断更容易成功</t>
  </si>
  <si>
    <t>强化盖帽，盖帽更容易成功</t>
  </si>
  <si>
    <t>强化篮板，更容易抢到篮板</t>
  </si>
  <si>
    <t>强化截球，更容易截断传球</t>
  </si>
  <si>
    <t>强化抗盖帽，不容易被盖帽</t>
  </si>
  <si>
    <t>强化抗干扰，降低干扰影响</t>
  </si>
  <si>
    <t>强化篮板，更容易抢到篮板\n强化盖帽，盖帽更容易成功</t>
  </si>
  <si>
    <t>强化盖帽，盖帽更容易成功\n强化干扰，降低防守目标的命中率</t>
  </si>
  <si>
    <t>强化控球，不容易被抢断\n强化传球，传球时不容易被截断</t>
  </si>
  <si>
    <t>强化抗盖帽，不容易被盖帽\n强化控球，不容易被抢断</t>
  </si>
  <si>
    <t>强化抗干扰，降低干扰影响\n强化传球，传球时不容易被截断</t>
  </si>
  <si>
    <r>
      <rPr>
        <sz val="11"/>
        <color theme="1"/>
        <rFont val="宋体"/>
        <family val="3"/>
        <charset val="134"/>
      </rPr>
      <t>强化盖帽，盖帽更容易成功</t>
    </r>
    <r>
      <rPr>
        <sz val="11"/>
        <color theme="1"/>
        <rFont val="Tahoma"/>
        <family val="2"/>
        <charset val="134"/>
      </rPr>
      <t>\n</t>
    </r>
    <r>
      <rPr>
        <sz val="11"/>
        <color theme="1"/>
        <rFont val="宋体"/>
        <family val="3"/>
        <charset val="134"/>
      </rPr>
      <t>强化干扰，降低防守目标的命中率</t>
    </r>
    <phoneticPr fontId="24" type="noConversion"/>
  </si>
  <si>
    <t>全场：投篮时，按篮筐左或右方向+投篮键</t>
    <phoneticPr fontId="24" type="noConversion"/>
  </si>
  <si>
    <t>任意区域：投篮时，按篮筐反方向+投篮键</t>
    <phoneticPr fontId="24" type="noConversion"/>
  </si>
  <si>
    <t>篮下区域：投篮时，按篮筐反方向+投篮键</t>
    <phoneticPr fontId="24" type="noConversion"/>
  </si>
  <si>
    <t>任意区域：投篮时，按篮筐反方向+投篮键</t>
    <phoneticPr fontId="24" type="noConversion"/>
  </si>
  <si>
    <t>中距离区域：上篮时，按篮筐反方向+投篮键</t>
    <phoneticPr fontId="24" type="noConversion"/>
  </si>
  <si>
    <t>中距离区域：上篮时，按篮筐反方向+投篮键</t>
    <phoneticPr fontId="24" type="noConversion"/>
  </si>
  <si>
    <t>中距离区域：投篮时，按左或右方向+投篮键</t>
    <phoneticPr fontId="24" type="noConversion"/>
  </si>
  <si>
    <t>icon_goods_badge_911</t>
  </si>
  <si>
    <t>icon_goods_badge_912</t>
  </si>
  <si>
    <t>icon_goods_badge_913</t>
  </si>
  <si>
    <t>icon_goods_badge_921</t>
  </si>
  <si>
    <t>icon_goods_badge_922</t>
  </si>
  <si>
    <t>icon_goods_badge_923</t>
  </si>
  <si>
    <t>icon_goods_badge_931</t>
  </si>
  <si>
    <t>icon_goods_badge_932</t>
  </si>
  <si>
    <t>icon_goods_badge_933</t>
  </si>
  <si>
    <t>icon_goods_badge_934</t>
  </si>
  <si>
    <t>icon_goods_badge_941</t>
  </si>
  <si>
    <t>icon_goods_badge_942</t>
  </si>
  <si>
    <t>icon_goods_badge_943</t>
  </si>
  <si>
    <t>icon_goods_badge_944</t>
  </si>
  <si>
    <t>icon_goods_badge_945</t>
  </si>
  <si>
    <t>icon_goods_paint</t>
    <phoneticPr fontId="24" type="noConversion"/>
  </si>
  <si>
    <t>收集满50个碎片可招募球员小瑞。</t>
    <phoneticPr fontId="24" type="noConversion"/>
  </si>
  <si>
    <t>队伍经验</t>
    <phoneticPr fontId="24" type="noConversion"/>
  </si>
  <si>
    <t>褐色短发</t>
    <phoneticPr fontId="26" type="noConversion"/>
  </si>
  <si>
    <t>褐色麻辫</t>
    <phoneticPr fontId="26" type="noConversion"/>
  </si>
  <si>
    <t>圣诞熊</t>
    <phoneticPr fontId="26" type="noConversion"/>
  </si>
  <si>
    <t>嘻哈地带</t>
    <phoneticPr fontId="26" type="noConversion"/>
  </si>
  <si>
    <t>复古绅士</t>
    <phoneticPr fontId="26" type="noConversion"/>
  </si>
  <si>
    <t>极速缔造</t>
    <phoneticPr fontId="26" type="noConversion"/>
  </si>
  <si>
    <t>沙滩阳光帽</t>
    <phoneticPr fontId="26" type="noConversion"/>
  </si>
  <si>
    <t>伊娃的头饰</t>
    <phoneticPr fontId="26" type="noConversion"/>
  </si>
  <si>
    <t>天生丽质</t>
    <phoneticPr fontId="26" type="noConversion"/>
  </si>
  <si>
    <t>旋风球衣</t>
    <phoneticPr fontId="26" type="noConversion"/>
  </si>
  <si>
    <t>复古半袖衫</t>
    <phoneticPr fontId="26" type="noConversion"/>
  </si>
  <si>
    <t>李娜的衣服</t>
    <phoneticPr fontId="26" type="noConversion"/>
  </si>
  <si>
    <t>旋风球裤</t>
    <phoneticPr fontId="26" type="noConversion"/>
  </si>
  <si>
    <t>裤洞牛仔裤</t>
    <phoneticPr fontId="26" type="noConversion"/>
  </si>
  <si>
    <t>粉色沙滩凉鞋</t>
    <phoneticPr fontId="26" type="noConversion"/>
  </si>
  <si>
    <t>靓蓝沙滩凉鞋</t>
    <phoneticPr fontId="26" type="noConversion"/>
  </si>
  <si>
    <t>旋风足球鞋</t>
    <phoneticPr fontId="26" type="noConversion"/>
  </si>
  <si>
    <t>旋风足球鞋</t>
  </si>
  <si>
    <t>icon_skill_3701</t>
  </si>
  <si>
    <t>icon_skill_3702</t>
  </si>
  <si>
    <t>突破时，利用转身运球，迷惑防守者。</t>
    <phoneticPr fontId="24" type="noConversion"/>
  </si>
  <si>
    <t>icon_skill_3703</t>
  </si>
  <si>
    <t>突破时，利用重心的连续晃动，迷惑防守者。</t>
    <phoneticPr fontId="24" type="noConversion"/>
  </si>
  <si>
    <t>icon_skill_3704</t>
  </si>
  <si>
    <t>突破时，快速的变换运球反向，迷惑防守者。</t>
    <phoneticPr fontId="24" type="noConversion"/>
  </si>
  <si>
    <t>icon_skill_3700</t>
    <phoneticPr fontId="24" type="noConversion"/>
  </si>
  <si>
    <t>横向突破</t>
    <phoneticPr fontId="24" type="noConversion"/>
  </si>
  <si>
    <t>icon_skill_6500</t>
    <phoneticPr fontId="24" type="noConversion"/>
  </si>
  <si>
    <t>突破时，通过横向移动拉开投篮的空间，迷惑防守者。</t>
    <phoneticPr fontId="24" type="noConversion"/>
  </si>
  <si>
    <t>后撤突破</t>
    <phoneticPr fontId="24" type="noConversion"/>
  </si>
  <si>
    <t>icon_skill_6502</t>
    <phoneticPr fontId="24" type="noConversion"/>
  </si>
  <si>
    <t>突破时，快速向后移动拉开投篮空间，迷惑防守者。</t>
    <phoneticPr fontId="24" type="noConversion"/>
  </si>
  <si>
    <t>背后交叉突破</t>
    <phoneticPr fontId="24" type="noConversion"/>
  </si>
  <si>
    <t>后转身突破</t>
    <phoneticPr fontId="24" type="noConversion"/>
  </si>
  <si>
    <t>急速晃动突破</t>
    <phoneticPr fontId="24" type="noConversion"/>
  </si>
  <si>
    <t>体前交叉突破</t>
    <phoneticPr fontId="24" type="noConversion"/>
  </si>
  <si>
    <t>全场：突破时，按方向+突破键</t>
    <phoneticPr fontId="24" type="noConversion"/>
  </si>
  <si>
    <t>全场：突破时，按左或右方向+突破键</t>
    <phoneticPr fontId="24" type="noConversion"/>
  </si>
  <si>
    <t>无</t>
    <phoneticPr fontId="26" type="noConversion"/>
  </si>
  <si>
    <t>icon_fashion_hat_Scarf_M</t>
    <phoneticPr fontId="26" type="noConversion"/>
  </si>
  <si>
    <t>icon_fashion_hat_UBaseballcap_F</t>
    <phoneticPr fontId="26" type="noConversion"/>
  </si>
  <si>
    <t>icon_fashion_hat_UBaseballcap_M</t>
    <phoneticPr fontId="26" type="noConversion"/>
  </si>
  <si>
    <t>icon_fashion_hat_Winterwarmth_M</t>
    <phoneticPr fontId="26" type="noConversion"/>
  </si>
  <si>
    <t>icon_fashion_hat_Hurricane_M</t>
    <phoneticPr fontId="26" type="noConversion"/>
  </si>
  <si>
    <t>icon_fashion_hat_Winterwarmth_F</t>
    <phoneticPr fontId="26" type="noConversion"/>
  </si>
  <si>
    <t>icon_fashion_hat_Hurricane_F</t>
    <phoneticPr fontId="26" type="noConversion"/>
  </si>
  <si>
    <t>icon_fashion_hat_wavyhair_F</t>
    <phoneticPr fontId="26" type="noConversion"/>
  </si>
  <si>
    <t>icon_fashion_hat_Sportshairband_M</t>
  </si>
  <si>
    <t>icon_fashion_hat_Beachsun_F</t>
    <phoneticPr fontId="26" type="noConversion"/>
  </si>
  <si>
    <t>icon_fashion_hat_Elvis_M</t>
    <phoneticPr fontId="26" type="noConversion"/>
  </si>
  <si>
    <t>icon_fashion_hat_Sportsband_M</t>
    <phoneticPr fontId="26" type="noConversion"/>
  </si>
  <si>
    <t>icon_fashion_hat_Princessformal_M</t>
    <phoneticPr fontId="26" type="noConversion"/>
  </si>
  <si>
    <t>icon_fashion_hat_Rabbit_F</t>
    <phoneticPr fontId="26" type="noConversion"/>
  </si>
  <si>
    <t>icon_fashion_clothes_Influxleather_F</t>
    <phoneticPr fontId="26" type="noConversion"/>
  </si>
  <si>
    <t>icon_fashion_clothes_Influxleather_M</t>
    <phoneticPr fontId="26" type="noConversion"/>
  </si>
  <si>
    <t>icon_fashion_clothes_Hurricane_M</t>
    <phoneticPr fontId="26" type="noConversion"/>
  </si>
  <si>
    <t>icon_fashion_clothes_Hurricane_F</t>
    <phoneticPr fontId="26" type="noConversion"/>
  </si>
  <si>
    <t>icon_fashion_clothes_KungFuSuit_F</t>
    <phoneticPr fontId="26" type="noConversion"/>
  </si>
  <si>
    <t>icon_fashion_clothes_KungFuSuit_M</t>
    <phoneticPr fontId="26" type="noConversion"/>
  </si>
  <si>
    <t>icon_fashion_clothes_Runawayvest_M</t>
    <phoneticPr fontId="26" type="noConversion"/>
  </si>
  <si>
    <t>icon_fashion_clothes_Runawayvest_F</t>
    <phoneticPr fontId="26" type="noConversion"/>
  </si>
  <si>
    <t>icon_fashion_pants_UBaseballcap_F</t>
    <phoneticPr fontId="26" type="noConversion"/>
  </si>
  <si>
    <t>icon_fashion_pants_Influxleather_F</t>
    <phoneticPr fontId="26" type="noConversion"/>
  </si>
  <si>
    <t>icon_fashion_pants_UBaseballcap_M</t>
    <phoneticPr fontId="26" type="noConversion"/>
  </si>
  <si>
    <t>icon_fashion_pants_Influxleather_M</t>
    <phoneticPr fontId="26" type="noConversion"/>
  </si>
  <si>
    <t>icon_fashion_pants_Winterwarmth_M</t>
    <phoneticPr fontId="26" type="noConversion"/>
  </si>
  <si>
    <t>icon_fashion_pants_Hurricane_M</t>
    <phoneticPr fontId="26" type="noConversion"/>
  </si>
  <si>
    <t>icon_fashion_pants_Hurricane_F</t>
    <phoneticPr fontId="26" type="noConversion"/>
  </si>
  <si>
    <t>icon_fashion_pants_Winterwarmth_F</t>
    <phoneticPr fontId="26" type="noConversion"/>
  </si>
  <si>
    <t>icon_fashion_pants_KungFuSuit_F</t>
    <phoneticPr fontId="26" type="noConversion"/>
  </si>
  <si>
    <t>icon_fashion_pants_Nbellbottoms</t>
    <phoneticPr fontId="26" type="noConversion"/>
  </si>
  <si>
    <t>icon_fashion_pants_Nbellbottoms_M</t>
    <phoneticPr fontId="26" type="noConversion"/>
  </si>
  <si>
    <t>icon_fashion_shose_Fashion_M</t>
    <phoneticPr fontId="26" type="noConversion"/>
  </si>
  <si>
    <t>icon_fashion_shose_Sportswear_M</t>
    <phoneticPr fontId="26" type="noConversion"/>
  </si>
  <si>
    <t>icon_fashion_shose_UBaseballcap_F</t>
    <phoneticPr fontId="26" type="noConversion"/>
  </si>
  <si>
    <t>icon_fashion_shose_Influxleather_F</t>
    <phoneticPr fontId="26" type="noConversion"/>
  </si>
  <si>
    <t>icon_fashion_shose_UBaseballcap_M</t>
    <phoneticPr fontId="26" type="noConversion"/>
  </si>
  <si>
    <t>icon_fashion_shose_Influxleather_M</t>
    <phoneticPr fontId="26" type="noConversion"/>
  </si>
  <si>
    <t>icon_fashion_shose_Winterwarmth_M</t>
    <phoneticPr fontId="26" type="noConversion"/>
  </si>
  <si>
    <t>icon_fashion_shose_Hurricane_M</t>
    <phoneticPr fontId="26" type="noConversion"/>
  </si>
  <si>
    <t>icon_fashion_shose_Winterwarmth_F</t>
    <phoneticPr fontId="26" type="noConversion"/>
  </si>
  <si>
    <t>icon_fashion_shose_Hurricane_F</t>
    <phoneticPr fontId="26" type="noConversion"/>
  </si>
  <si>
    <t>icon_fashion_shose_KungFuSuit</t>
    <phoneticPr fontId="26" type="noConversion"/>
  </si>
  <si>
    <t>背部</t>
    <phoneticPr fontId="24" type="noConversion"/>
  </si>
  <si>
    <t>小紫人</t>
    <phoneticPr fontId="24" type="noConversion"/>
  </si>
  <si>
    <t>白领皮鞋</t>
  </si>
  <si>
    <t>淑女小皮鞋</t>
  </si>
  <si>
    <t>深空幻想</t>
  </si>
  <si>
    <t>icon_fashion_clothes_Winterwarmth_M</t>
    <phoneticPr fontId="26" type="noConversion"/>
  </si>
  <si>
    <t>icon_fashion_clothes_Winterwarmth_F</t>
    <phoneticPr fontId="26" type="noConversion"/>
  </si>
  <si>
    <t>icon_fashion_hat_Retrogentleman_F</t>
    <phoneticPr fontId="26" type="noConversion"/>
  </si>
  <si>
    <t>icon_fashion_hat_Retrogentleman_M</t>
    <phoneticPr fontId="26" type="noConversion"/>
  </si>
  <si>
    <t>icon_fashion_clothes_Retrogentleman_M</t>
    <phoneticPr fontId="26" type="noConversion"/>
  </si>
  <si>
    <t>英伦大西装</t>
    <phoneticPr fontId="24" type="noConversion"/>
  </si>
  <si>
    <t>无</t>
    <phoneticPr fontId="26" type="noConversion"/>
  </si>
  <si>
    <t>烈火战车</t>
    <phoneticPr fontId="24" type="noConversion"/>
  </si>
  <si>
    <t>白领衬衫</t>
    <phoneticPr fontId="24" type="noConversion"/>
  </si>
  <si>
    <t>潮流运动服</t>
    <phoneticPr fontId="24" type="noConversion"/>
  </si>
  <si>
    <t>狂野之星</t>
    <phoneticPr fontId="24" type="noConversion"/>
  </si>
  <si>
    <t>干练精英</t>
    <phoneticPr fontId="24" type="noConversion"/>
  </si>
  <si>
    <t>气质白领</t>
    <phoneticPr fontId="24" type="noConversion"/>
  </si>
  <si>
    <t>女巫的头饰</t>
    <phoneticPr fontId="26" type="noConversion"/>
  </si>
  <si>
    <t>icon_fashion_hat_witch_F</t>
    <phoneticPr fontId="26" type="noConversion"/>
  </si>
  <si>
    <t>icon_fashion_hat_Pumpkin_M</t>
    <phoneticPr fontId="26" type="noConversion"/>
  </si>
  <si>
    <t>无</t>
    <phoneticPr fontId="26" type="noConversion"/>
  </si>
  <si>
    <t>南瓜头饰</t>
    <phoneticPr fontId="26" type="noConversion"/>
  </si>
  <si>
    <t>icon_fashion_hat_Pumpkin_M</t>
    <phoneticPr fontId="26" type="noConversion"/>
  </si>
  <si>
    <t>icon_fashion_hat_Retrogentleman_M</t>
    <phoneticPr fontId="26" type="noConversion"/>
  </si>
  <si>
    <t>icon_fashion_hat_christmas_M</t>
    <phoneticPr fontId="26" type="noConversion"/>
  </si>
  <si>
    <t>icon_fashion_clothes_Retrogentleman_F</t>
    <phoneticPr fontId="24" type="noConversion"/>
  </si>
  <si>
    <t>icon_fashion_hat_whitecollar_M</t>
    <phoneticPr fontId="24" type="noConversion"/>
  </si>
  <si>
    <t>icon_fashion_hat_Tidalmotion_F</t>
    <phoneticPr fontId="24" type="noConversion"/>
  </si>
  <si>
    <t>icon_fashion_hat_whitecollar_F</t>
    <phoneticPr fontId="24" type="noConversion"/>
  </si>
  <si>
    <t>icon_fashion_clothes_witch_F</t>
    <phoneticPr fontId="26" type="noConversion"/>
  </si>
  <si>
    <t>时尚连帽衫</t>
  </si>
  <si>
    <t>icon_fashion_clothes_hoodie_M</t>
    <phoneticPr fontId="24" type="noConversion"/>
  </si>
  <si>
    <t>时尚连帽衫</t>
    <phoneticPr fontId="24" type="noConversion"/>
  </si>
  <si>
    <t>icon_fashion_clothes_hoodie_F</t>
    <phoneticPr fontId="24" type="noConversion"/>
  </si>
  <si>
    <t>icon_fashion_clothes_Retrogentleman_M</t>
    <phoneticPr fontId="24" type="noConversion"/>
  </si>
  <si>
    <t>白领皮鞋</t>
    <phoneticPr fontId="24" type="noConversion"/>
  </si>
  <si>
    <t>棕色小皮鞋</t>
    <phoneticPr fontId="24" type="noConversion"/>
  </si>
  <si>
    <t>icon_fashion_shose_witch_F</t>
    <phoneticPr fontId="26" type="noConversion"/>
  </si>
  <si>
    <t>icon_fashion_clothes_whitecollar_M</t>
    <phoneticPr fontId="24" type="noConversion"/>
  </si>
  <si>
    <t>icon_fashion_clothes_whitecollar_F</t>
    <phoneticPr fontId="24" type="noConversion"/>
  </si>
  <si>
    <t>icon_fashion_clothes_Tidalmotion_F</t>
    <phoneticPr fontId="24" type="noConversion"/>
  </si>
  <si>
    <t>白领西裤</t>
    <phoneticPr fontId="24" type="noConversion"/>
  </si>
  <si>
    <t>潮流休闲裤</t>
    <phoneticPr fontId="24" type="noConversion"/>
  </si>
  <si>
    <t>潮流牛仔裤</t>
    <phoneticPr fontId="24" type="noConversion"/>
  </si>
  <si>
    <t>icon_fashion_pants_whitecollar_M</t>
    <phoneticPr fontId="24" type="noConversion"/>
  </si>
  <si>
    <t>icon_fashion_pants_Tidalmotion_F</t>
    <phoneticPr fontId="24" type="noConversion"/>
  </si>
  <si>
    <t>icon_fashion_pants_whitecollar_F</t>
    <phoneticPr fontId="24" type="noConversion"/>
  </si>
  <si>
    <t>icon_fashion_shose_whitecollar_M</t>
    <phoneticPr fontId="24" type="noConversion"/>
  </si>
  <si>
    <t>icon_fashion_shose_whitecollar_F</t>
    <phoneticPr fontId="24" type="noConversion"/>
  </si>
  <si>
    <t>icon_fashion_shose_Tidalmotion_F</t>
    <phoneticPr fontId="24" type="noConversion"/>
  </si>
  <si>
    <t>夹板拖鞋</t>
    <phoneticPr fontId="24" type="noConversion"/>
  </si>
  <si>
    <t>背扣</t>
    <phoneticPr fontId="24" type="noConversion"/>
  </si>
  <si>
    <t>icon_fashion_clothes_Soccer_M</t>
    <phoneticPr fontId="24" type="noConversion"/>
  </si>
  <si>
    <t>icon_fashion_clothes_UBaseballcap_F</t>
  </si>
  <si>
    <t>icon_fashion_clothes_UBaseballcap_M</t>
  </si>
  <si>
    <t>icon_fashion_pants_Retrogentleman_F</t>
  </si>
  <si>
    <t>icon_fashion_pants_Retrogentleman_M</t>
  </si>
  <si>
    <t>icon_fashion_shoes_Retrogentleman_F</t>
  </si>
  <si>
    <t>icon_fashion_shoes_Retrogentleman_M</t>
  </si>
  <si>
    <t>icon_fashion_shose_Retrogentleman_M</t>
  </si>
  <si>
    <t>icon_fashion_shose_surf_M</t>
    <phoneticPr fontId="26" type="noConversion"/>
  </si>
  <si>
    <t>icon_fashion_shose_surf_F</t>
    <phoneticPr fontId="26" type="noConversion"/>
  </si>
  <si>
    <t>冲抢篮板</t>
    <phoneticPr fontId="24" type="noConversion"/>
  </si>
  <si>
    <t>icon_skill_3401</t>
  </si>
  <si>
    <t>飞身将篮板球抢下，增加抢篮板球的距离。</t>
    <phoneticPr fontId="24" type="noConversion"/>
  </si>
  <si>
    <t>中距离区域：上篮时，按篮筐反方向+投篮键</t>
    <phoneticPr fontId="24" type="noConversion"/>
  </si>
  <si>
    <t>无视防守球员，左右大幅度晃动后扣篮。</t>
    <phoneticPr fontId="24" type="noConversion"/>
  </si>
  <si>
    <t>无视防守球员，左右大幅度晃动后上篮。</t>
    <phoneticPr fontId="24" type="noConversion"/>
  </si>
  <si>
    <t>炫酷的将球由胯下绕过，变化出手位置，减少被盖帽几率扣篮。</t>
    <phoneticPr fontId="24" type="noConversion"/>
  </si>
  <si>
    <t>增加起跳高度，全力将篮板球抢下，打击对方士气。</t>
    <phoneticPr fontId="24" type="noConversion"/>
  </si>
  <si>
    <t>花式突破</t>
    <phoneticPr fontId="24" type="noConversion"/>
  </si>
  <si>
    <t>突破时，连续的背后运球，迷惑防守者。</t>
    <phoneticPr fontId="24" type="noConversion"/>
  </si>
  <si>
    <t>突破时，用眼花缭乱的动作迷惑防守者。</t>
    <phoneticPr fontId="24" type="noConversion"/>
  </si>
  <si>
    <t>可乐</t>
    <phoneticPr fontId="24" type="noConversion"/>
  </si>
  <si>
    <t>新秀试炼道具</t>
    <phoneticPr fontId="24" type="noConversion"/>
  </si>
  <si>
    <t>收集满20个碎片可招募球员小飞侠。</t>
    <phoneticPr fontId="24" type="noConversion"/>
  </si>
  <si>
    <t>icon_goods_cola</t>
  </si>
  <si>
    <t>icon_portrait_1406</t>
  </si>
  <si>
    <t>全场：突破时，按篮筐反方向+突破键</t>
    <phoneticPr fontId="24" type="noConversion"/>
  </si>
  <si>
    <t>薇薇卡</t>
  </si>
  <si>
    <t>可招募薇薇卡。</t>
    <phoneticPr fontId="24" type="noConversion"/>
  </si>
  <si>
    <t>钢炮</t>
  </si>
  <si>
    <t>可招募钢炮</t>
  </si>
  <si>
    <t>泰图斯</t>
  </si>
  <si>
    <t>可招募泰图斯</t>
  </si>
  <si>
    <t>佛莱德利</t>
  </si>
  <si>
    <t>可招募佛莱德利</t>
  </si>
  <si>
    <t>安德鲁</t>
  </si>
  <si>
    <t>可招募安德鲁</t>
  </si>
  <si>
    <t>凯茜</t>
  </si>
  <si>
    <t>可招募凯茜</t>
  </si>
  <si>
    <t>海盗</t>
  </si>
  <si>
    <t>可招募海盗</t>
  </si>
  <si>
    <t>慢跑牛仔短裤</t>
    <phoneticPr fontId="24" type="noConversion"/>
  </si>
  <si>
    <t>慢跑休闲鞋</t>
    <phoneticPr fontId="24" type="noConversion"/>
  </si>
  <si>
    <t>慢跑卫衣</t>
    <phoneticPr fontId="24" type="noConversion"/>
  </si>
  <si>
    <t>Ef_Blink2</t>
    <phoneticPr fontId="24" type="noConversion"/>
  </si>
  <si>
    <t>Ef_Blink1</t>
    <phoneticPr fontId="24" type="noConversion"/>
  </si>
  <si>
    <t>潮流发饰</t>
  </si>
  <si>
    <t>潮流骷髅发饰</t>
  </si>
  <si>
    <t>豹纹头饰</t>
  </si>
  <si>
    <t>潮流上装</t>
  </si>
  <si>
    <t>潮流骷髅上装</t>
  </si>
  <si>
    <t>潮流下装</t>
  </si>
  <si>
    <t>潮流骷髅下装</t>
  </si>
  <si>
    <t>潮流骷髅鞋</t>
  </si>
  <si>
    <t>豹纹套装</t>
  </si>
  <si>
    <t>减少对方干扰，单臂重重将球扣进，像砍斧一样有力量。</t>
    <phoneticPr fontId="24" type="noConversion"/>
  </si>
  <si>
    <t>减少对方干扰，背对篮筐，将篮球经头顶扣入篮筐。</t>
    <phoneticPr fontId="24" type="noConversion"/>
  </si>
  <si>
    <t>篮下起跳，减少被盖帽几率，单手360°挥动将球扣入篮筐。</t>
    <phoneticPr fontId="24" type="noConversion"/>
  </si>
</sst>
</file>

<file path=xl/styles.xml><?xml version="1.0" encoding="utf-8"?>
<styleSheet xmlns="http://schemas.openxmlformats.org/spreadsheetml/2006/main">
  <numFmts count="1">
    <numFmt numFmtId="43" formatCode="_ * #,##0.00_ ;_ * \-#,##0.00_ ;_ * &quot;-&quot;??_ ;_ @_ "/>
  </numFmts>
  <fonts count="32">
    <font>
      <sz val="11"/>
      <color theme="1"/>
      <name val="宋体"/>
      <charset val="134"/>
      <scheme val="minor"/>
    </font>
    <font>
      <sz val="11"/>
      <color theme="1" tint="0.49998474074526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Tahoma"/>
      <family val="2"/>
    </font>
    <font>
      <b/>
      <i/>
      <sz val="11"/>
      <color indexed="8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rgb="FF333333"/>
      <name val="微软雅黑"/>
      <family val="2"/>
      <charset val="134"/>
    </font>
    <font>
      <sz val="11"/>
      <color rgb="FF333333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  <charset val="134"/>
    </font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rgb="FF00B050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0">
    <xf numFmtId="0" fontId="0" fillId="0" borderId="0">
      <alignment vertical="center"/>
    </xf>
    <xf numFmtId="0" fontId="22" fillId="0" borderId="0">
      <alignment vertical="center"/>
    </xf>
    <xf numFmtId="0" fontId="3" fillId="0" borderId="0"/>
    <xf numFmtId="0" fontId="3" fillId="0" borderId="0"/>
    <xf numFmtId="0" fontId="3" fillId="0" borderId="0"/>
    <xf numFmtId="0" fontId="2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>
      <alignment vertical="center"/>
    </xf>
    <xf numFmtId="0" fontId="3" fillId="0" borderId="0"/>
    <xf numFmtId="0" fontId="29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30" fillId="0" borderId="0">
      <alignment vertical="center"/>
    </xf>
    <xf numFmtId="0" fontId="30" fillId="0" borderId="0">
      <alignment vertical="center"/>
    </xf>
    <xf numFmtId="0" fontId="28" fillId="0" borderId="0"/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1" fillId="0" borderId="0">
      <alignment vertical="center"/>
    </xf>
    <xf numFmtId="43" fontId="21" fillId="0" borderId="0" applyFont="0" applyFill="0" applyBorder="0" applyAlignment="0" applyProtection="0">
      <alignment vertical="center"/>
    </xf>
    <xf numFmtId="0" fontId="28" fillId="0" borderId="0"/>
    <xf numFmtId="43" fontId="21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1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1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21" fillId="0" borderId="0">
      <alignment vertical="center"/>
    </xf>
    <xf numFmtId="0" fontId="27" fillId="0" borderId="0">
      <alignment vertical="center"/>
    </xf>
    <xf numFmtId="0" fontId="28" fillId="0" borderId="0"/>
    <xf numFmtId="0" fontId="27" fillId="0" borderId="0">
      <alignment vertical="center"/>
    </xf>
    <xf numFmtId="0" fontId="3" fillId="0" borderId="0"/>
    <xf numFmtId="0" fontId="2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21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8" fillId="0" borderId="0"/>
    <xf numFmtId="0" fontId="3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1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8" fillId="0" borderId="0"/>
    <xf numFmtId="0" fontId="28" fillId="0" borderId="0"/>
    <xf numFmtId="0" fontId="30" fillId="0" borderId="0">
      <alignment vertical="center"/>
    </xf>
    <xf numFmtId="0" fontId="29" fillId="0" borderId="0">
      <alignment vertical="center"/>
    </xf>
    <xf numFmtId="0" fontId="21" fillId="0" borderId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28" fillId="0" borderId="0"/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27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3" fillId="0" borderId="0"/>
    <xf numFmtId="0" fontId="2" fillId="0" borderId="0">
      <alignment vertical="center"/>
    </xf>
  </cellStyleXfs>
  <cellXfs count="231">
    <xf numFmtId="0" fontId="0" fillId="0" borderId="0" xfId="0">
      <alignment vertical="center"/>
    </xf>
    <xf numFmtId="0" fontId="0" fillId="0" borderId="0" xfId="0" applyFont="1">
      <alignment vertical="center"/>
    </xf>
    <xf numFmtId="49" fontId="0" fillId="0" borderId="0" xfId="0" applyNumberFormat="1" applyFont="1">
      <alignment vertical="center"/>
    </xf>
    <xf numFmtId="0" fontId="1" fillId="2" borderId="1" xfId="19" applyNumberFormat="1" applyFont="1" applyFill="1" applyBorder="1" applyAlignment="1">
      <alignment horizontal="center" vertical="center"/>
    </xf>
    <xf numFmtId="0" fontId="2" fillId="2" borderId="1" xfId="19" applyNumberFormat="1" applyFill="1" applyBorder="1" applyAlignment="1">
      <alignment horizontal="center" vertical="center"/>
    </xf>
    <xf numFmtId="0" fontId="3" fillId="0" borderId="0" xfId="4"/>
    <xf numFmtId="0" fontId="3" fillId="0" borderId="0" xfId="3"/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2" fillId="2" borderId="2" xfId="17" applyNumberFormat="1" applyFill="1" applyBorder="1" applyAlignment="1">
      <alignment horizontal="center" vertical="center"/>
    </xf>
    <xf numFmtId="0" fontId="2" fillId="2" borderId="2" xfId="17" applyNumberFormat="1" applyFill="1" applyBorder="1" applyAlignment="1">
      <alignment horizontal="center" vertical="center"/>
    </xf>
    <xf numFmtId="49" fontId="4" fillId="2" borderId="2" xfId="17" applyNumberFormat="1" applyFont="1" applyFill="1" applyBorder="1" applyAlignment="1">
      <alignment horizontal="center" vertical="center"/>
    </xf>
    <xf numFmtId="49" fontId="0" fillId="3" borderId="2" xfId="0" applyNumberFormat="1" applyFill="1" applyBorder="1">
      <alignment vertical="center"/>
    </xf>
    <xf numFmtId="0" fontId="2" fillId="3" borderId="2" xfId="17" applyNumberFormat="1" applyFill="1" applyBorder="1" applyAlignment="1">
      <alignment horizontal="center" vertical="center"/>
    </xf>
    <xf numFmtId="49" fontId="2" fillId="3" borderId="2" xfId="17" applyNumberFormat="1" applyFill="1" applyBorder="1" applyAlignment="1">
      <alignment horizontal="center" vertical="center"/>
    </xf>
    <xf numFmtId="49" fontId="5" fillId="3" borderId="2" xfId="0" applyNumberFormat="1" applyFont="1" applyFill="1" applyBorder="1">
      <alignment vertical="center"/>
    </xf>
    <xf numFmtId="0" fontId="6" fillId="3" borderId="2" xfId="17" applyNumberFormat="1" applyFont="1" applyFill="1" applyBorder="1" applyAlignment="1">
      <alignment horizontal="center" vertical="center"/>
    </xf>
    <xf numFmtId="49" fontId="0" fillId="0" borderId="2" xfId="0" applyNumberFormat="1" applyBorder="1">
      <alignment vertical="center"/>
    </xf>
    <xf numFmtId="0" fontId="0" fillId="0" borderId="2" xfId="0" applyNumberFormat="1" applyBorder="1">
      <alignment vertical="center"/>
    </xf>
    <xf numFmtId="0" fontId="0" fillId="0" borderId="2" xfId="0" applyBorder="1">
      <alignment vertical="center"/>
    </xf>
    <xf numFmtId="49" fontId="2" fillId="0" borderId="2" xfId="17" applyNumberFormat="1" applyBorder="1" applyAlignment="1">
      <alignment horizontal="left" vertical="center"/>
    </xf>
    <xf numFmtId="0" fontId="0" fillId="4" borderId="2" xfId="0" applyNumberFormat="1" applyFill="1" applyBorder="1">
      <alignment vertical="center"/>
    </xf>
    <xf numFmtId="49" fontId="0" fillId="4" borderId="2" xfId="0" applyNumberFormat="1" applyFill="1" applyBorder="1">
      <alignment vertical="center"/>
    </xf>
    <xf numFmtId="0" fontId="0" fillId="4" borderId="2" xfId="0" applyFill="1" applyBorder="1">
      <alignment vertical="center"/>
    </xf>
    <xf numFmtId="49" fontId="6" fillId="3" borderId="2" xfId="17" applyNumberFormat="1" applyFont="1" applyFill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49" fontId="0" fillId="0" borderId="2" xfId="0" applyNumberFormat="1" applyFill="1" applyBorder="1" applyAlignment="1">
      <alignment horizontal="right" vertical="center"/>
    </xf>
    <xf numFmtId="0" fontId="2" fillId="2" borderId="3" xfId="17" applyNumberFormat="1" applyFill="1" applyBorder="1" applyAlignment="1">
      <alignment horizontal="center" vertical="center"/>
    </xf>
    <xf numFmtId="0" fontId="2" fillId="0" borderId="3" xfId="17" applyNumberFormat="1" applyBorder="1" applyAlignment="1">
      <alignment horizontal="left" vertical="center"/>
    </xf>
    <xf numFmtId="0" fontId="2" fillId="2" borderId="1" xfId="17" applyNumberFormat="1" applyFill="1" applyBorder="1" applyAlignment="1">
      <alignment horizontal="center" vertical="center"/>
    </xf>
    <xf numFmtId="0" fontId="1" fillId="2" borderId="1" xfId="17" applyNumberFormat="1" applyFont="1" applyFill="1" applyBorder="1" applyAlignment="1">
      <alignment horizontal="center" vertical="center"/>
    </xf>
    <xf numFmtId="0" fontId="7" fillId="2" borderId="1" xfId="17" applyNumberFormat="1" applyFont="1" applyFill="1" applyBorder="1" applyAlignment="1">
      <alignment horizontal="center" vertical="center"/>
    </xf>
    <xf numFmtId="0" fontId="2" fillId="0" borderId="2" xfId="17" applyNumberFormat="1" applyBorder="1" applyAlignment="1">
      <alignment vertical="center"/>
    </xf>
    <xf numFmtId="0" fontId="1" fillId="0" borderId="2" xfId="17" applyNumberFormat="1" applyFont="1" applyBorder="1" applyAlignment="1">
      <alignment vertical="center"/>
    </xf>
    <xf numFmtId="49" fontId="0" fillId="0" borderId="2" xfId="0" applyNumberFormat="1" applyBorder="1" applyAlignment="1">
      <alignment horizontal="left" vertical="center"/>
    </xf>
    <xf numFmtId="0" fontId="2" fillId="0" borderId="2" xfId="17" applyNumberFormat="1" applyFill="1" applyBorder="1" applyAlignment="1">
      <alignment vertical="center"/>
    </xf>
    <xf numFmtId="49" fontId="0" fillId="0" borderId="0" xfId="0" applyNumberFormat="1" applyAlignment="1">
      <alignment horizontal="left" vertical="center"/>
    </xf>
    <xf numFmtId="0" fontId="0" fillId="0" borderId="2" xfId="0" applyBorder="1" applyAlignment="1">
      <alignment vertical="center"/>
    </xf>
    <xf numFmtId="0" fontId="1" fillId="0" borderId="4" xfId="17" applyNumberFormat="1" applyFont="1" applyFill="1" applyBorder="1" applyAlignment="1">
      <alignment vertical="center"/>
    </xf>
    <xf numFmtId="0" fontId="2" fillId="0" borderId="4" xfId="17" applyNumberFormat="1" applyFill="1" applyBorder="1" applyAlignment="1">
      <alignment vertical="center"/>
    </xf>
    <xf numFmtId="0" fontId="8" fillId="5" borderId="0" xfId="0" applyFont="1" applyFill="1" applyAlignment="1">
      <alignment horizontal="left" vertical="top"/>
    </xf>
    <xf numFmtId="0" fontId="8" fillId="0" borderId="0" xfId="0" applyFont="1" applyFill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8" fillId="0" borderId="0" xfId="0" applyFont="1" applyFill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0" fillId="0" borderId="0" xfId="0" applyAlignment="1"/>
    <xf numFmtId="0" fontId="9" fillId="2" borderId="2" xfId="17" applyNumberFormat="1" applyFont="1" applyFill="1" applyBorder="1" applyAlignment="1">
      <alignment horizontal="left" vertical="top"/>
    </xf>
    <xf numFmtId="0" fontId="9" fillId="2" borderId="2" xfId="9" applyNumberFormat="1" applyFont="1" applyFill="1" applyBorder="1" applyAlignment="1">
      <alignment horizontal="left" vertical="top"/>
    </xf>
    <xf numFmtId="0" fontId="9" fillId="0" borderId="2" xfId="17" applyNumberFormat="1" applyFont="1" applyBorder="1" applyAlignment="1">
      <alignment horizontal="left" vertical="top"/>
    </xf>
    <xf numFmtId="0" fontId="8" fillId="0" borderId="2" xfId="0" applyFont="1" applyBorder="1" applyAlignment="1">
      <alignment horizontal="left" vertical="top"/>
    </xf>
    <xf numFmtId="0" fontId="9" fillId="0" borderId="2" xfId="9" applyNumberFormat="1" applyFont="1" applyBorder="1" applyAlignment="1">
      <alignment horizontal="left" vertical="top"/>
    </xf>
    <xf numFmtId="0" fontId="9" fillId="5" borderId="2" xfId="17" applyNumberFormat="1" applyFont="1" applyFill="1" applyBorder="1" applyAlignment="1">
      <alignment horizontal="left" vertical="top"/>
    </xf>
    <xf numFmtId="0" fontId="8" fillId="5" borderId="2" xfId="0" applyFont="1" applyFill="1" applyBorder="1" applyAlignment="1">
      <alignment horizontal="left" vertical="top"/>
    </xf>
    <xf numFmtId="0" fontId="9" fillId="5" borderId="2" xfId="9" applyNumberFormat="1" applyFont="1" applyFill="1" applyBorder="1" applyAlignment="1">
      <alignment horizontal="left" vertical="top"/>
    </xf>
    <xf numFmtId="0" fontId="9" fillId="0" borderId="2" xfId="17" applyNumberFormat="1" applyFont="1" applyFill="1" applyBorder="1" applyAlignment="1">
      <alignment horizontal="left" vertical="top"/>
    </xf>
    <xf numFmtId="0" fontId="8" fillId="0" borderId="2" xfId="0" applyFont="1" applyFill="1" applyBorder="1" applyAlignment="1">
      <alignment horizontal="left" vertical="top"/>
    </xf>
    <xf numFmtId="0" fontId="9" fillId="0" borderId="2" xfId="9" applyNumberFormat="1" applyFont="1" applyFill="1" applyBorder="1" applyAlignment="1">
      <alignment horizontal="left" vertical="top"/>
    </xf>
    <xf numFmtId="0" fontId="8" fillId="0" borderId="2" xfId="0" applyNumberFormat="1" applyFont="1" applyBorder="1" applyAlignment="1">
      <alignment horizontal="left" vertical="center"/>
    </xf>
    <xf numFmtId="0" fontId="8" fillId="0" borderId="5" xfId="0" applyNumberFormat="1" applyFont="1" applyBorder="1" applyAlignment="1">
      <alignment horizontal="left" vertical="center"/>
    </xf>
    <xf numFmtId="0" fontId="8" fillId="0" borderId="2" xfId="17" applyNumberFormat="1" applyFont="1" applyBorder="1" applyAlignment="1">
      <alignment horizontal="left" vertical="top"/>
    </xf>
    <xf numFmtId="0" fontId="8" fillId="0" borderId="2" xfId="9" applyNumberFormat="1" applyFont="1" applyBorder="1" applyAlignment="1">
      <alignment horizontal="left" vertical="top"/>
    </xf>
    <xf numFmtId="0" fontId="8" fillId="3" borderId="2" xfId="0" applyFont="1" applyFill="1" applyBorder="1" applyAlignment="1">
      <alignment horizontal="left" vertical="top"/>
    </xf>
    <xf numFmtId="0" fontId="9" fillId="2" borderId="2" xfId="17" applyNumberFormat="1" applyFont="1" applyFill="1" applyBorder="1" applyAlignment="1">
      <alignment horizontal="center" vertical="top"/>
    </xf>
    <xf numFmtId="49" fontId="9" fillId="2" borderId="2" xfId="17" applyNumberFormat="1" applyFont="1" applyFill="1" applyBorder="1" applyAlignment="1">
      <alignment horizontal="center" vertical="top"/>
    </xf>
    <xf numFmtId="49" fontId="0" fillId="5" borderId="2" xfId="0" applyNumberFormat="1" applyFill="1" applyBorder="1">
      <alignment vertical="center"/>
    </xf>
    <xf numFmtId="49" fontId="0" fillId="0" borderId="2" xfId="0" applyNumberFormat="1" applyFill="1" applyBorder="1">
      <alignment vertical="center"/>
    </xf>
    <xf numFmtId="0" fontId="8" fillId="6" borderId="2" xfId="0" applyFont="1" applyFill="1" applyBorder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0" borderId="0" xfId="17" applyNumberFormat="1" applyFont="1" applyBorder="1" applyAlignment="1">
      <alignment horizontal="left" vertical="top"/>
    </xf>
    <xf numFmtId="0" fontId="9" fillId="5" borderId="0" xfId="17" applyNumberFormat="1" applyFont="1" applyFill="1" applyBorder="1" applyAlignment="1">
      <alignment horizontal="left" vertical="top"/>
    </xf>
    <xf numFmtId="0" fontId="9" fillId="0" borderId="0" xfId="17" applyNumberFormat="1" applyFont="1" applyFill="1" applyBorder="1" applyAlignment="1">
      <alignment horizontal="left" vertical="top"/>
    </xf>
    <xf numFmtId="0" fontId="8" fillId="0" borderId="0" xfId="17" applyNumberFormat="1" applyFont="1" applyBorder="1" applyAlignment="1">
      <alignment horizontal="left" vertical="top"/>
    </xf>
    <xf numFmtId="0" fontId="2" fillId="0" borderId="2" xfId="17" applyNumberFormat="1" applyFill="1" applyBorder="1" applyAlignment="1">
      <alignment horizontal="left" vertical="center"/>
    </xf>
    <xf numFmtId="0" fontId="10" fillId="0" borderId="2" xfId="9" applyNumberFormat="1" applyFont="1" applyBorder="1" applyAlignment="1">
      <alignment horizontal="left" vertical="top"/>
    </xf>
    <xf numFmtId="0" fontId="0" fillId="0" borderId="2" xfId="0" applyFill="1" applyBorder="1" applyAlignment="1">
      <alignment vertical="center" wrapText="1"/>
    </xf>
    <xf numFmtId="0" fontId="10" fillId="0" borderId="2" xfId="17" applyFont="1" applyBorder="1" applyAlignment="1">
      <alignment horizontal="left" vertical="top"/>
    </xf>
    <xf numFmtId="0" fontId="11" fillId="0" borderId="2" xfId="0" applyFont="1" applyFill="1" applyBorder="1">
      <alignment vertical="center"/>
    </xf>
    <xf numFmtId="0" fontId="0" fillId="0" borderId="2" xfId="0" applyFill="1" applyBorder="1">
      <alignment vertical="center"/>
    </xf>
    <xf numFmtId="0" fontId="12" fillId="0" borderId="2" xfId="17" applyNumberFormat="1" applyFont="1" applyFill="1" applyBorder="1" applyAlignment="1">
      <alignment horizontal="left" vertical="center"/>
    </xf>
    <xf numFmtId="0" fontId="13" fillId="0" borderId="2" xfId="0" applyFont="1" applyFill="1" applyBorder="1">
      <alignment vertical="center"/>
    </xf>
    <xf numFmtId="0" fontId="11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14" fillId="0" borderId="2" xfId="9" applyNumberFormat="1" applyFont="1" applyBorder="1" applyAlignment="1">
      <alignment horizontal="left" vertical="top"/>
    </xf>
    <xf numFmtId="0" fontId="8" fillId="0" borderId="2" xfId="17" applyFont="1" applyBorder="1" applyAlignment="1">
      <alignment horizontal="left" vertical="top"/>
    </xf>
    <xf numFmtId="0" fontId="9" fillId="0" borderId="2" xfId="9" applyNumberFormat="1" applyFont="1" applyBorder="1" applyAlignment="1">
      <alignment horizontal="left" vertical="top" wrapText="1"/>
    </xf>
    <xf numFmtId="0" fontId="10" fillId="0" borderId="2" xfId="17" applyNumberFormat="1" applyFont="1" applyBorder="1" applyAlignment="1">
      <alignment horizontal="left" vertical="top"/>
    </xf>
    <xf numFmtId="0" fontId="8" fillId="7" borderId="2" xfId="0" applyFont="1" applyFill="1" applyBorder="1" applyAlignment="1">
      <alignment horizontal="left" vertical="top"/>
    </xf>
    <xf numFmtId="49" fontId="9" fillId="7" borderId="2" xfId="17" applyNumberFormat="1" applyFont="1" applyFill="1" applyBorder="1" applyAlignment="1">
      <alignment horizontal="left" vertical="top"/>
    </xf>
    <xf numFmtId="0" fontId="8" fillId="7" borderId="2" xfId="17" applyFont="1" applyFill="1" applyBorder="1" applyAlignment="1">
      <alignment horizontal="left" vertical="top"/>
    </xf>
    <xf numFmtId="0" fontId="15" fillId="0" borderId="2" xfId="9" applyNumberFormat="1" applyFont="1" applyBorder="1" applyAlignment="1">
      <alignment horizontal="left" vertical="top"/>
    </xf>
    <xf numFmtId="0" fontId="8" fillId="0" borderId="2" xfId="0" applyNumberFormat="1" applyFont="1" applyBorder="1" applyAlignment="1">
      <alignment horizontal="left" vertical="top"/>
    </xf>
    <xf numFmtId="49" fontId="10" fillId="0" borderId="2" xfId="0" applyNumberFormat="1" applyFont="1" applyBorder="1" applyAlignment="1">
      <alignment horizontal="left" vertical="top"/>
    </xf>
    <xf numFmtId="0" fontId="8" fillId="0" borderId="0" xfId="17" applyFont="1" applyAlignment="1">
      <alignment horizontal="left" vertical="top"/>
    </xf>
    <xf numFmtId="0" fontId="16" fillId="0" borderId="0" xfId="0" applyFont="1">
      <alignment vertical="center"/>
    </xf>
    <xf numFmtId="49" fontId="8" fillId="7" borderId="2" xfId="0" applyNumberFormat="1" applyFont="1" applyFill="1" applyBorder="1" applyAlignment="1">
      <alignment horizontal="left" vertical="top"/>
    </xf>
    <xf numFmtId="49" fontId="8" fillId="0" borderId="2" xfId="0" applyNumberFormat="1" applyFont="1" applyBorder="1" applyAlignment="1">
      <alignment horizontal="left" vertical="top"/>
    </xf>
    <xf numFmtId="49" fontId="9" fillId="0" borderId="2" xfId="17" applyNumberFormat="1" applyFont="1" applyBorder="1" applyAlignment="1">
      <alignment horizontal="left" vertical="top"/>
    </xf>
    <xf numFmtId="0" fontId="8" fillId="7" borderId="0" xfId="0" applyFont="1" applyFill="1" applyBorder="1" applyAlignment="1">
      <alignment horizontal="left" vertical="top"/>
    </xf>
    <xf numFmtId="49" fontId="9" fillId="0" borderId="0" xfId="17" applyNumberFormat="1" applyFont="1" applyBorder="1" applyAlignment="1">
      <alignment horizontal="left" vertical="top"/>
    </xf>
    <xf numFmtId="0" fontId="8" fillId="8" borderId="2" xfId="17" applyNumberFormat="1" applyFont="1" applyFill="1" applyBorder="1" applyAlignment="1">
      <alignment horizontal="left" vertical="top"/>
    </xf>
    <xf numFmtId="0" fontId="8" fillId="8" borderId="0" xfId="17" applyNumberFormat="1" applyFont="1" applyFill="1" applyBorder="1" applyAlignment="1">
      <alignment horizontal="left" vertical="top"/>
    </xf>
    <xf numFmtId="0" fontId="17" fillId="0" borderId="0" xfId="0" applyFont="1">
      <alignment vertical="center"/>
    </xf>
    <xf numFmtId="0" fontId="9" fillId="7" borderId="2" xfId="17" applyNumberFormat="1" applyFont="1" applyFill="1" applyBorder="1" applyAlignment="1">
      <alignment horizontal="left" vertical="top"/>
    </xf>
    <xf numFmtId="0" fontId="9" fillId="7" borderId="2" xfId="9" applyNumberFormat="1" applyFont="1" applyFill="1" applyBorder="1" applyAlignment="1">
      <alignment horizontal="left" vertical="top"/>
    </xf>
    <xf numFmtId="0" fontId="8" fillId="0" borderId="0" xfId="0" applyNumberFormat="1" applyFont="1" applyAlignment="1">
      <alignment horizontal="left" vertical="top"/>
    </xf>
    <xf numFmtId="49" fontId="8" fillId="0" borderId="5" xfId="0" applyNumberFormat="1" applyFont="1" applyBorder="1" applyAlignment="1">
      <alignment horizontal="left" vertical="top"/>
    </xf>
    <xf numFmtId="49" fontId="8" fillId="0" borderId="7" xfId="0" applyNumberFormat="1" applyFont="1" applyBorder="1" applyAlignment="1">
      <alignment horizontal="left" vertical="top"/>
    </xf>
    <xf numFmtId="0" fontId="8" fillId="0" borderId="7" xfId="0" applyNumberFormat="1" applyFont="1" applyBorder="1" applyAlignment="1">
      <alignment horizontal="left" vertical="top"/>
    </xf>
    <xf numFmtId="0" fontId="9" fillId="9" borderId="2" xfId="17" applyNumberFormat="1" applyFont="1" applyFill="1" applyBorder="1" applyAlignment="1">
      <alignment horizontal="left" vertical="top"/>
    </xf>
    <xf numFmtId="0" fontId="9" fillId="9" borderId="0" xfId="17" applyNumberFormat="1" applyFont="1" applyFill="1" applyBorder="1" applyAlignment="1">
      <alignment horizontal="left" vertical="top"/>
    </xf>
    <xf numFmtId="0" fontId="9" fillId="7" borderId="0" xfId="17" applyNumberFormat="1" applyFont="1" applyFill="1" applyBorder="1" applyAlignment="1">
      <alignment horizontal="left" vertical="top"/>
    </xf>
    <xf numFmtId="0" fontId="8" fillId="0" borderId="0" xfId="0" applyNumberFormat="1" applyFont="1" applyFill="1" applyAlignment="1">
      <alignment horizontal="left" vertical="top"/>
    </xf>
    <xf numFmtId="0" fontId="8" fillId="0" borderId="5" xfId="0" applyFont="1" applyBorder="1" applyAlignment="1">
      <alignment horizontal="left" vertical="top"/>
    </xf>
    <xf numFmtId="0" fontId="8" fillId="0" borderId="5" xfId="17" applyFont="1" applyBorder="1" applyAlignment="1">
      <alignment horizontal="left" vertical="top"/>
    </xf>
    <xf numFmtId="0" fontId="8" fillId="0" borderId="7" xfId="0" applyFont="1" applyBorder="1" applyAlignment="1">
      <alignment horizontal="left" vertical="top"/>
    </xf>
    <xf numFmtId="0" fontId="8" fillId="0" borderId="7" xfId="17" applyFont="1" applyBorder="1" applyAlignment="1">
      <alignment horizontal="left" vertical="top"/>
    </xf>
    <xf numFmtId="0" fontId="8" fillId="0" borderId="7" xfId="0" applyFont="1" applyFill="1" applyBorder="1" applyAlignment="1">
      <alignment horizontal="left" vertical="top"/>
    </xf>
    <xf numFmtId="0" fontId="10" fillId="0" borderId="0" xfId="0" applyFont="1" applyFill="1" applyAlignment="1">
      <alignment horizontal="left" vertical="top"/>
    </xf>
    <xf numFmtId="0" fontId="8" fillId="0" borderId="7" xfId="17" applyFont="1" applyFill="1" applyBorder="1" applyAlignment="1">
      <alignment horizontal="left" vertical="top"/>
    </xf>
    <xf numFmtId="0" fontId="15" fillId="0" borderId="2" xfId="0" applyFont="1" applyBorder="1" applyAlignment="1">
      <alignment horizontal="left" vertical="top"/>
    </xf>
    <xf numFmtId="0" fontId="15" fillId="0" borderId="0" xfId="0" applyNumberFormat="1" applyFont="1" applyAlignment="1">
      <alignment horizontal="left" vertical="top"/>
    </xf>
    <xf numFmtId="0" fontId="15" fillId="0" borderId="0" xfId="0" applyNumberFormat="1" applyFont="1" applyFill="1" applyAlignment="1">
      <alignment horizontal="left" vertical="top"/>
    </xf>
    <xf numFmtId="0" fontId="8" fillId="7" borderId="7" xfId="0" applyFont="1" applyFill="1" applyBorder="1" applyAlignment="1">
      <alignment horizontal="left" vertical="top"/>
    </xf>
    <xf numFmtId="49" fontId="9" fillId="7" borderId="7" xfId="17" applyNumberFormat="1" applyFont="1" applyFill="1" applyBorder="1" applyAlignment="1">
      <alignment horizontal="left" vertical="top"/>
    </xf>
    <xf numFmtId="0" fontId="8" fillId="7" borderId="7" xfId="17" applyFont="1" applyFill="1" applyBorder="1" applyAlignment="1">
      <alignment horizontal="left" vertical="top"/>
    </xf>
    <xf numFmtId="0" fontId="9" fillId="7" borderId="7" xfId="17" applyNumberFormat="1" applyFont="1" applyFill="1" applyBorder="1" applyAlignment="1">
      <alignment horizontal="left" vertical="top"/>
    </xf>
    <xf numFmtId="0" fontId="8" fillId="0" borderId="5" xfId="0" applyNumberFormat="1" applyFont="1" applyBorder="1" applyAlignment="1">
      <alignment horizontal="left" vertical="top"/>
    </xf>
    <xf numFmtId="0" fontId="8" fillId="0" borderId="4" xfId="0" applyNumberFormat="1" applyFont="1" applyBorder="1" applyAlignment="1">
      <alignment horizontal="left" vertical="top"/>
    </xf>
    <xf numFmtId="49" fontId="0" fillId="0" borderId="5" xfId="0" applyNumberFormat="1" applyBorder="1">
      <alignment vertical="center"/>
    </xf>
    <xf numFmtId="49" fontId="0" fillId="0" borderId="7" xfId="0" applyNumberFormat="1" applyBorder="1">
      <alignment vertical="center"/>
    </xf>
    <xf numFmtId="0" fontId="8" fillId="0" borderId="7" xfId="0" applyNumberFormat="1" applyFont="1" applyFill="1" applyBorder="1" applyAlignment="1">
      <alignment horizontal="left" vertical="top"/>
    </xf>
    <xf numFmtId="49" fontId="0" fillId="0" borderId="7" xfId="0" applyNumberFormat="1" applyFill="1" applyBorder="1">
      <alignment vertical="center"/>
    </xf>
    <xf numFmtId="0" fontId="8" fillId="0" borderId="5" xfId="0" applyFont="1" applyFill="1" applyBorder="1" applyAlignment="1">
      <alignment horizontal="left" vertical="top"/>
    </xf>
    <xf numFmtId="49" fontId="8" fillId="7" borderId="7" xfId="0" applyNumberFormat="1" applyFont="1" applyFill="1" applyBorder="1" applyAlignment="1">
      <alignment horizontal="left" vertical="top"/>
    </xf>
    <xf numFmtId="49" fontId="8" fillId="0" borderId="2" xfId="0" applyNumberFormat="1" applyFont="1" applyFill="1" applyBorder="1" applyAlignment="1">
      <alignment horizontal="left" vertical="top"/>
    </xf>
    <xf numFmtId="49" fontId="9" fillId="0" borderId="7" xfId="17" applyNumberFormat="1" applyFont="1" applyFill="1" applyBorder="1" applyAlignment="1">
      <alignment horizontal="left" vertical="top"/>
    </xf>
    <xf numFmtId="0" fontId="0" fillId="0" borderId="0" xfId="17" applyFont="1">
      <alignment vertical="center"/>
    </xf>
    <xf numFmtId="0" fontId="8" fillId="0" borderId="2" xfId="17" applyFont="1" applyFill="1" applyBorder="1" applyAlignment="1">
      <alignment horizontal="left" vertical="top"/>
    </xf>
    <xf numFmtId="0" fontId="8" fillId="0" borderId="2" xfId="0" applyNumberFormat="1" applyFont="1" applyFill="1" applyBorder="1" applyAlignment="1">
      <alignment horizontal="left" vertical="top"/>
    </xf>
    <xf numFmtId="0" fontId="8" fillId="0" borderId="4" xfId="0" applyNumberFormat="1" applyFont="1" applyFill="1" applyBorder="1" applyAlignment="1">
      <alignment horizontal="left" vertical="top"/>
    </xf>
    <xf numFmtId="49" fontId="9" fillId="0" borderId="2" xfId="17" applyNumberFormat="1" applyFont="1" applyFill="1" applyBorder="1" applyAlignment="1">
      <alignment horizontal="left" vertical="top"/>
    </xf>
    <xf numFmtId="0" fontId="8" fillId="0" borderId="0" xfId="0" applyFont="1" applyFill="1" applyBorder="1" applyAlignment="1">
      <alignment horizontal="center" vertical="center"/>
    </xf>
    <xf numFmtId="0" fontId="8" fillId="5" borderId="2" xfId="17" applyFont="1" applyFill="1" applyBorder="1" applyAlignment="1">
      <alignment horizontal="left" vertical="top"/>
    </xf>
    <xf numFmtId="0" fontId="8" fillId="0" borderId="2" xfId="17" applyNumberFormat="1" applyFont="1" applyFill="1" applyBorder="1" applyAlignment="1">
      <alignment horizontal="left" vertical="top"/>
    </xf>
    <xf numFmtId="0" fontId="10" fillId="0" borderId="2" xfId="17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0" borderId="0" xfId="0" applyFont="1">
      <alignment vertical="center"/>
    </xf>
    <xf numFmtId="0" fontId="8" fillId="10" borderId="0" xfId="0" applyFont="1" applyFill="1">
      <alignment vertical="center"/>
    </xf>
    <xf numFmtId="0" fontId="8" fillId="11" borderId="0" xfId="0" applyFont="1" applyFill="1">
      <alignment vertical="center"/>
    </xf>
    <xf numFmtId="0" fontId="9" fillId="12" borderId="2" xfId="17" applyNumberFormat="1" applyFont="1" applyFill="1" applyBorder="1" applyAlignment="1">
      <alignment horizontal="left" vertical="top"/>
    </xf>
    <xf numFmtId="0" fontId="9" fillId="12" borderId="0" xfId="17" applyNumberFormat="1" applyFont="1" applyFill="1" applyBorder="1" applyAlignment="1">
      <alignment horizontal="left" vertical="top"/>
    </xf>
    <xf numFmtId="0" fontId="9" fillId="13" borderId="2" xfId="17" applyNumberFormat="1" applyFont="1" applyFill="1" applyBorder="1" applyAlignment="1">
      <alignment horizontal="left" vertical="top"/>
    </xf>
    <xf numFmtId="0" fontId="9" fillId="13" borderId="0" xfId="17" applyNumberFormat="1" applyFont="1" applyFill="1" applyBorder="1" applyAlignment="1">
      <alignment horizontal="left" vertical="top"/>
    </xf>
    <xf numFmtId="0" fontId="8" fillId="14" borderId="0" xfId="0" applyFont="1" applyFill="1">
      <alignment vertical="center"/>
    </xf>
    <xf numFmtId="0" fontId="3" fillId="0" borderId="0" xfId="4" quotePrefix="1"/>
    <xf numFmtId="0" fontId="25" fillId="0" borderId="8" xfId="0" applyNumberFormat="1" applyFont="1" applyFill="1" applyBorder="1" applyAlignment="1">
      <alignment horizontal="left" vertical="center"/>
    </xf>
    <xf numFmtId="0" fontId="25" fillId="0" borderId="2" xfId="0" applyNumberFormat="1" applyFont="1" applyFill="1" applyBorder="1" applyAlignment="1">
      <alignment horizontal="left" vertical="center"/>
    </xf>
    <xf numFmtId="0" fontId="19" fillId="0" borderId="0" xfId="46" applyNumberFormat="1" applyFont="1"/>
    <xf numFmtId="0" fontId="8" fillId="7" borderId="2" xfId="0" applyNumberFormat="1" applyFont="1" applyFill="1" applyBorder="1" applyAlignment="1">
      <alignment horizontal="left" vertical="top"/>
    </xf>
    <xf numFmtId="0" fontId="8" fillId="7" borderId="2" xfId="17" applyNumberFormat="1" applyFont="1" applyFill="1" applyBorder="1" applyAlignment="1">
      <alignment horizontal="left" vertical="top"/>
    </xf>
    <xf numFmtId="0" fontId="8" fillId="7" borderId="0" xfId="0" applyNumberFormat="1" applyFont="1" applyFill="1" applyBorder="1" applyAlignment="1">
      <alignment horizontal="left" vertical="top"/>
    </xf>
    <xf numFmtId="0" fontId="3" fillId="0" borderId="0" xfId="20" applyNumberFormat="1"/>
    <xf numFmtId="0" fontId="20" fillId="0" borderId="0" xfId="16" applyNumberFormat="1" applyFont="1"/>
    <xf numFmtId="0" fontId="3" fillId="0" borderId="0" xfId="23" applyNumberFormat="1"/>
    <xf numFmtId="0" fontId="3" fillId="0" borderId="0" xfId="14" applyNumberFormat="1"/>
    <xf numFmtId="0" fontId="19" fillId="0" borderId="0" xfId="23" applyNumberFormat="1" applyFont="1"/>
    <xf numFmtId="0" fontId="28" fillId="0" borderId="0" xfId="82"/>
    <xf numFmtId="0" fontId="28" fillId="0" borderId="0" xfId="85"/>
    <xf numFmtId="0" fontId="28" fillId="0" borderId="0" xfId="100"/>
    <xf numFmtId="0" fontId="28" fillId="0" borderId="0" xfId="173"/>
    <xf numFmtId="0" fontId="28" fillId="0" borderId="0" xfId="197"/>
    <xf numFmtId="0" fontId="28" fillId="0" borderId="0" xfId="217"/>
    <xf numFmtId="0" fontId="28" fillId="0" borderId="0" xfId="233"/>
    <xf numFmtId="0" fontId="2" fillId="0" borderId="9" xfId="17" applyNumberFormat="1" applyFill="1" applyBorder="1" applyAlignment="1">
      <alignment horizontal="left" vertical="center"/>
    </xf>
    <xf numFmtId="0" fontId="0" fillId="0" borderId="9" xfId="0" applyFill="1" applyBorder="1" applyAlignment="1">
      <alignment vertical="center" wrapText="1"/>
    </xf>
    <xf numFmtId="0" fontId="9" fillId="0" borderId="9" xfId="17" applyNumberFormat="1" applyFont="1" applyBorder="1" applyAlignment="1">
      <alignment horizontal="left" vertical="top"/>
    </xf>
    <xf numFmtId="0" fontId="10" fillId="0" borderId="9" xfId="9" applyNumberFormat="1" applyFont="1" applyBorder="1" applyAlignment="1">
      <alignment horizontal="left" vertical="top"/>
    </xf>
    <xf numFmtId="49" fontId="0" fillId="0" borderId="9" xfId="0" applyNumberFormat="1" applyBorder="1">
      <alignment vertical="center"/>
    </xf>
    <xf numFmtId="0" fontId="8" fillId="0" borderId="9" xfId="0" applyFont="1" applyBorder="1" applyAlignment="1">
      <alignment horizontal="left" vertical="top"/>
    </xf>
    <xf numFmtId="0" fontId="9" fillId="0" borderId="9" xfId="17" applyNumberFormat="1" applyFont="1" applyFill="1" applyBorder="1" applyAlignment="1">
      <alignment horizontal="left" vertical="top"/>
    </xf>
    <xf numFmtId="0" fontId="9" fillId="0" borderId="9" xfId="9" applyNumberFormat="1" applyFont="1" applyBorder="1" applyAlignment="1">
      <alignment horizontal="left" vertical="top"/>
    </xf>
    <xf numFmtId="0" fontId="8" fillId="0" borderId="9" xfId="17" applyFont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18" fillId="0" borderId="10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8" fillId="4" borderId="10" xfId="0" applyFont="1" applyFill="1" applyBorder="1" applyAlignment="1">
      <alignment vertical="center"/>
    </xf>
    <xf numFmtId="0" fontId="18" fillId="0" borderId="10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8" fillId="4" borderId="10" xfId="0" applyFont="1" applyFill="1" applyBorder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49" fontId="8" fillId="0" borderId="10" xfId="0" applyNumberFormat="1" applyFont="1" applyBorder="1" applyAlignment="1">
      <alignment horizontal="left" vertical="center"/>
    </xf>
    <xf numFmtId="49" fontId="8" fillId="4" borderId="10" xfId="0" applyNumberFormat="1" applyFont="1" applyFill="1" applyBorder="1" applyAlignment="1">
      <alignment horizontal="left" vertical="center"/>
    </xf>
    <xf numFmtId="0" fontId="10" fillId="0" borderId="10" xfId="0" applyFont="1" applyFill="1" applyBorder="1" applyAlignment="1">
      <alignment horizontal="left" vertical="center"/>
    </xf>
    <xf numFmtId="0" fontId="8" fillId="0" borderId="10" xfId="0" applyFont="1" applyFill="1" applyBorder="1" applyAlignment="1">
      <alignment horizontal="left" vertical="center"/>
    </xf>
    <xf numFmtId="0" fontId="10" fillId="4" borderId="10" xfId="0" applyFont="1" applyFill="1" applyBorder="1" applyAlignment="1">
      <alignment horizontal="left" vertical="center"/>
    </xf>
    <xf numFmtId="49" fontId="15" fillId="0" borderId="10" xfId="0" applyNumberFormat="1" applyFont="1" applyBorder="1" applyAlignment="1">
      <alignment horizontal="left" vertical="center"/>
    </xf>
    <xf numFmtId="0" fontId="15" fillId="0" borderId="10" xfId="0" applyFont="1" applyFill="1" applyBorder="1" applyAlignment="1">
      <alignment horizontal="left" vertical="center"/>
    </xf>
    <xf numFmtId="0" fontId="15" fillId="0" borderId="10" xfId="0" applyFont="1" applyBorder="1" applyAlignment="1">
      <alignment horizontal="left" vertical="center"/>
    </xf>
    <xf numFmtId="49" fontId="8" fillId="0" borderId="10" xfId="0" applyNumberFormat="1" applyFont="1" applyFill="1" applyBorder="1" applyAlignment="1">
      <alignment horizontal="left" vertical="center"/>
    </xf>
    <xf numFmtId="49" fontId="31" fillId="0" borderId="10" xfId="0" applyNumberFormat="1" applyFont="1" applyBorder="1" applyAlignment="1">
      <alignment horizontal="left" vertical="center"/>
    </xf>
    <xf numFmtId="49" fontId="31" fillId="0" borderId="10" xfId="0" applyNumberFormat="1" applyFont="1" applyFill="1" applyBorder="1" applyAlignment="1">
      <alignment horizontal="left" vertical="center"/>
    </xf>
    <xf numFmtId="49" fontId="10" fillId="0" borderId="10" xfId="0" applyNumberFormat="1" applyFont="1" applyFill="1" applyBorder="1" applyAlignment="1">
      <alignment horizontal="left" vertical="center"/>
    </xf>
    <xf numFmtId="49" fontId="14" fillId="0" borderId="10" xfId="0" applyNumberFormat="1" applyFont="1" applyFill="1" applyBorder="1" applyAlignment="1">
      <alignment horizontal="left" vertical="center"/>
    </xf>
    <xf numFmtId="49" fontId="15" fillId="0" borderId="10" xfId="0" applyNumberFormat="1" applyFont="1" applyFill="1" applyBorder="1" applyAlignment="1">
      <alignment horizontal="left" vertical="center"/>
    </xf>
    <xf numFmtId="49" fontId="9" fillId="7" borderId="10" xfId="17" applyNumberFormat="1" applyFont="1" applyFill="1" applyBorder="1" applyAlignment="1">
      <alignment horizontal="left" vertical="top"/>
    </xf>
    <xf numFmtId="0" fontId="8" fillId="7" borderId="10" xfId="0" applyFont="1" applyFill="1" applyBorder="1" applyAlignment="1">
      <alignment horizontal="left" vertical="top"/>
    </xf>
    <xf numFmtId="49" fontId="14" fillId="0" borderId="10" xfId="0" applyNumberFormat="1" applyFont="1" applyBorder="1" applyAlignment="1">
      <alignment horizontal="left" vertical="center"/>
    </xf>
    <xf numFmtId="49" fontId="18" fillId="0" borderId="10" xfId="0" applyNumberFormat="1" applyFont="1" applyFill="1" applyBorder="1" applyAlignment="1">
      <alignment horizontal="left" vertical="center"/>
    </xf>
    <xf numFmtId="0" fontId="8" fillId="0" borderId="10" xfId="0" applyFont="1" applyFill="1" applyBorder="1" applyAlignment="1">
      <alignment horizontal="left" vertical="top"/>
    </xf>
    <xf numFmtId="0" fontId="10" fillId="0" borderId="10" xfId="0" applyFont="1" applyFill="1" applyBorder="1" applyAlignment="1">
      <alignment horizontal="left" vertical="top"/>
    </xf>
    <xf numFmtId="0" fontId="8" fillId="0" borderId="10" xfId="0" applyFont="1" applyBorder="1" applyAlignment="1">
      <alignment horizontal="left" vertical="top"/>
    </xf>
    <xf numFmtId="0" fontId="8" fillId="0" borderId="10" xfId="17" applyFont="1" applyBorder="1" applyAlignment="1">
      <alignment horizontal="left" vertical="top"/>
    </xf>
    <xf numFmtId="0" fontId="8" fillId="0" borderId="7" xfId="0" applyFont="1" applyFill="1" applyBorder="1" applyAlignment="1">
      <alignment horizontal="left" vertical="center"/>
    </xf>
    <xf numFmtId="0" fontId="14" fillId="0" borderId="0" xfId="0" applyNumberFormat="1" applyFont="1" applyAlignment="1">
      <alignment horizontal="left" vertical="top"/>
    </xf>
    <xf numFmtId="0" fontId="14" fillId="0" borderId="0" xfId="0" applyNumberFormat="1" applyFont="1" applyFill="1" applyAlignment="1">
      <alignment horizontal="left" vertical="top"/>
    </xf>
    <xf numFmtId="0" fontId="14" fillId="0" borderId="7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horizontal="left" vertical="center"/>
    </xf>
    <xf numFmtId="0" fontId="8" fillId="0" borderId="10" xfId="0" applyFont="1" applyBorder="1" applyAlignment="1">
      <alignment vertical="center"/>
    </xf>
    <xf numFmtId="0" fontId="14" fillId="0" borderId="10" xfId="0" applyFont="1" applyFill="1" applyBorder="1" applyAlignment="1">
      <alignment horizontal="left" vertical="top"/>
    </xf>
    <xf numFmtId="0" fontId="2" fillId="0" borderId="10" xfId="17" applyNumberFormat="1" applyFill="1" applyBorder="1" applyAlignment="1">
      <alignment horizontal="left" vertical="center"/>
    </xf>
    <xf numFmtId="0" fontId="0" fillId="0" borderId="10" xfId="0" applyFill="1" applyBorder="1" applyAlignment="1">
      <alignment vertical="center" wrapText="1"/>
    </xf>
    <xf numFmtId="0" fontId="9" fillId="0" borderId="10" xfId="17" applyNumberFormat="1" applyFont="1" applyBorder="1" applyAlignment="1">
      <alignment horizontal="left" vertical="top"/>
    </xf>
    <xf numFmtId="0" fontId="10" fillId="0" borderId="10" xfId="9" applyNumberFormat="1" applyFont="1" applyBorder="1" applyAlignment="1">
      <alignment horizontal="left" vertical="top"/>
    </xf>
    <xf numFmtId="49" fontId="0" fillId="0" borderId="10" xfId="0" applyNumberFormat="1" applyBorder="1">
      <alignment vertical="center"/>
    </xf>
    <xf numFmtId="0" fontId="5" fillId="5" borderId="10" xfId="0" applyNumberFormat="1" applyFont="1" applyFill="1" applyBorder="1" applyAlignment="1">
      <alignment horizontal="left" vertical="center"/>
    </xf>
    <xf numFmtId="0" fontId="5" fillId="0" borderId="8" xfId="0" applyNumberFormat="1" applyFont="1" applyFill="1" applyBorder="1" applyAlignment="1">
      <alignment horizontal="left" vertical="center"/>
    </xf>
    <xf numFmtId="0" fontId="5" fillId="0" borderId="10" xfId="0" applyNumberFormat="1" applyFont="1" applyFill="1" applyBorder="1" applyAlignment="1">
      <alignment horizontal="left" vertical="center"/>
    </xf>
    <xf numFmtId="0" fontId="8" fillId="0" borderId="10" xfId="0" applyNumberFormat="1" applyFont="1" applyFill="1" applyBorder="1" applyAlignment="1">
      <alignment horizontal="left" vertical="center"/>
    </xf>
    <xf numFmtId="0" fontId="8" fillId="0" borderId="10" xfId="0" applyNumberFormat="1" applyFont="1" applyBorder="1" applyAlignment="1">
      <alignment horizontal="left" vertical="center"/>
    </xf>
  </cellXfs>
  <cellStyles count="240">
    <cellStyle name="常规" xfId="0" builtinId="0"/>
    <cellStyle name="常规 10" xfId="10"/>
    <cellStyle name="常规 11" xfId="11"/>
    <cellStyle name="常规 12" xfId="3"/>
    <cellStyle name="常规 13" xfId="12"/>
    <cellStyle name="常规 14" xfId="13"/>
    <cellStyle name="常规 15" xfId="14"/>
    <cellStyle name="常规 16" xfId="4"/>
    <cellStyle name="常规 17" xfId="15"/>
    <cellStyle name="常规 18" xfId="70"/>
    <cellStyle name="常规 19" xfId="16"/>
    <cellStyle name="常规 2" xfId="17"/>
    <cellStyle name="常规 2 10" xfId="72"/>
    <cellStyle name="常规 2 11" xfId="77"/>
    <cellStyle name="常规 2 12" xfId="84"/>
    <cellStyle name="常规 2 13" xfId="87"/>
    <cellStyle name="常规 2 14" xfId="102"/>
    <cellStyle name="常规 2 15" xfId="103"/>
    <cellStyle name="常规 2 16" xfId="132"/>
    <cellStyle name="常规 2 17" xfId="162"/>
    <cellStyle name="常规 2 18" xfId="124"/>
    <cellStyle name="常规 2 2" xfId="9"/>
    <cellStyle name="常规 2 2 10" xfId="53"/>
    <cellStyle name="常规 2 2 11" xfId="61"/>
    <cellStyle name="常规 2 2 12" xfId="71"/>
    <cellStyle name="常规 2 2 13" xfId="76"/>
    <cellStyle name="常规 2 2 14" xfId="83"/>
    <cellStyle name="常规 2 2 15" xfId="91"/>
    <cellStyle name="常规 2 2 16" xfId="101"/>
    <cellStyle name="常规 2 2 17" xfId="172"/>
    <cellStyle name="常规 2 2 18" xfId="196"/>
    <cellStyle name="常规 2 2 19" xfId="216"/>
    <cellStyle name="常规 2 2 2" xfId="6"/>
    <cellStyle name="常规 2 2 2 10" xfId="153"/>
    <cellStyle name="常规 2 2 2 11" xfId="195"/>
    <cellStyle name="常规 2 2 2 12" xfId="215"/>
    <cellStyle name="常规 2 2 2 13" xfId="231"/>
    <cellStyle name="常规 2 2 2 2" xfId="32"/>
    <cellStyle name="常规 2 2 2 2 10" xfId="99"/>
    <cellStyle name="常规 2 2 2 2 11" xfId="114"/>
    <cellStyle name="常规 2 2 2 2 12" xfId="176"/>
    <cellStyle name="常规 2 2 2 2 13" xfId="200"/>
    <cellStyle name="常规 2 2 2 2 14" xfId="219"/>
    <cellStyle name="常规 2 2 2 2 15" xfId="234"/>
    <cellStyle name="常规 2 2 2 2 2" xfId="38"/>
    <cellStyle name="常规 2 2 2 2 2 2" xfId="137"/>
    <cellStyle name="常规 2 2 2 2 2 2 2" xfId="141"/>
    <cellStyle name="常规 2 2 2 2 2 2 3" xfId="121"/>
    <cellStyle name="常规 2 2 2 2 2 2 4" xfId="183"/>
    <cellStyle name="常规 2 2 2 2 2 2 5" xfId="205"/>
    <cellStyle name="常规 2 2 2 2 2 2 6" xfId="222"/>
    <cellStyle name="常规 2 2 2 2 2 3" xfId="160"/>
    <cellStyle name="常规 2 2 2 2 2 4" xfId="175"/>
    <cellStyle name="常规 2 2 2 2 2 5" xfId="199"/>
    <cellStyle name="常规 2 2 2 2 2 6" xfId="218"/>
    <cellStyle name="常规 2 2 2 2 3" xfId="48"/>
    <cellStyle name="常规 2 2 2 2 4" xfId="56"/>
    <cellStyle name="常规 2 2 2 2 5" xfId="64"/>
    <cellStyle name="常规 2 2 2 2 6" xfId="69"/>
    <cellStyle name="常规 2 2 2 2 7" xfId="79"/>
    <cellStyle name="常规 2 2 2 2 8" xfId="81"/>
    <cellStyle name="常规 2 2 2 2 9" xfId="94"/>
    <cellStyle name="常规 2 2 2 3" xfId="41"/>
    <cellStyle name="常规 2 2 2 3 2" xfId="119"/>
    <cellStyle name="常规 2 2 2 3 2 2" xfId="144"/>
    <cellStyle name="常规 2 2 2 3 2 3" xfId="165"/>
    <cellStyle name="常规 2 2 2 3 2 4" xfId="106"/>
    <cellStyle name="常规 2 2 2 3 2 5" xfId="159"/>
    <cellStyle name="常规 2 2 2 3 2 6" xfId="182"/>
    <cellStyle name="常规 2 2 2 3 3" xfId="194"/>
    <cellStyle name="常规 2 2 2 3 4" xfId="214"/>
    <cellStyle name="常规 2 2 2 3 5" xfId="230"/>
    <cellStyle name="常规 2 2 2 3 6" xfId="239"/>
    <cellStyle name="常规 2 2 2 4" xfId="50"/>
    <cellStyle name="常规 2 2 2 5" xfId="58"/>
    <cellStyle name="常规 2 2 2 6" xfId="65"/>
    <cellStyle name="常规 2 2 2 7" xfId="88"/>
    <cellStyle name="常规 2 2 2 8" xfId="95"/>
    <cellStyle name="常规 2 2 2 9" xfId="107"/>
    <cellStyle name="常规 2 2 20" xfId="232"/>
    <cellStyle name="常规 2 2 3" xfId="7"/>
    <cellStyle name="常规 2 2 4" xfId="1"/>
    <cellStyle name="常规 2 2 4 2" xfId="116"/>
    <cellStyle name="常规 2 2 4 3" xfId="163"/>
    <cellStyle name="常规 2 2 4 4" xfId="169"/>
    <cellStyle name="常规 2 2 4 5" xfId="112"/>
    <cellStyle name="常规 2 2 4 6" xfId="189"/>
    <cellStyle name="常规 2 2 5" xfId="8"/>
    <cellStyle name="常规 2 2 5 2" xfId="120"/>
    <cellStyle name="常规 2 2 5 3" xfId="110"/>
    <cellStyle name="常规 2 2 5 4" xfId="130"/>
    <cellStyle name="常规 2 2 5 5" xfId="188"/>
    <cellStyle name="常规 2 2 5 6" xfId="209"/>
    <cellStyle name="常规 2 2 6" xfId="5"/>
    <cellStyle name="常规 2 2 6 2" xfId="118"/>
    <cellStyle name="常规 2 2 6 3" xfId="149"/>
    <cellStyle name="常规 2 2 6 4" xfId="168"/>
    <cellStyle name="常规 2 2 6 5" xfId="104"/>
    <cellStyle name="常规 2 2 6 6" xfId="186"/>
    <cellStyle name="常规 2 2 7" xfId="26"/>
    <cellStyle name="常规 2 2 8" xfId="31"/>
    <cellStyle name="常规 2 2 9" xfId="44"/>
    <cellStyle name="常规 2 3" xfId="18"/>
    <cellStyle name="常规 2 3 10" xfId="142"/>
    <cellStyle name="常规 2 3 11" xfId="191"/>
    <cellStyle name="常规 2 3 12" xfId="211"/>
    <cellStyle name="常规 2 3 13" xfId="227"/>
    <cellStyle name="常规 2 3 2" xfId="34"/>
    <cellStyle name="常规 2 3 2 2" xfId="126"/>
    <cellStyle name="常规 2 3 2 2 2" xfId="138"/>
    <cellStyle name="常规 2 3 2 2 3" xfId="145"/>
    <cellStyle name="常规 2 3 2 2 4" xfId="152"/>
    <cellStyle name="常规 2 3 2 2 5" xfId="150"/>
    <cellStyle name="常规 2 3 2 2 6" xfId="164"/>
    <cellStyle name="常规 2 3 2 3" xfId="151"/>
    <cellStyle name="常规 2 3 2 4" xfId="157"/>
    <cellStyle name="常规 2 3 2 5" xfId="161"/>
    <cellStyle name="常规 2 3 2 6" xfId="171"/>
    <cellStyle name="常规 2 3 3" xfId="43"/>
    <cellStyle name="常规 2 3 4" xfId="52"/>
    <cellStyle name="常规 2 3 5" xfId="60"/>
    <cellStyle name="常规 2 3 6" xfId="66"/>
    <cellStyle name="常规 2 3 7" xfId="90"/>
    <cellStyle name="常规 2 3 8" xfId="96"/>
    <cellStyle name="常规 2 3 9" xfId="109"/>
    <cellStyle name="常规 2 4" xfId="19"/>
    <cellStyle name="常规 2 4 10" xfId="117"/>
    <cellStyle name="常规 2 4 11" xfId="156"/>
    <cellStyle name="常规 2 4 12" xfId="170"/>
    <cellStyle name="常规 2 4 13" xfId="108"/>
    <cellStyle name="常规 2 4 2" xfId="35"/>
    <cellStyle name="常规 2 4 2 2" xfId="127"/>
    <cellStyle name="常规 2 4 2 2 2" xfId="139"/>
    <cellStyle name="常规 2 4 2 2 3" xfId="146"/>
    <cellStyle name="常规 2 4 2 2 4" xfId="190"/>
    <cellStyle name="常规 2 4 2 2 5" xfId="210"/>
    <cellStyle name="常规 2 4 2 2 6" xfId="226"/>
    <cellStyle name="常规 2 4 2 3" xfId="143"/>
    <cellStyle name="常规 2 4 2 4" xfId="185"/>
    <cellStyle name="常规 2 4 2 5" xfId="207"/>
    <cellStyle name="常规 2 4 2 6" xfId="224"/>
    <cellStyle name="常规 2 4 3" xfId="45"/>
    <cellStyle name="常规 2 4 4" xfId="54"/>
    <cellStyle name="常规 2 4 5" xfId="62"/>
    <cellStyle name="常规 2 4 6" xfId="67"/>
    <cellStyle name="常规 2 4 7" xfId="92"/>
    <cellStyle name="常规 2 4 8" xfId="97"/>
    <cellStyle name="常规 2 4 9" xfId="111"/>
    <cellStyle name="常规 2 5" xfId="27"/>
    <cellStyle name="常规 2 5 2" xfId="125"/>
    <cellStyle name="常规 2 5 2 2" xfId="134"/>
    <cellStyle name="常规 2 5 2 3" xfId="147"/>
    <cellStyle name="常规 2 5 2 4" xfId="179"/>
    <cellStyle name="常规 2 5 2 5" xfId="202"/>
    <cellStyle name="常规 2 5 2 6" xfId="221"/>
    <cellStyle name="常规 2 5 3" xfId="158"/>
    <cellStyle name="常规 2 5 4" xfId="154"/>
    <cellStyle name="常规 2 5 5" xfId="181"/>
    <cellStyle name="常规 2 5 6" xfId="204"/>
    <cellStyle name="常规 2 6" xfId="29"/>
    <cellStyle name="常规 2 7" xfId="40"/>
    <cellStyle name="常规 2 8" xfId="49"/>
    <cellStyle name="常规 2 9" xfId="57"/>
    <cellStyle name="常规 20" xfId="74"/>
    <cellStyle name="常规 21" xfId="36"/>
    <cellStyle name="常规 22" xfId="33"/>
    <cellStyle name="常规 23" xfId="46"/>
    <cellStyle name="常规 24" xfId="82"/>
    <cellStyle name="常规 25" xfId="85"/>
    <cellStyle name="常规 26" xfId="100"/>
    <cellStyle name="常规 27" xfId="173"/>
    <cellStyle name="常规 28" xfId="197"/>
    <cellStyle name="常规 29" xfId="217"/>
    <cellStyle name="常规 3" xfId="20"/>
    <cellStyle name="常规 30" xfId="233"/>
    <cellStyle name="常规 4" xfId="21"/>
    <cellStyle name="常规 4 10" xfId="98"/>
    <cellStyle name="常规 4 11" xfId="113"/>
    <cellStyle name="常规 4 12" xfId="178"/>
    <cellStyle name="常规 4 13" xfId="201"/>
    <cellStyle name="常规 4 14" xfId="220"/>
    <cellStyle name="常规 4 15" xfId="235"/>
    <cellStyle name="常规 4 2" xfId="37"/>
    <cellStyle name="常规 4 2 2" xfId="128"/>
    <cellStyle name="常规 4 2 2 2" xfId="140"/>
    <cellStyle name="常规 4 2 2 3" xfId="133"/>
    <cellStyle name="常规 4 2 2 4" xfId="155"/>
    <cellStyle name="常规 4 2 2 5" xfId="174"/>
    <cellStyle name="常规 4 2 2 6" xfId="198"/>
    <cellStyle name="常规 4 2 3" xfId="135"/>
    <cellStyle name="常规 4 2 4" xfId="192"/>
    <cellStyle name="常规 4 2 5" xfId="212"/>
    <cellStyle name="常规 4 2 6" xfId="228"/>
    <cellStyle name="常规 4 3" xfId="47"/>
    <cellStyle name="常规 4 4" xfId="55"/>
    <cellStyle name="常规 4 5" xfId="63"/>
    <cellStyle name="常规 4 6" xfId="68"/>
    <cellStyle name="常规 4 7" xfId="78"/>
    <cellStyle name="常规 4 8" xfId="80"/>
    <cellStyle name="常规 4 9" xfId="93"/>
    <cellStyle name="常规 5" xfId="22"/>
    <cellStyle name="常规 5 2" xfId="115"/>
    <cellStyle name="常规 5 2 2" xfId="129"/>
    <cellStyle name="常规 5 2 3" xfId="193"/>
    <cellStyle name="常规 5 2 4" xfId="213"/>
    <cellStyle name="常规 5 2 5" xfId="229"/>
    <cellStyle name="常规 5 2 6" xfId="238"/>
    <cellStyle name="常规 5 3" xfId="167"/>
    <cellStyle name="常规 5 4" xfId="122"/>
    <cellStyle name="常规 5 5" xfId="180"/>
    <cellStyle name="常规 5 6" xfId="203"/>
    <cellStyle name="常规 6" xfId="2"/>
    <cellStyle name="常规 7" xfId="23"/>
    <cellStyle name="常规 8" xfId="24"/>
    <cellStyle name="常规 8 10" xfId="184"/>
    <cellStyle name="常规 8 11" xfId="206"/>
    <cellStyle name="常规 8 12" xfId="223"/>
    <cellStyle name="常规 8 13" xfId="236"/>
    <cellStyle name="常规 8 2" xfId="30"/>
    <cellStyle name="常规 8 2 2" xfId="131"/>
    <cellStyle name="常规 8 2 2 2" xfId="136"/>
    <cellStyle name="常规 8 2 2 3" xfId="187"/>
    <cellStyle name="常规 8 2 2 4" xfId="208"/>
    <cellStyle name="常规 8 2 2 5" xfId="225"/>
    <cellStyle name="常规 8 2 2 6" xfId="237"/>
    <cellStyle name="常规 8 2 3" xfId="166"/>
    <cellStyle name="常规 8 2 4" xfId="123"/>
    <cellStyle name="常规 8 2 5" xfId="148"/>
    <cellStyle name="常规 8 2 6" xfId="177"/>
    <cellStyle name="常规 8 3" xfId="39"/>
    <cellStyle name="常规 8 4" xfId="42"/>
    <cellStyle name="常规 8 5" xfId="51"/>
    <cellStyle name="常规 8 6" xfId="59"/>
    <cellStyle name="常规 8 7" xfId="86"/>
    <cellStyle name="常规 8 8" xfId="89"/>
    <cellStyle name="常规 8 9" xfId="105"/>
    <cellStyle name="常规 9" xfId="25"/>
    <cellStyle name="千位分隔 2" xfId="28"/>
    <cellStyle name="千位分隔 2 2" xfId="73"/>
    <cellStyle name="千位分隔 2 3" xfId="75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Z972"/>
  <sheetViews>
    <sheetView tabSelected="1" zoomScale="85" zoomScaleNormal="85" workbookViewId="0">
      <pane xSplit="3" ySplit="1" topLeftCell="D136" activePane="bottomRight" state="frozen"/>
      <selection pane="topRight"/>
      <selection pane="bottomLeft"/>
      <selection pane="bottomRight" activeCell="F151" sqref="F151"/>
    </sheetView>
  </sheetViews>
  <sheetFormatPr defaultRowHeight="16.5"/>
  <cols>
    <col min="1" max="1" width="7.5" style="44" customWidth="1"/>
    <col min="2" max="2" width="9.625" style="44" customWidth="1"/>
    <col min="3" max="3" width="25" style="44" customWidth="1"/>
    <col min="4" max="4" width="45.625" style="44" customWidth="1"/>
    <col min="5" max="6" width="78.625" style="45" bestFit="1" customWidth="1"/>
    <col min="7" max="7" width="9" style="44" customWidth="1"/>
    <col min="8" max="8" width="25.75" style="44" customWidth="1"/>
    <col min="9" max="9" width="13.875" style="44" customWidth="1"/>
    <col min="10" max="10" width="9" style="44" customWidth="1"/>
    <col min="11" max="11" width="78.75" style="8" customWidth="1"/>
    <col min="12" max="12" width="75.375" style="8" customWidth="1"/>
    <col min="13" max="13" width="9" style="44" customWidth="1"/>
    <col min="14" max="14" width="12" style="44" customWidth="1"/>
    <col min="15" max="15" width="9" style="44" customWidth="1"/>
    <col min="16" max="16" width="15" style="44" customWidth="1"/>
    <col min="17" max="18" width="9.5" style="44" customWidth="1"/>
    <col min="19" max="19" width="11.625" style="44" customWidth="1"/>
    <col min="20" max="20" width="17.125" style="44" customWidth="1"/>
    <col min="21" max="21" width="41.875" style="44" customWidth="1"/>
    <col min="22" max="22" width="20.875" style="44" customWidth="1"/>
    <col min="23" max="23" width="9" style="44"/>
    <col min="24" max="24" width="26" style="44" customWidth="1"/>
    <col min="25" max="25" width="9" style="41"/>
    <col min="26" max="16384" width="9" style="44"/>
  </cols>
  <sheetData>
    <row r="1" spans="1:22" ht="33.75" customHeight="1">
      <c r="A1" s="46" t="s">
        <v>0</v>
      </c>
      <c r="B1" s="46" t="s">
        <v>1</v>
      </c>
      <c r="C1" s="46" t="s">
        <v>2</v>
      </c>
      <c r="D1" s="46" t="s">
        <v>3</v>
      </c>
      <c r="E1" s="47" t="s">
        <v>4</v>
      </c>
      <c r="F1" s="47" t="s">
        <v>5</v>
      </c>
      <c r="G1" s="46" t="s">
        <v>6</v>
      </c>
      <c r="H1" s="46" t="s">
        <v>7</v>
      </c>
      <c r="I1" s="61" t="s">
        <v>8</v>
      </c>
      <c r="J1" s="62" t="s">
        <v>9</v>
      </c>
      <c r="K1" s="63" t="s">
        <v>10</v>
      </c>
      <c r="L1" s="63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17</v>
      </c>
      <c r="S1" s="46" t="s">
        <v>18</v>
      </c>
      <c r="T1" s="46" t="s">
        <v>19</v>
      </c>
      <c r="U1" s="46" t="s">
        <v>20</v>
      </c>
      <c r="V1" s="67" t="s">
        <v>21</v>
      </c>
    </row>
    <row r="2" spans="1:22" ht="15" customHeight="1">
      <c r="A2" s="48"/>
      <c r="B2" s="48">
        <v>1</v>
      </c>
      <c r="C2" s="48" t="s">
        <v>22</v>
      </c>
      <c r="D2" s="49" t="s">
        <v>23</v>
      </c>
      <c r="E2" s="50" t="s">
        <v>24</v>
      </c>
      <c r="F2" s="50" t="s">
        <v>24</v>
      </c>
      <c r="G2" s="48">
        <v>1</v>
      </c>
      <c r="H2" s="48">
        <v>1</v>
      </c>
      <c r="I2" s="48"/>
      <c r="J2" s="48"/>
      <c r="K2" s="17"/>
      <c r="L2" s="17"/>
      <c r="M2" s="48">
        <v>4</v>
      </c>
      <c r="N2" s="48">
        <v>210000000</v>
      </c>
      <c r="O2" s="48">
        <v>0</v>
      </c>
      <c r="P2" s="48">
        <v>0</v>
      </c>
      <c r="Q2" s="48">
        <v>0</v>
      </c>
      <c r="R2" s="48"/>
      <c r="S2" s="48">
        <v>0</v>
      </c>
      <c r="T2" s="68"/>
    </row>
    <row r="3" spans="1:22">
      <c r="A3" s="48"/>
      <c r="B3" s="48">
        <v>2</v>
      </c>
      <c r="C3" s="48" t="s">
        <v>25</v>
      </c>
      <c r="D3" s="49" t="s">
        <v>26</v>
      </c>
      <c r="E3" s="50" t="s">
        <v>27</v>
      </c>
      <c r="F3" s="50" t="s">
        <v>27</v>
      </c>
      <c r="G3" s="48">
        <v>1</v>
      </c>
      <c r="H3" s="48">
        <v>2</v>
      </c>
      <c r="I3" s="48"/>
      <c r="J3" s="48"/>
      <c r="K3" s="17"/>
      <c r="L3" s="17"/>
      <c r="M3" s="48">
        <v>2</v>
      </c>
      <c r="N3" s="48">
        <v>210000000</v>
      </c>
      <c r="O3" s="48">
        <v>0</v>
      </c>
      <c r="P3" s="48">
        <v>0</v>
      </c>
      <c r="Q3" s="48">
        <v>0</v>
      </c>
      <c r="R3" s="48"/>
      <c r="S3" s="48">
        <v>0</v>
      </c>
      <c r="T3" s="68"/>
    </row>
    <row r="4" spans="1:22" ht="15" customHeight="1">
      <c r="A4" s="48"/>
      <c r="B4" s="48">
        <v>3</v>
      </c>
      <c r="C4" s="48" t="s">
        <v>28</v>
      </c>
      <c r="D4" s="49" t="s">
        <v>29</v>
      </c>
      <c r="E4" s="50" t="s">
        <v>30</v>
      </c>
      <c r="F4" s="50" t="s">
        <v>30</v>
      </c>
      <c r="G4" s="48">
        <v>1</v>
      </c>
      <c r="H4" s="48"/>
      <c r="I4" s="48"/>
      <c r="J4" s="48"/>
      <c r="K4" s="17"/>
      <c r="L4" s="17"/>
      <c r="M4" s="48">
        <v>3</v>
      </c>
      <c r="N4" s="48">
        <v>210000000</v>
      </c>
      <c r="O4" s="48">
        <v>0</v>
      </c>
      <c r="P4" s="48">
        <v>0</v>
      </c>
      <c r="Q4" s="48">
        <v>0</v>
      </c>
      <c r="R4" s="48"/>
      <c r="S4" s="48">
        <v>0</v>
      </c>
      <c r="T4" s="68"/>
    </row>
    <row r="5" spans="1:22" ht="15" customHeight="1">
      <c r="A5" s="48"/>
      <c r="B5" s="48">
        <v>4</v>
      </c>
      <c r="C5" s="48" t="s">
        <v>31</v>
      </c>
      <c r="D5" s="49" t="s">
        <v>32</v>
      </c>
      <c r="E5" s="50"/>
      <c r="F5" s="50"/>
      <c r="G5" s="48">
        <v>1</v>
      </c>
      <c r="H5" s="48"/>
      <c r="I5" s="48"/>
      <c r="J5" s="48"/>
      <c r="K5" s="17"/>
      <c r="L5" s="17"/>
      <c r="M5" s="48">
        <v>1</v>
      </c>
      <c r="N5" s="48">
        <v>210000000</v>
      </c>
      <c r="O5" s="48">
        <v>0</v>
      </c>
      <c r="P5" s="48">
        <v>0</v>
      </c>
      <c r="Q5" s="48">
        <v>0</v>
      </c>
      <c r="R5" s="48"/>
      <c r="S5" s="48">
        <v>0</v>
      </c>
      <c r="T5" s="68"/>
    </row>
    <row r="6" spans="1:22" ht="15" customHeight="1">
      <c r="A6" s="48"/>
      <c r="B6" s="48">
        <v>5</v>
      </c>
      <c r="C6" s="48" t="s">
        <v>4002</v>
      </c>
      <c r="D6" s="49" t="s">
        <v>33</v>
      </c>
      <c r="E6" s="50" t="s">
        <v>34</v>
      </c>
      <c r="F6" s="50" t="s">
        <v>34</v>
      </c>
      <c r="G6" s="48">
        <v>1</v>
      </c>
      <c r="H6" s="48"/>
      <c r="I6" s="48"/>
      <c r="J6" s="48"/>
      <c r="K6" s="17"/>
      <c r="L6" s="17"/>
      <c r="M6" s="48">
        <v>1</v>
      </c>
      <c r="N6" s="48">
        <v>377100</v>
      </c>
      <c r="O6" s="48">
        <v>0</v>
      </c>
      <c r="P6" s="48">
        <v>0</v>
      </c>
      <c r="Q6" s="48">
        <v>0</v>
      </c>
      <c r="R6" s="48"/>
      <c r="S6" s="48">
        <v>0</v>
      </c>
      <c r="T6" s="68"/>
    </row>
    <row r="7" spans="1:22" ht="15" customHeight="1">
      <c r="A7" s="48"/>
      <c r="B7" s="48">
        <v>6</v>
      </c>
      <c r="C7" s="48" t="s">
        <v>35</v>
      </c>
      <c r="D7" s="48" t="s">
        <v>36</v>
      </c>
      <c r="E7" s="50" t="s">
        <v>37</v>
      </c>
      <c r="F7" s="50" t="s">
        <v>37</v>
      </c>
      <c r="G7" s="48">
        <v>1</v>
      </c>
      <c r="H7" s="48"/>
      <c r="I7" s="48"/>
      <c r="J7" s="48"/>
      <c r="K7" s="17"/>
      <c r="L7" s="17"/>
      <c r="M7" s="48">
        <v>1</v>
      </c>
      <c r="N7" s="48">
        <v>210000000</v>
      </c>
      <c r="O7" s="48">
        <v>0</v>
      </c>
      <c r="P7" s="48">
        <v>0</v>
      </c>
      <c r="Q7" s="48">
        <v>0</v>
      </c>
      <c r="R7" s="48"/>
      <c r="S7" s="48">
        <v>0</v>
      </c>
      <c r="T7" s="68"/>
    </row>
    <row r="8" spans="1:22" ht="15" customHeight="1">
      <c r="A8" s="48"/>
      <c r="B8" s="48">
        <v>7</v>
      </c>
      <c r="C8" s="48" t="s">
        <v>38</v>
      </c>
      <c r="D8" s="49" t="s">
        <v>39</v>
      </c>
      <c r="E8" s="50" t="s">
        <v>40</v>
      </c>
      <c r="F8" s="50" t="s">
        <v>40</v>
      </c>
      <c r="G8" s="48">
        <v>1</v>
      </c>
      <c r="H8" s="48"/>
      <c r="I8" s="48"/>
      <c r="J8" s="48"/>
      <c r="K8" s="17"/>
      <c r="L8" s="17"/>
      <c r="M8" s="48">
        <v>3</v>
      </c>
      <c r="N8" s="48">
        <v>210000000</v>
      </c>
      <c r="O8" s="48">
        <v>0</v>
      </c>
      <c r="P8" s="48">
        <v>0</v>
      </c>
      <c r="Q8" s="48">
        <v>0</v>
      </c>
      <c r="R8" s="48"/>
      <c r="S8" s="48">
        <v>0</v>
      </c>
      <c r="T8" s="68"/>
    </row>
    <row r="9" spans="1:22" ht="15" customHeight="1">
      <c r="A9" s="48"/>
      <c r="B9" s="48">
        <v>8</v>
      </c>
      <c r="C9" s="48" t="s">
        <v>41</v>
      </c>
      <c r="D9" s="49" t="s">
        <v>42</v>
      </c>
      <c r="E9" s="50" t="s">
        <v>30</v>
      </c>
      <c r="F9" s="50" t="s">
        <v>30</v>
      </c>
      <c r="G9" s="48">
        <v>1</v>
      </c>
      <c r="H9" s="48"/>
      <c r="I9" s="48"/>
      <c r="J9" s="48"/>
      <c r="K9" s="17"/>
      <c r="L9" s="17"/>
      <c r="M9" s="48">
        <v>4</v>
      </c>
      <c r="N9" s="48">
        <v>210000000</v>
      </c>
      <c r="O9" s="48">
        <v>0</v>
      </c>
      <c r="P9" s="48">
        <v>0</v>
      </c>
      <c r="Q9" s="48">
        <v>0</v>
      </c>
      <c r="R9" s="48"/>
      <c r="S9" s="48">
        <v>0</v>
      </c>
      <c r="T9" s="68"/>
    </row>
    <row r="10" spans="1:22" ht="15" customHeight="1">
      <c r="A10" s="48"/>
      <c r="B10" s="48">
        <v>9</v>
      </c>
      <c r="C10" s="48" t="s">
        <v>43</v>
      </c>
      <c r="D10" s="49" t="s">
        <v>44</v>
      </c>
      <c r="E10" s="50" t="s">
        <v>40</v>
      </c>
      <c r="F10" s="50" t="s">
        <v>40</v>
      </c>
      <c r="G10" s="48">
        <v>1</v>
      </c>
      <c r="H10" s="48"/>
      <c r="I10" s="48"/>
      <c r="J10" s="48"/>
      <c r="K10" s="17"/>
      <c r="L10" s="17"/>
      <c r="M10" s="48">
        <v>4</v>
      </c>
      <c r="N10" s="48">
        <v>210000000</v>
      </c>
      <c r="O10" s="48">
        <v>0</v>
      </c>
      <c r="P10" s="48">
        <v>0</v>
      </c>
      <c r="Q10" s="48">
        <v>0</v>
      </c>
      <c r="R10" s="48"/>
      <c r="S10" s="48">
        <v>0</v>
      </c>
      <c r="T10" s="68"/>
    </row>
    <row r="11" spans="1:22" ht="15" customHeight="1">
      <c r="A11" s="48"/>
      <c r="B11" s="48">
        <v>10</v>
      </c>
      <c r="C11" s="48" t="s">
        <v>45</v>
      </c>
      <c r="D11" s="49" t="s">
        <v>46</v>
      </c>
      <c r="E11" s="50" t="s">
        <v>47</v>
      </c>
      <c r="F11" s="50" t="s">
        <v>47</v>
      </c>
      <c r="G11" s="48">
        <v>1</v>
      </c>
      <c r="H11" s="48"/>
      <c r="I11" s="48"/>
      <c r="J11" s="48"/>
      <c r="K11" s="17"/>
      <c r="L11" s="17"/>
      <c r="M11" s="48">
        <v>4</v>
      </c>
      <c r="N11" s="48">
        <v>210000000</v>
      </c>
      <c r="O11" s="48">
        <v>0</v>
      </c>
      <c r="P11" s="48">
        <v>0</v>
      </c>
      <c r="Q11" s="48">
        <v>0</v>
      </c>
      <c r="R11" s="48"/>
      <c r="S11" s="48">
        <v>0</v>
      </c>
      <c r="T11" s="68"/>
    </row>
    <row r="12" spans="1:22" ht="15" customHeight="1">
      <c r="A12" s="48" t="s">
        <v>48</v>
      </c>
      <c r="B12" s="48" t="s">
        <v>49</v>
      </c>
      <c r="C12" s="48"/>
      <c r="D12" s="49"/>
      <c r="E12" s="50"/>
      <c r="F12" s="50"/>
      <c r="G12" s="48"/>
      <c r="H12" s="48"/>
      <c r="I12" s="48"/>
      <c r="J12" s="48"/>
      <c r="K12" s="17"/>
      <c r="L12" s="17"/>
      <c r="M12" s="48"/>
      <c r="N12" s="48"/>
      <c r="O12" s="48"/>
      <c r="P12" s="48"/>
      <c r="Q12" s="48"/>
      <c r="R12" s="48"/>
      <c r="S12" s="48"/>
      <c r="T12" s="68"/>
    </row>
    <row r="13" spans="1:22" ht="15" customHeight="1">
      <c r="A13" s="48"/>
      <c r="B13" s="48">
        <v>50</v>
      </c>
      <c r="C13" s="48" t="s">
        <v>50</v>
      </c>
      <c r="D13" s="49" t="s">
        <v>51</v>
      </c>
      <c r="E13" s="50" t="s">
        <v>52</v>
      </c>
      <c r="F13" s="50" t="s">
        <v>53</v>
      </c>
      <c r="G13" s="48">
        <v>4</v>
      </c>
      <c r="H13" s="48">
        <v>1</v>
      </c>
      <c r="I13" s="48"/>
      <c r="J13" s="48"/>
      <c r="K13" s="17"/>
      <c r="L13" s="17"/>
      <c r="M13" s="48">
        <v>4</v>
      </c>
      <c r="N13" s="48">
        <v>9999</v>
      </c>
      <c r="O13" s="48">
        <v>1</v>
      </c>
      <c r="P13" s="48">
        <v>50</v>
      </c>
      <c r="Q13" s="48">
        <v>0</v>
      </c>
      <c r="R13" s="48"/>
      <c r="S13" s="48">
        <v>0</v>
      </c>
      <c r="T13" s="68"/>
      <c r="V13" s="44" t="s">
        <v>4184</v>
      </c>
    </row>
    <row r="14" spans="1:22" ht="15" customHeight="1">
      <c r="A14" s="48"/>
      <c r="B14" s="48">
        <v>51</v>
      </c>
      <c r="C14" s="48" t="s">
        <v>55</v>
      </c>
      <c r="D14" s="49" t="s">
        <v>51</v>
      </c>
      <c r="E14" s="50" t="s">
        <v>52</v>
      </c>
      <c r="F14" s="50" t="s">
        <v>53</v>
      </c>
      <c r="G14" s="48">
        <v>4</v>
      </c>
      <c r="H14" s="48">
        <v>1</v>
      </c>
      <c r="I14" s="48"/>
      <c r="J14" s="48"/>
      <c r="K14" s="17"/>
      <c r="L14" s="17"/>
      <c r="M14" s="48">
        <v>4</v>
      </c>
      <c r="N14" s="48">
        <v>9999</v>
      </c>
      <c r="O14" s="48">
        <v>1</v>
      </c>
      <c r="P14" s="48">
        <v>51</v>
      </c>
      <c r="Q14" s="48">
        <v>0</v>
      </c>
      <c r="R14" s="48"/>
      <c r="S14" s="48">
        <v>0</v>
      </c>
      <c r="T14" s="68"/>
      <c r="V14" s="44" t="s">
        <v>54</v>
      </c>
    </row>
    <row r="15" spans="1:22" ht="15" customHeight="1">
      <c r="A15" s="48"/>
      <c r="B15" s="48">
        <v>52</v>
      </c>
      <c r="C15" s="48" t="s">
        <v>56</v>
      </c>
      <c r="D15" s="49" t="s">
        <v>51</v>
      </c>
      <c r="E15" s="50" t="s">
        <v>52</v>
      </c>
      <c r="F15" s="50" t="s">
        <v>53</v>
      </c>
      <c r="G15" s="48">
        <v>4</v>
      </c>
      <c r="H15" s="48">
        <v>1</v>
      </c>
      <c r="I15" s="48"/>
      <c r="J15" s="48"/>
      <c r="K15" s="17"/>
      <c r="L15" s="17"/>
      <c r="M15" s="48">
        <v>4</v>
      </c>
      <c r="N15" s="48">
        <v>9999</v>
      </c>
      <c r="O15" s="48">
        <v>1</v>
      </c>
      <c r="P15" s="48">
        <v>52</v>
      </c>
      <c r="Q15" s="48">
        <v>0</v>
      </c>
      <c r="R15" s="48"/>
      <c r="S15" s="48">
        <v>0</v>
      </c>
      <c r="T15" s="68"/>
      <c r="V15" s="44" t="s">
        <v>54</v>
      </c>
    </row>
    <row r="16" spans="1:22" ht="15" customHeight="1">
      <c r="A16" s="48"/>
      <c r="B16" s="48">
        <v>53</v>
      </c>
      <c r="C16" s="48" t="s">
        <v>57</v>
      </c>
      <c r="D16" s="49" t="s">
        <v>51</v>
      </c>
      <c r="E16" s="50" t="s">
        <v>52</v>
      </c>
      <c r="F16" s="50" t="s">
        <v>53</v>
      </c>
      <c r="G16" s="48">
        <v>4</v>
      </c>
      <c r="H16" s="48">
        <v>1</v>
      </c>
      <c r="I16" s="48"/>
      <c r="J16" s="48"/>
      <c r="K16" s="17"/>
      <c r="L16" s="17"/>
      <c r="M16" s="48">
        <v>4</v>
      </c>
      <c r="N16" s="48">
        <v>9999</v>
      </c>
      <c r="O16" s="48">
        <v>1</v>
      </c>
      <c r="P16" s="48">
        <v>53</v>
      </c>
      <c r="Q16" s="48">
        <v>0</v>
      </c>
      <c r="R16" s="48"/>
      <c r="S16" s="48">
        <v>0</v>
      </c>
      <c r="T16" s="68"/>
      <c r="V16" s="44" t="s">
        <v>54</v>
      </c>
    </row>
    <row r="17" spans="1:22" ht="15" customHeight="1">
      <c r="A17" s="48"/>
      <c r="B17" s="48">
        <v>54</v>
      </c>
      <c r="C17" s="48" t="s">
        <v>58</v>
      </c>
      <c r="D17" s="49" t="s">
        <v>51</v>
      </c>
      <c r="E17" s="50" t="s">
        <v>52</v>
      </c>
      <c r="F17" s="50" t="s">
        <v>53</v>
      </c>
      <c r="G17" s="48">
        <v>4</v>
      </c>
      <c r="H17" s="48">
        <v>1</v>
      </c>
      <c r="I17" s="48"/>
      <c r="J17" s="48"/>
      <c r="K17" s="17"/>
      <c r="L17" s="17"/>
      <c r="M17" s="48">
        <v>4</v>
      </c>
      <c r="N17" s="48">
        <v>9999</v>
      </c>
      <c r="O17" s="48">
        <v>1</v>
      </c>
      <c r="P17" s="48">
        <v>54</v>
      </c>
      <c r="Q17" s="48">
        <v>0</v>
      </c>
      <c r="R17" s="48"/>
      <c r="S17" s="48">
        <v>0</v>
      </c>
      <c r="T17" s="68"/>
      <c r="V17" s="44" t="s">
        <v>54</v>
      </c>
    </row>
    <row r="18" spans="1:22" ht="15" customHeight="1">
      <c r="A18" s="48"/>
      <c r="B18" s="48">
        <v>55</v>
      </c>
      <c r="C18" s="48" t="s">
        <v>59</v>
      </c>
      <c r="D18" s="49" t="s">
        <v>51</v>
      </c>
      <c r="E18" s="50" t="s">
        <v>52</v>
      </c>
      <c r="F18" s="50" t="s">
        <v>53</v>
      </c>
      <c r="G18" s="48">
        <v>4</v>
      </c>
      <c r="H18" s="48">
        <v>1</v>
      </c>
      <c r="I18" s="48"/>
      <c r="J18" s="48"/>
      <c r="K18" s="17"/>
      <c r="L18" s="17"/>
      <c r="M18" s="48">
        <v>4</v>
      </c>
      <c r="N18" s="48">
        <v>9999</v>
      </c>
      <c r="O18" s="48">
        <v>1</v>
      </c>
      <c r="P18" s="48">
        <v>55</v>
      </c>
      <c r="Q18" s="48">
        <v>0</v>
      </c>
      <c r="R18" s="48"/>
      <c r="S18" s="48">
        <v>0</v>
      </c>
      <c r="T18" s="68"/>
      <c r="V18" s="44" t="s">
        <v>54</v>
      </c>
    </row>
    <row r="19" spans="1:22" ht="15" customHeight="1">
      <c r="A19" s="48"/>
      <c r="B19" s="48">
        <v>56</v>
      </c>
      <c r="C19" s="48" t="s">
        <v>60</v>
      </c>
      <c r="D19" s="49" t="s">
        <v>51</v>
      </c>
      <c r="E19" s="50" t="s">
        <v>52</v>
      </c>
      <c r="F19" s="50" t="s">
        <v>53</v>
      </c>
      <c r="G19" s="48">
        <v>4</v>
      </c>
      <c r="H19" s="48">
        <v>1</v>
      </c>
      <c r="I19" s="48"/>
      <c r="J19" s="48"/>
      <c r="K19" s="17"/>
      <c r="L19" s="17"/>
      <c r="M19" s="48">
        <v>4</v>
      </c>
      <c r="N19" s="48">
        <v>9999</v>
      </c>
      <c r="O19" s="48">
        <v>1</v>
      </c>
      <c r="P19" s="48">
        <v>56</v>
      </c>
      <c r="Q19" s="48">
        <v>0</v>
      </c>
      <c r="R19" s="48"/>
      <c r="S19" s="48">
        <v>0</v>
      </c>
      <c r="T19" s="68"/>
      <c r="V19" s="44" t="s">
        <v>54</v>
      </c>
    </row>
    <row r="20" spans="1:22" ht="15" customHeight="1">
      <c r="A20" s="48"/>
      <c r="B20" s="48">
        <v>57</v>
      </c>
      <c r="C20" s="48" t="s">
        <v>61</v>
      </c>
      <c r="D20" s="49" t="s">
        <v>51</v>
      </c>
      <c r="E20" s="50" t="s">
        <v>52</v>
      </c>
      <c r="F20" s="50" t="s">
        <v>53</v>
      </c>
      <c r="G20" s="48">
        <v>4</v>
      </c>
      <c r="H20" s="48">
        <v>1</v>
      </c>
      <c r="I20" s="48"/>
      <c r="J20" s="48"/>
      <c r="K20" s="17"/>
      <c r="L20" s="17"/>
      <c r="M20" s="48">
        <v>4</v>
      </c>
      <c r="N20" s="48">
        <v>9999</v>
      </c>
      <c r="O20" s="48">
        <v>1</v>
      </c>
      <c r="P20" s="48">
        <v>57</v>
      </c>
      <c r="Q20" s="48">
        <v>0</v>
      </c>
      <c r="R20" s="48"/>
      <c r="S20" s="48">
        <v>0</v>
      </c>
      <c r="T20" s="68"/>
      <c r="V20" s="44" t="s">
        <v>54</v>
      </c>
    </row>
    <row r="21" spans="1:22" ht="15" customHeight="1">
      <c r="A21" s="48"/>
      <c r="B21" s="48">
        <v>58</v>
      </c>
      <c r="C21" s="48" t="s">
        <v>62</v>
      </c>
      <c r="D21" s="49" t="s">
        <v>51</v>
      </c>
      <c r="E21" s="50" t="s">
        <v>52</v>
      </c>
      <c r="F21" s="50" t="s">
        <v>53</v>
      </c>
      <c r="G21" s="48">
        <v>4</v>
      </c>
      <c r="H21" s="48">
        <v>1</v>
      </c>
      <c r="I21" s="48"/>
      <c r="J21" s="48"/>
      <c r="K21" s="17"/>
      <c r="L21" s="17"/>
      <c r="M21" s="48">
        <v>4</v>
      </c>
      <c r="N21" s="48">
        <v>9999</v>
      </c>
      <c r="O21" s="48">
        <v>1</v>
      </c>
      <c r="P21" s="48">
        <v>58</v>
      </c>
      <c r="Q21" s="48">
        <v>0</v>
      </c>
      <c r="R21" s="48"/>
      <c r="S21" s="48">
        <v>0</v>
      </c>
      <c r="T21" s="68"/>
      <c r="V21" s="44" t="s">
        <v>54</v>
      </c>
    </row>
    <row r="22" spans="1:22" ht="15" customHeight="1">
      <c r="A22" s="48"/>
      <c r="B22" s="48">
        <v>59</v>
      </c>
      <c r="C22" s="48" t="s">
        <v>63</v>
      </c>
      <c r="D22" s="49" t="s">
        <v>51</v>
      </c>
      <c r="E22" s="50" t="s">
        <v>52</v>
      </c>
      <c r="F22" s="50" t="s">
        <v>53</v>
      </c>
      <c r="G22" s="48">
        <v>4</v>
      </c>
      <c r="H22" s="48">
        <v>1</v>
      </c>
      <c r="I22" s="48"/>
      <c r="J22" s="48"/>
      <c r="K22" s="17"/>
      <c r="L22" s="17"/>
      <c r="M22" s="48">
        <v>4</v>
      </c>
      <c r="N22" s="48">
        <v>9999</v>
      </c>
      <c r="O22" s="48">
        <v>1</v>
      </c>
      <c r="P22" s="48">
        <v>59</v>
      </c>
      <c r="Q22" s="48">
        <v>0</v>
      </c>
      <c r="R22" s="48"/>
      <c r="S22" s="48">
        <v>0</v>
      </c>
      <c r="T22" s="68"/>
      <c r="V22" s="44" t="s">
        <v>54</v>
      </c>
    </row>
    <row r="23" spans="1:22" ht="15" customHeight="1">
      <c r="A23" s="48"/>
      <c r="B23" s="48">
        <v>60</v>
      </c>
      <c r="C23" s="48" t="s">
        <v>64</v>
      </c>
      <c r="D23" s="49" t="s">
        <v>51</v>
      </c>
      <c r="E23" s="50" t="s">
        <v>52</v>
      </c>
      <c r="F23" s="50" t="s">
        <v>53</v>
      </c>
      <c r="G23" s="48">
        <v>4</v>
      </c>
      <c r="H23" s="48">
        <v>1</v>
      </c>
      <c r="I23" s="48"/>
      <c r="J23" s="48"/>
      <c r="K23" s="17"/>
      <c r="L23" s="17"/>
      <c r="M23" s="48">
        <v>4</v>
      </c>
      <c r="N23" s="48">
        <v>9999</v>
      </c>
      <c r="O23" s="48">
        <v>1</v>
      </c>
      <c r="P23" s="48">
        <v>60</v>
      </c>
      <c r="Q23" s="48">
        <v>0</v>
      </c>
      <c r="R23" s="48"/>
      <c r="S23" s="48">
        <v>0</v>
      </c>
      <c r="T23" s="68"/>
      <c r="V23" s="44" t="s">
        <v>54</v>
      </c>
    </row>
    <row r="24" spans="1:22" ht="15" customHeight="1">
      <c r="A24" s="48"/>
      <c r="B24" s="48">
        <v>61</v>
      </c>
      <c r="C24" s="48" t="s">
        <v>65</v>
      </c>
      <c r="D24" s="49" t="s">
        <v>51</v>
      </c>
      <c r="E24" s="50" t="s">
        <v>52</v>
      </c>
      <c r="F24" s="50" t="s">
        <v>53</v>
      </c>
      <c r="G24" s="48">
        <v>4</v>
      </c>
      <c r="H24" s="48">
        <v>1</v>
      </c>
      <c r="I24" s="48"/>
      <c r="J24" s="48"/>
      <c r="K24" s="17"/>
      <c r="L24" s="17"/>
      <c r="M24" s="48">
        <v>4</v>
      </c>
      <c r="N24" s="48">
        <v>9999</v>
      </c>
      <c r="O24" s="48">
        <v>1</v>
      </c>
      <c r="P24" s="48">
        <v>61</v>
      </c>
      <c r="Q24" s="48">
        <v>0</v>
      </c>
      <c r="R24" s="48"/>
      <c r="S24" s="48">
        <v>0</v>
      </c>
      <c r="T24" s="68"/>
      <c r="V24" s="44" t="s">
        <v>54</v>
      </c>
    </row>
    <row r="25" spans="1:22" ht="15" customHeight="1">
      <c r="A25" s="48"/>
      <c r="B25" s="48">
        <v>62</v>
      </c>
      <c r="C25" s="48" t="s">
        <v>66</v>
      </c>
      <c r="D25" s="49" t="s">
        <v>51</v>
      </c>
      <c r="E25" s="50" t="s">
        <v>52</v>
      </c>
      <c r="F25" s="50" t="s">
        <v>53</v>
      </c>
      <c r="G25" s="48">
        <v>4</v>
      </c>
      <c r="H25" s="48">
        <v>1</v>
      </c>
      <c r="I25" s="48"/>
      <c r="J25" s="48"/>
      <c r="K25" s="17"/>
      <c r="L25" s="17"/>
      <c r="M25" s="48">
        <v>4</v>
      </c>
      <c r="N25" s="48">
        <v>9999</v>
      </c>
      <c r="O25" s="48">
        <v>1</v>
      </c>
      <c r="P25" s="48">
        <v>62</v>
      </c>
      <c r="Q25" s="48">
        <v>0</v>
      </c>
      <c r="R25" s="48"/>
      <c r="S25" s="48">
        <v>0</v>
      </c>
      <c r="T25" s="68"/>
      <c r="V25" s="44" t="s">
        <v>54</v>
      </c>
    </row>
    <row r="26" spans="1:22" ht="15" customHeight="1">
      <c r="A26" s="48"/>
      <c r="B26" s="48">
        <v>63</v>
      </c>
      <c r="C26" s="48" t="s">
        <v>67</v>
      </c>
      <c r="D26" s="49" t="s">
        <v>51</v>
      </c>
      <c r="E26" s="50" t="s">
        <v>52</v>
      </c>
      <c r="F26" s="50" t="s">
        <v>53</v>
      </c>
      <c r="G26" s="48">
        <v>4</v>
      </c>
      <c r="H26" s="48">
        <v>1</v>
      </c>
      <c r="I26" s="48"/>
      <c r="J26" s="48"/>
      <c r="K26" s="17"/>
      <c r="L26" s="17"/>
      <c r="M26" s="48">
        <v>4</v>
      </c>
      <c r="N26" s="48">
        <v>9999</v>
      </c>
      <c r="O26" s="48">
        <v>1</v>
      </c>
      <c r="P26" s="48">
        <v>63</v>
      </c>
      <c r="Q26" s="48">
        <v>0</v>
      </c>
      <c r="R26" s="48"/>
      <c r="S26" s="48">
        <v>0</v>
      </c>
      <c r="T26" s="68"/>
      <c r="V26" s="44" t="s">
        <v>54</v>
      </c>
    </row>
    <row r="27" spans="1:22" ht="15" customHeight="1">
      <c r="A27" s="48"/>
      <c r="B27" s="48">
        <v>64</v>
      </c>
      <c r="C27" s="48" t="s">
        <v>68</v>
      </c>
      <c r="D27" s="49" t="s">
        <v>51</v>
      </c>
      <c r="E27" s="50" t="s">
        <v>52</v>
      </c>
      <c r="F27" s="50" t="s">
        <v>53</v>
      </c>
      <c r="G27" s="48">
        <v>4</v>
      </c>
      <c r="H27" s="48">
        <v>1</v>
      </c>
      <c r="I27" s="48"/>
      <c r="J27" s="48"/>
      <c r="K27" s="17"/>
      <c r="L27" s="17"/>
      <c r="M27" s="48">
        <v>4</v>
      </c>
      <c r="N27" s="48">
        <v>9999</v>
      </c>
      <c r="O27" s="48">
        <v>1</v>
      </c>
      <c r="P27" s="48">
        <v>64</v>
      </c>
      <c r="Q27" s="48">
        <v>0</v>
      </c>
      <c r="R27" s="48"/>
      <c r="S27" s="48">
        <v>0</v>
      </c>
      <c r="T27" s="68"/>
      <c r="V27" s="44" t="s">
        <v>54</v>
      </c>
    </row>
    <row r="28" spans="1:22" ht="15" customHeight="1">
      <c r="A28" s="48"/>
      <c r="B28" s="48">
        <v>65</v>
      </c>
      <c r="C28" s="48" t="s">
        <v>69</v>
      </c>
      <c r="D28" s="49" t="s">
        <v>51</v>
      </c>
      <c r="E28" s="50" t="s">
        <v>52</v>
      </c>
      <c r="F28" s="50" t="s">
        <v>53</v>
      </c>
      <c r="G28" s="48">
        <v>4</v>
      </c>
      <c r="H28" s="48">
        <v>1</v>
      </c>
      <c r="I28" s="48"/>
      <c r="J28" s="48"/>
      <c r="K28" s="17"/>
      <c r="L28" s="17"/>
      <c r="M28" s="48">
        <v>4</v>
      </c>
      <c r="N28" s="48">
        <v>9999</v>
      </c>
      <c r="O28" s="48">
        <v>1</v>
      </c>
      <c r="P28" s="48">
        <v>65</v>
      </c>
      <c r="Q28" s="48">
        <v>0</v>
      </c>
      <c r="R28" s="48"/>
      <c r="S28" s="48">
        <v>0</v>
      </c>
      <c r="T28" s="68"/>
      <c r="V28" s="44" t="s">
        <v>54</v>
      </c>
    </row>
    <row r="29" spans="1:22" ht="15" customHeight="1">
      <c r="A29" s="48"/>
      <c r="B29" s="48">
        <v>150</v>
      </c>
      <c r="C29" s="48" t="s">
        <v>70</v>
      </c>
      <c r="D29" s="49" t="s">
        <v>71</v>
      </c>
      <c r="E29" s="50" t="s">
        <v>72</v>
      </c>
      <c r="F29" s="50" t="s">
        <v>53</v>
      </c>
      <c r="G29" s="48">
        <v>4</v>
      </c>
      <c r="H29" s="48">
        <v>2</v>
      </c>
      <c r="I29" s="48"/>
      <c r="J29" s="48"/>
      <c r="K29" s="17"/>
      <c r="L29" s="17"/>
      <c r="M29" s="48">
        <v>3</v>
      </c>
      <c r="N29" s="48">
        <v>9999</v>
      </c>
      <c r="O29" s="48">
        <v>1</v>
      </c>
      <c r="P29" s="48">
        <v>150</v>
      </c>
      <c r="Q29" s="48">
        <v>0</v>
      </c>
      <c r="R29" s="48"/>
      <c r="S29" s="48">
        <v>0</v>
      </c>
      <c r="T29" s="68"/>
    </row>
    <row r="30" spans="1:22" ht="15" customHeight="1">
      <c r="A30" s="48"/>
      <c r="B30" s="48">
        <v>151</v>
      </c>
      <c r="C30" s="48" t="s">
        <v>73</v>
      </c>
      <c r="D30" s="49" t="s">
        <v>74</v>
      </c>
      <c r="E30" s="50" t="s">
        <v>75</v>
      </c>
      <c r="F30" s="50" t="s">
        <v>53</v>
      </c>
      <c r="G30" s="48">
        <v>4</v>
      </c>
      <c r="H30" s="48">
        <v>2</v>
      </c>
      <c r="I30" s="48"/>
      <c r="J30" s="48"/>
      <c r="K30" s="17"/>
      <c r="L30" s="17"/>
      <c r="M30" s="48">
        <v>3</v>
      </c>
      <c r="N30" s="48">
        <v>9999</v>
      </c>
      <c r="O30" s="48">
        <v>1</v>
      </c>
      <c r="P30" s="48">
        <v>151</v>
      </c>
      <c r="Q30" s="48">
        <v>0</v>
      </c>
      <c r="R30" s="48"/>
      <c r="S30" s="48">
        <v>0</v>
      </c>
      <c r="T30" s="68"/>
    </row>
    <row r="31" spans="1:22" ht="15" customHeight="1">
      <c r="A31" s="48"/>
      <c r="B31" s="48">
        <v>152</v>
      </c>
      <c r="C31" s="48" t="s">
        <v>76</v>
      </c>
      <c r="D31" s="49" t="s">
        <v>77</v>
      </c>
      <c r="E31" s="50" t="s">
        <v>78</v>
      </c>
      <c r="F31" s="50" t="s">
        <v>53</v>
      </c>
      <c r="G31" s="48">
        <v>4</v>
      </c>
      <c r="H31" s="48">
        <v>2</v>
      </c>
      <c r="I31" s="48"/>
      <c r="J31" s="48"/>
      <c r="K31" s="17"/>
      <c r="L31" s="17"/>
      <c r="M31" s="48">
        <v>3</v>
      </c>
      <c r="N31" s="48">
        <v>9999</v>
      </c>
      <c r="O31" s="48">
        <v>1</v>
      </c>
      <c r="P31" s="48">
        <v>152</v>
      </c>
      <c r="Q31" s="48">
        <v>0</v>
      </c>
      <c r="R31" s="48"/>
      <c r="S31" s="48">
        <v>0</v>
      </c>
      <c r="T31" s="68"/>
    </row>
    <row r="32" spans="1:22" ht="15" customHeight="1">
      <c r="A32" s="48"/>
      <c r="B32" s="48">
        <v>153</v>
      </c>
      <c r="C32" s="48" t="s">
        <v>76</v>
      </c>
      <c r="D32" s="49" t="s">
        <v>77</v>
      </c>
      <c r="E32" s="50" t="s">
        <v>78</v>
      </c>
      <c r="F32" s="50" t="s">
        <v>53</v>
      </c>
      <c r="G32" s="48">
        <v>4</v>
      </c>
      <c r="H32" s="48">
        <v>2</v>
      </c>
      <c r="I32" s="48"/>
      <c r="J32" s="48"/>
      <c r="K32" s="17"/>
      <c r="L32" s="17"/>
      <c r="M32" s="48">
        <v>4</v>
      </c>
      <c r="N32" s="48">
        <v>9999</v>
      </c>
      <c r="O32" s="48">
        <v>1</v>
      </c>
      <c r="P32" s="48">
        <v>153</v>
      </c>
      <c r="Q32" s="48">
        <v>0</v>
      </c>
      <c r="R32" s="48"/>
      <c r="S32" s="48">
        <v>0</v>
      </c>
      <c r="T32" s="68"/>
    </row>
    <row r="33" spans="1:22" s="40" customFormat="1" ht="15" customHeight="1">
      <c r="A33" s="51"/>
      <c r="B33" s="51">
        <v>154</v>
      </c>
      <c r="C33" s="51" t="s">
        <v>79</v>
      </c>
      <c r="D33" s="52" t="s">
        <v>74</v>
      </c>
      <c r="E33" s="53" t="s">
        <v>80</v>
      </c>
      <c r="F33" s="53" t="s">
        <v>80</v>
      </c>
      <c r="G33" s="51">
        <v>4</v>
      </c>
      <c r="H33" s="51">
        <v>2</v>
      </c>
      <c r="I33" s="51"/>
      <c r="J33" s="51"/>
      <c r="K33" s="64"/>
      <c r="L33" s="64"/>
      <c r="M33" s="51">
        <v>2</v>
      </c>
      <c r="N33" s="51">
        <v>9999</v>
      </c>
      <c r="O33" s="51">
        <v>1</v>
      </c>
      <c r="P33" s="51">
        <v>159</v>
      </c>
      <c r="Q33" s="51">
        <v>0</v>
      </c>
      <c r="R33" s="51"/>
      <c r="S33" s="51">
        <v>0</v>
      </c>
      <c r="T33" s="69"/>
    </row>
    <row r="34" spans="1:22" s="40" customFormat="1" ht="15" customHeight="1">
      <c r="A34" s="51"/>
      <c r="B34" s="51">
        <v>155</v>
      </c>
      <c r="C34" s="51" t="s">
        <v>81</v>
      </c>
      <c r="D34" s="52" t="s">
        <v>77</v>
      </c>
      <c r="E34" s="53" t="s">
        <v>82</v>
      </c>
      <c r="F34" s="53" t="s">
        <v>82</v>
      </c>
      <c r="G34" s="51">
        <v>4</v>
      </c>
      <c r="H34" s="51">
        <v>2</v>
      </c>
      <c r="I34" s="51"/>
      <c r="J34" s="51"/>
      <c r="K34" s="64"/>
      <c r="L34" s="64"/>
      <c r="M34" s="51">
        <v>3</v>
      </c>
      <c r="N34" s="51">
        <v>9999</v>
      </c>
      <c r="O34" s="51">
        <v>1</v>
      </c>
      <c r="P34" s="51">
        <v>160</v>
      </c>
      <c r="Q34" s="51">
        <v>0</v>
      </c>
      <c r="R34" s="51"/>
      <c r="S34" s="51">
        <v>0</v>
      </c>
      <c r="T34" s="69"/>
    </row>
    <row r="35" spans="1:22" s="40" customFormat="1" ht="15" customHeight="1">
      <c r="A35" s="51"/>
      <c r="B35" s="51">
        <v>156</v>
      </c>
      <c r="C35" s="51" t="s">
        <v>83</v>
      </c>
      <c r="D35" s="52" t="s">
        <v>84</v>
      </c>
      <c r="E35" s="53" t="s">
        <v>85</v>
      </c>
      <c r="F35" s="53" t="s">
        <v>85</v>
      </c>
      <c r="G35" s="51">
        <v>4</v>
      </c>
      <c r="H35" s="51">
        <v>2</v>
      </c>
      <c r="I35" s="51"/>
      <c r="J35" s="51"/>
      <c r="K35" s="64"/>
      <c r="L35" s="64"/>
      <c r="M35" s="51">
        <v>4</v>
      </c>
      <c r="N35" s="51">
        <v>9999</v>
      </c>
      <c r="O35" s="51">
        <v>1</v>
      </c>
      <c r="P35" s="51">
        <v>161</v>
      </c>
      <c r="Q35" s="51">
        <v>0</v>
      </c>
      <c r="R35" s="51"/>
      <c r="S35" s="51">
        <v>0</v>
      </c>
      <c r="T35" s="69"/>
    </row>
    <row r="36" spans="1:22" s="40" customFormat="1" ht="15" customHeight="1">
      <c r="A36" s="51"/>
      <c r="B36" s="51">
        <v>157</v>
      </c>
      <c r="C36" s="51" t="s">
        <v>86</v>
      </c>
      <c r="D36" s="52" t="s">
        <v>71</v>
      </c>
      <c r="E36" s="53" t="s">
        <v>87</v>
      </c>
      <c r="F36" s="53" t="s">
        <v>87</v>
      </c>
      <c r="G36" s="51">
        <v>4</v>
      </c>
      <c r="H36" s="51">
        <v>2</v>
      </c>
      <c r="I36" s="51"/>
      <c r="J36" s="51"/>
      <c r="K36" s="64"/>
      <c r="L36" s="64"/>
      <c r="M36" s="51">
        <v>5</v>
      </c>
      <c r="N36" s="51">
        <v>9999</v>
      </c>
      <c r="O36" s="51">
        <v>1</v>
      </c>
      <c r="P36" s="51">
        <v>162</v>
      </c>
      <c r="Q36" s="51">
        <v>0</v>
      </c>
      <c r="R36" s="51"/>
      <c r="S36" s="51">
        <v>0</v>
      </c>
      <c r="T36" s="69"/>
    </row>
    <row r="37" spans="1:22" s="41" customFormat="1" ht="15" customHeight="1">
      <c r="A37" s="54"/>
      <c r="B37" s="54">
        <v>160</v>
      </c>
      <c r="C37" s="54" t="s">
        <v>88</v>
      </c>
      <c r="D37" s="55" t="s">
        <v>74</v>
      </c>
      <c r="E37" s="56" t="s">
        <v>89</v>
      </c>
      <c r="F37" s="56" t="s">
        <v>89</v>
      </c>
      <c r="G37" s="54">
        <v>4</v>
      </c>
      <c r="H37" s="54">
        <v>2</v>
      </c>
      <c r="I37" s="54"/>
      <c r="J37" s="54"/>
      <c r="K37" s="65"/>
      <c r="L37" s="65"/>
      <c r="M37" s="54">
        <v>1</v>
      </c>
      <c r="N37" s="54">
        <v>1</v>
      </c>
      <c r="O37" s="54">
        <v>0</v>
      </c>
      <c r="P37" s="54">
        <v>0</v>
      </c>
      <c r="Q37" s="54">
        <v>0</v>
      </c>
      <c r="R37" s="54"/>
      <c r="S37" s="54">
        <v>0</v>
      </c>
      <c r="T37" s="70"/>
    </row>
    <row r="38" spans="1:22" s="41" customFormat="1" ht="15" customHeight="1">
      <c r="A38" s="54"/>
      <c r="B38" s="54">
        <v>161</v>
      </c>
      <c r="C38" s="54" t="s">
        <v>90</v>
      </c>
      <c r="D38" s="55" t="s">
        <v>77</v>
      </c>
      <c r="E38" s="56" t="s">
        <v>91</v>
      </c>
      <c r="F38" s="56" t="s">
        <v>91</v>
      </c>
      <c r="G38" s="54">
        <v>4</v>
      </c>
      <c r="H38" s="54">
        <v>2</v>
      </c>
      <c r="I38" s="54"/>
      <c r="J38" s="54"/>
      <c r="K38" s="65"/>
      <c r="L38" s="65"/>
      <c r="M38" s="54">
        <v>2</v>
      </c>
      <c r="N38" s="54">
        <v>1</v>
      </c>
      <c r="O38" s="54">
        <v>0</v>
      </c>
      <c r="P38" s="54">
        <v>0</v>
      </c>
      <c r="Q38" s="54">
        <v>0</v>
      </c>
      <c r="R38" s="54"/>
      <c r="S38" s="54">
        <v>0</v>
      </c>
      <c r="T38" s="70"/>
    </row>
    <row r="39" spans="1:22" s="41" customFormat="1" ht="15" customHeight="1">
      <c r="A39" s="54"/>
      <c r="B39" s="54">
        <v>162</v>
      </c>
      <c r="C39" s="54" t="s">
        <v>92</v>
      </c>
      <c r="D39" s="55" t="s">
        <v>84</v>
      </c>
      <c r="E39" s="56" t="s">
        <v>93</v>
      </c>
      <c r="F39" s="56" t="s">
        <v>93</v>
      </c>
      <c r="G39" s="54">
        <v>4</v>
      </c>
      <c r="H39" s="54">
        <v>2</v>
      </c>
      <c r="I39" s="54"/>
      <c r="J39" s="54"/>
      <c r="K39" s="65"/>
      <c r="L39" s="65"/>
      <c r="M39" s="54">
        <v>3</v>
      </c>
      <c r="N39" s="54">
        <v>1</v>
      </c>
      <c r="O39" s="54">
        <v>0</v>
      </c>
      <c r="P39" s="54">
        <v>0</v>
      </c>
      <c r="Q39" s="54">
        <v>0</v>
      </c>
      <c r="R39" s="54"/>
      <c r="S39" s="54">
        <v>0</v>
      </c>
      <c r="T39" s="70"/>
    </row>
    <row r="40" spans="1:22" s="41" customFormat="1" ht="15" customHeight="1">
      <c r="A40" s="54"/>
      <c r="B40" s="54">
        <v>163</v>
      </c>
      <c r="C40" s="54" t="s">
        <v>94</v>
      </c>
      <c r="D40" s="55" t="s">
        <v>71</v>
      </c>
      <c r="E40" s="56" t="s">
        <v>95</v>
      </c>
      <c r="F40" s="56" t="s">
        <v>95</v>
      </c>
      <c r="G40" s="54">
        <v>4</v>
      </c>
      <c r="H40" s="54">
        <v>2</v>
      </c>
      <c r="I40" s="54"/>
      <c r="J40" s="54"/>
      <c r="K40" s="65"/>
      <c r="L40" s="65"/>
      <c r="M40" s="54">
        <v>4</v>
      </c>
      <c r="N40" s="54">
        <v>1</v>
      </c>
      <c r="O40" s="54">
        <v>0</v>
      </c>
      <c r="P40" s="54">
        <v>0</v>
      </c>
      <c r="Q40" s="54">
        <v>0</v>
      </c>
      <c r="R40" s="54"/>
      <c r="S40" s="54">
        <v>0</v>
      </c>
      <c r="T40" s="70"/>
    </row>
    <row r="41" spans="1:22" s="41" customFormat="1" ht="15" customHeight="1">
      <c r="A41" s="54"/>
      <c r="B41" s="54">
        <v>164</v>
      </c>
      <c r="C41" s="54" t="s">
        <v>96</v>
      </c>
      <c r="D41" s="55" t="s">
        <v>97</v>
      </c>
      <c r="E41" s="56" t="s">
        <v>98</v>
      </c>
      <c r="F41" s="56" t="s">
        <v>98</v>
      </c>
      <c r="G41" s="54">
        <v>4</v>
      </c>
      <c r="H41" s="54">
        <v>2</v>
      </c>
      <c r="I41" s="54"/>
      <c r="J41" s="54"/>
      <c r="K41" s="65"/>
      <c r="L41" s="65"/>
      <c r="M41" s="54">
        <v>5</v>
      </c>
      <c r="N41" s="54">
        <v>1</v>
      </c>
      <c r="O41" s="54">
        <v>0</v>
      </c>
      <c r="P41" s="54">
        <v>0</v>
      </c>
      <c r="Q41" s="54">
        <v>0</v>
      </c>
      <c r="R41" s="54"/>
      <c r="S41" s="54">
        <v>0</v>
      </c>
      <c r="T41" s="70"/>
    </row>
    <row r="42" spans="1:22" ht="15" customHeight="1">
      <c r="A42" s="48"/>
      <c r="B42" s="48">
        <v>1001</v>
      </c>
      <c r="C42" s="48" t="s">
        <v>99</v>
      </c>
      <c r="D42" s="57" t="s">
        <v>100</v>
      </c>
      <c r="E42" s="50" t="s">
        <v>101</v>
      </c>
      <c r="F42" s="50" t="s">
        <v>101</v>
      </c>
      <c r="G42" s="48">
        <v>9</v>
      </c>
      <c r="H42" s="48">
        <v>1</v>
      </c>
      <c r="I42" s="48"/>
      <c r="J42" s="48"/>
      <c r="K42" s="17"/>
      <c r="L42" s="17"/>
      <c r="M42" s="66">
        <v>3</v>
      </c>
      <c r="N42" s="48">
        <v>1</v>
      </c>
      <c r="O42" s="48">
        <v>0</v>
      </c>
      <c r="P42" s="48">
        <v>0</v>
      </c>
      <c r="Q42" s="48">
        <v>0</v>
      </c>
      <c r="R42" s="48"/>
      <c r="S42" s="48">
        <v>0</v>
      </c>
      <c r="T42" s="68"/>
      <c r="V42" s="44" t="s">
        <v>4183</v>
      </c>
    </row>
    <row r="43" spans="1:22" ht="15" customHeight="1">
      <c r="A43" s="48"/>
      <c r="B43" s="48">
        <v>1002</v>
      </c>
      <c r="C43" s="48" t="s">
        <v>102</v>
      </c>
      <c r="D43" s="57" t="s">
        <v>103</v>
      </c>
      <c r="E43" s="50" t="s">
        <v>104</v>
      </c>
      <c r="F43" s="50" t="s">
        <v>104</v>
      </c>
      <c r="G43" s="48">
        <v>9</v>
      </c>
      <c r="H43" s="48">
        <v>1</v>
      </c>
      <c r="I43" s="48"/>
      <c r="J43" s="48"/>
      <c r="K43" s="17"/>
      <c r="L43" s="17"/>
      <c r="M43" s="66">
        <v>3</v>
      </c>
      <c r="N43" s="48">
        <v>1</v>
      </c>
      <c r="O43" s="48">
        <v>0</v>
      </c>
      <c r="P43" s="48">
        <v>0</v>
      </c>
      <c r="Q43" s="48">
        <v>0</v>
      </c>
      <c r="R43" s="48"/>
      <c r="S43" s="48">
        <v>0</v>
      </c>
      <c r="T43" s="68"/>
      <c r="V43" s="44" t="s">
        <v>4183</v>
      </c>
    </row>
    <row r="44" spans="1:22" ht="15" customHeight="1">
      <c r="A44" s="48"/>
      <c r="B44" s="48">
        <v>1101</v>
      </c>
      <c r="C44" s="48" t="s">
        <v>105</v>
      </c>
      <c r="D44" s="57" t="s">
        <v>106</v>
      </c>
      <c r="E44" s="50" t="s">
        <v>107</v>
      </c>
      <c r="F44" s="50" t="s">
        <v>107</v>
      </c>
      <c r="G44" s="48">
        <v>9</v>
      </c>
      <c r="H44" s="48">
        <v>1</v>
      </c>
      <c r="I44" s="48"/>
      <c r="J44" s="48"/>
      <c r="K44" s="17"/>
      <c r="L44" s="17"/>
      <c r="M44" s="66">
        <v>3</v>
      </c>
      <c r="N44" s="48">
        <v>1</v>
      </c>
      <c r="O44" s="48">
        <v>0</v>
      </c>
      <c r="P44" s="48">
        <v>0</v>
      </c>
      <c r="Q44" s="48">
        <v>0</v>
      </c>
      <c r="R44" s="48"/>
      <c r="S44" s="48">
        <v>0</v>
      </c>
      <c r="T44" s="68"/>
      <c r="V44" s="44" t="s">
        <v>4183</v>
      </c>
    </row>
    <row r="45" spans="1:22" ht="15" customHeight="1">
      <c r="A45" s="48"/>
      <c r="B45" s="48">
        <v>1102</v>
      </c>
      <c r="C45" s="48" t="s">
        <v>108</v>
      </c>
      <c r="D45" s="57" t="s">
        <v>109</v>
      </c>
      <c r="E45" s="50" t="s">
        <v>110</v>
      </c>
      <c r="F45" s="50" t="s">
        <v>110</v>
      </c>
      <c r="G45" s="48">
        <v>9</v>
      </c>
      <c r="H45" s="48">
        <v>1</v>
      </c>
      <c r="I45" s="48"/>
      <c r="J45" s="48"/>
      <c r="K45" s="17"/>
      <c r="L45" s="17"/>
      <c r="M45" s="66">
        <v>3</v>
      </c>
      <c r="N45" s="48">
        <v>1</v>
      </c>
      <c r="O45" s="48">
        <v>0</v>
      </c>
      <c r="P45" s="48">
        <v>0</v>
      </c>
      <c r="Q45" s="48">
        <v>0</v>
      </c>
      <c r="R45" s="48"/>
      <c r="S45" s="48">
        <v>0</v>
      </c>
      <c r="T45" s="68"/>
      <c r="V45" s="44" t="s">
        <v>4183</v>
      </c>
    </row>
    <row r="46" spans="1:22" ht="15" customHeight="1">
      <c r="A46" s="48"/>
      <c r="B46" s="48" t="s">
        <v>111</v>
      </c>
      <c r="C46" s="48" t="s">
        <v>112</v>
      </c>
      <c r="D46" s="57" t="s">
        <v>113</v>
      </c>
      <c r="E46" s="50" t="s">
        <v>114</v>
      </c>
      <c r="F46" s="50" t="s">
        <v>114</v>
      </c>
      <c r="G46" s="48">
        <v>9</v>
      </c>
      <c r="H46" s="48">
        <v>1</v>
      </c>
      <c r="I46" s="48"/>
      <c r="J46" s="48"/>
      <c r="K46" s="17"/>
      <c r="L46" s="17"/>
      <c r="M46" s="66">
        <v>3</v>
      </c>
      <c r="N46" s="48">
        <v>1</v>
      </c>
      <c r="O46" s="48">
        <v>0</v>
      </c>
      <c r="P46" s="48">
        <v>0</v>
      </c>
      <c r="Q46" s="48">
        <v>0</v>
      </c>
      <c r="R46" s="48"/>
      <c r="S46" s="48">
        <v>0</v>
      </c>
      <c r="T46" s="68"/>
      <c r="V46" s="44" t="s">
        <v>4183</v>
      </c>
    </row>
    <row r="47" spans="1:22" ht="15" customHeight="1">
      <c r="A47" s="48"/>
      <c r="B47" s="48">
        <v>1202</v>
      </c>
      <c r="C47" s="48" t="s">
        <v>115</v>
      </c>
      <c r="D47" s="57" t="s">
        <v>116</v>
      </c>
      <c r="E47" s="50" t="s">
        <v>117</v>
      </c>
      <c r="F47" s="50" t="s">
        <v>117</v>
      </c>
      <c r="G47" s="48">
        <v>9</v>
      </c>
      <c r="H47" s="48">
        <v>1</v>
      </c>
      <c r="I47" s="48"/>
      <c r="J47" s="48"/>
      <c r="K47" s="17"/>
      <c r="L47" s="17"/>
      <c r="M47" s="66">
        <v>3</v>
      </c>
      <c r="N47" s="48">
        <v>1</v>
      </c>
      <c r="O47" s="48">
        <v>0</v>
      </c>
      <c r="P47" s="48">
        <v>0</v>
      </c>
      <c r="Q47" s="48">
        <v>0</v>
      </c>
      <c r="R47" s="48"/>
      <c r="S47" s="48">
        <v>0</v>
      </c>
      <c r="T47" s="68"/>
      <c r="V47" s="44" t="s">
        <v>4183</v>
      </c>
    </row>
    <row r="48" spans="1:22" ht="15" customHeight="1">
      <c r="A48" s="48"/>
      <c r="B48" s="48">
        <v>1201</v>
      </c>
      <c r="C48" s="48" t="s">
        <v>118</v>
      </c>
      <c r="D48" s="57" t="s">
        <v>119</v>
      </c>
      <c r="E48" s="50" t="s">
        <v>120</v>
      </c>
      <c r="F48" s="50" t="s">
        <v>120</v>
      </c>
      <c r="G48" s="48">
        <v>9</v>
      </c>
      <c r="H48" s="48">
        <v>1</v>
      </c>
      <c r="I48" s="48"/>
      <c r="J48" s="48"/>
      <c r="K48" s="17"/>
      <c r="L48" s="17"/>
      <c r="M48" s="66">
        <v>3</v>
      </c>
      <c r="N48" s="48">
        <v>1</v>
      </c>
      <c r="O48" s="48">
        <v>0</v>
      </c>
      <c r="P48" s="48">
        <v>0</v>
      </c>
      <c r="Q48" s="48">
        <v>0</v>
      </c>
      <c r="R48" s="48"/>
      <c r="S48" s="48">
        <v>0</v>
      </c>
      <c r="T48" s="68"/>
      <c r="V48" s="44" t="s">
        <v>4183</v>
      </c>
    </row>
    <row r="49" spans="1:22" ht="15" customHeight="1">
      <c r="A49" s="48"/>
      <c r="B49" s="48">
        <v>1301</v>
      </c>
      <c r="C49" s="48" t="s">
        <v>121</v>
      </c>
      <c r="D49" s="57" t="s">
        <v>122</v>
      </c>
      <c r="E49" s="50" t="s">
        <v>123</v>
      </c>
      <c r="F49" s="50" t="s">
        <v>123</v>
      </c>
      <c r="G49" s="48">
        <v>9</v>
      </c>
      <c r="H49" s="48">
        <v>1</v>
      </c>
      <c r="I49" s="48"/>
      <c r="J49" s="48"/>
      <c r="K49" s="17"/>
      <c r="L49" s="17"/>
      <c r="M49" s="66">
        <v>3</v>
      </c>
      <c r="N49" s="48">
        <v>1</v>
      </c>
      <c r="O49" s="48">
        <v>0</v>
      </c>
      <c r="P49" s="48">
        <v>0</v>
      </c>
      <c r="Q49" s="48">
        <v>0</v>
      </c>
      <c r="R49" s="48"/>
      <c r="S49" s="48">
        <v>0</v>
      </c>
      <c r="T49" s="68"/>
      <c r="V49" s="44" t="s">
        <v>4183</v>
      </c>
    </row>
    <row r="50" spans="1:22" ht="15" customHeight="1">
      <c r="A50" s="48"/>
      <c r="B50" s="48">
        <v>1302</v>
      </c>
      <c r="C50" s="48" t="s">
        <v>124</v>
      </c>
      <c r="D50" s="57" t="s">
        <v>125</v>
      </c>
      <c r="E50" s="50" t="s">
        <v>126</v>
      </c>
      <c r="F50" s="50" t="s">
        <v>126</v>
      </c>
      <c r="G50" s="48">
        <v>9</v>
      </c>
      <c r="H50" s="48">
        <v>1</v>
      </c>
      <c r="I50" s="48"/>
      <c r="J50" s="48"/>
      <c r="K50" s="17"/>
      <c r="L50" s="17"/>
      <c r="M50" s="66">
        <v>3</v>
      </c>
      <c r="N50" s="48">
        <v>1</v>
      </c>
      <c r="O50" s="48">
        <v>0</v>
      </c>
      <c r="P50" s="48">
        <v>0</v>
      </c>
      <c r="Q50" s="48">
        <v>0</v>
      </c>
      <c r="R50" s="48"/>
      <c r="S50" s="48">
        <v>0</v>
      </c>
      <c r="T50" s="68"/>
      <c r="V50" s="44" t="s">
        <v>4183</v>
      </c>
    </row>
    <row r="51" spans="1:22" ht="15" customHeight="1">
      <c r="A51" s="48"/>
      <c r="B51" s="48">
        <v>1401</v>
      </c>
      <c r="C51" s="48" t="s">
        <v>127</v>
      </c>
      <c r="D51" s="57" t="s">
        <v>128</v>
      </c>
      <c r="E51" s="50" t="s">
        <v>129</v>
      </c>
      <c r="F51" s="50" t="s">
        <v>129</v>
      </c>
      <c r="G51" s="48">
        <v>9</v>
      </c>
      <c r="H51" s="48">
        <v>1</v>
      </c>
      <c r="I51" s="48"/>
      <c r="J51" s="48"/>
      <c r="K51" s="17"/>
      <c r="L51" s="17"/>
      <c r="M51" s="66">
        <v>3</v>
      </c>
      <c r="N51" s="48">
        <v>1</v>
      </c>
      <c r="O51" s="48">
        <v>0</v>
      </c>
      <c r="P51" s="48">
        <v>0</v>
      </c>
      <c r="Q51" s="48">
        <v>0</v>
      </c>
      <c r="R51" s="48"/>
      <c r="S51" s="48">
        <v>0</v>
      </c>
      <c r="T51" s="68"/>
      <c r="V51" s="44" t="s">
        <v>4183</v>
      </c>
    </row>
    <row r="52" spans="1:22" ht="15" customHeight="1">
      <c r="A52" s="48"/>
      <c r="B52" s="48">
        <v>1402</v>
      </c>
      <c r="C52" s="48" t="s">
        <v>130</v>
      </c>
      <c r="D52" s="57" t="s">
        <v>131</v>
      </c>
      <c r="E52" s="50" t="s">
        <v>132</v>
      </c>
      <c r="F52" s="50" t="s">
        <v>132</v>
      </c>
      <c r="G52" s="48">
        <v>9</v>
      </c>
      <c r="H52" s="48">
        <v>1</v>
      </c>
      <c r="I52" s="48"/>
      <c r="J52" s="48"/>
      <c r="K52" s="17"/>
      <c r="L52" s="17"/>
      <c r="M52" s="66">
        <v>3</v>
      </c>
      <c r="N52" s="48">
        <v>1</v>
      </c>
      <c r="O52" s="48">
        <v>0</v>
      </c>
      <c r="P52" s="48">
        <v>0</v>
      </c>
      <c r="Q52" s="48">
        <v>0</v>
      </c>
      <c r="R52" s="48"/>
      <c r="S52" s="48">
        <v>0</v>
      </c>
      <c r="T52" s="68"/>
      <c r="V52" s="44" t="s">
        <v>4183</v>
      </c>
    </row>
    <row r="53" spans="1:22" ht="15" customHeight="1">
      <c r="A53" s="48"/>
      <c r="B53" s="48">
        <v>1000</v>
      </c>
      <c r="C53" s="48" t="s">
        <v>133</v>
      </c>
      <c r="D53" s="57" t="s">
        <v>134</v>
      </c>
      <c r="E53" s="50" t="s">
        <v>135</v>
      </c>
      <c r="F53" s="50" t="s">
        <v>135</v>
      </c>
      <c r="G53" s="48">
        <v>9</v>
      </c>
      <c r="H53" s="48">
        <v>1</v>
      </c>
      <c r="I53" s="48"/>
      <c r="J53" s="48"/>
      <c r="K53" s="17"/>
      <c r="L53" s="17"/>
      <c r="M53" s="66">
        <v>3</v>
      </c>
      <c r="N53" s="48">
        <v>1</v>
      </c>
      <c r="O53" s="48">
        <v>0</v>
      </c>
      <c r="P53" s="48">
        <v>0</v>
      </c>
      <c r="Q53" s="48">
        <v>0</v>
      </c>
      <c r="R53" s="48"/>
      <c r="S53" s="48">
        <v>0</v>
      </c>
      <c r="T53" s="68"/>
      <c r="V53" s="44" t="s">
        <v>4183</v>
      </c>
    </row>
    <row r="54" spans="1:22" ht="15" customHeight="1">
      <c r="A54" s="48"/>
      <c r="B54" s="48">
        <v>1003</v>
      </c>
      <c r="C54" s="48" t="s">
        <v>136</v>
      </c>
      <c r="D54" s="57" t="s">
        <v>137</v>
      </c>
      <c r="E54" s="50" t="s">
        <v>138</v>
      </c>
      <c r="F54" s="50" t="s">
        <v>138</v>
      </c>
      <c r="G54" s="48">
        <v>9</v>
      </c>
      <c r="H54" s="48">
        <v>1</v>
      </c>
      <c r="I54" s="48"/>
      <c r="J54" s="48"/>
      <c r="K54" s="17"/>
      <c r="L54" s="17"/>
      <c r="M54" s="66">
        <v>3</v>
      </c>
      <c r="N54" s="48">
        <v>1</v>
      </c>
      <c r="O54" s="48">
        <v>0</v>
      </c>
      <c r="P54" s="48">
        <v>0</v>
      </c>
      <c r="Q54" s="48">
        <v>0</v>
      </c>
      <c r="R54" s="48"/>
      <c r="S54" s="48">
        <v>0</v>
      </c>
      <c r="T54" s="68"/>
      <c r="V54" s="44" t="s">
        <v>4183</v>
      </c>
    </row>
    <row r="55" spans="1:22" ht="15" customHeight="1">
      <c r="A55" s="48"/>
      <c r="B55" s="48">
        <v>1100</v>
      </c>
      <c r="C55" s="48" t="s">
        <v>139</v>
      </c>
      <c r="D55" s="57" t="s">
        <v>140</v>
      </c>
      <c r="E55" s="50" t="s">
        <v>141</v>
      </c>
      <c r="F55" s="50" t="s">
        <v>141</v>
      </c>
      <c r="G55" s="48">
        <v>9</v>
      </c>
      <c r="H55" s="48">
        <v>1</v>
      </c>
      <c r="I55" s="48"/>
      <c r="J55" s="48"/>
      <c r="K55" s="17"/>
      <c r="L55" s="17"/>
      <c r="M55" s="66">
        <v>3</v>
      </c>
      <c r="N55" s="48">
        <v>1</v>
      </c>
      <c r="O55" s="48">
        <v>0</v>
      </c>
      <c r="P55" s="48">
        <v>0</v>
      </c>
      <c r="Q55" s="48">
        <v>0</v>
      </c>
      <c r="R55" s="48"/>
      <c r="S55" s="48">
        <v>0</v>
      </c>
      <c r="T55" s="68"/>
      <c r="V55" s="44" t="s">
        <v>4183</v>
      </c>
    </row>
    <row r="56" spans="1:22" ht="15" customHeight="1">
      <c r="A56" s="48"/>
      <c r="B56" s="48">
        <v>1200</v>
      </c>
      <c r="C56" s="48" t="s">
        <v>142</v>
      </c>
      <c r="D56" s="57" t="s">
        <v>143</v>
      </c>
      <c r="E56" s="50" t="s">
        <v>144</v>
      </c>
      <c r="F56" s="50" t="s">
        <v>144</v>
      </c>
      <c r="G56" s="48">
        <v>9</v>
      </c>
      <c r="H56" s="48">
        <v>1</v>
      </c>
      <c r="I56" s="48"/>
      <c r="J56" s="48"/>
      <c r="K56" s="17"/>
      <c r="L56" s="17"/>
      <c r="M56" s="66">
        <v>3</v>
      </c>
      <c r="N56" s="48">
        <v>1</v>
      </c>
      <c r="O56" s="48">
        <v>0</v>
      </c>
      <c r="P56" s="48">
        <v>0</v>
      </c>
      <c r="Q56" s="48">
        <v>0</v>
      </c>
      <c r="R56" s="48"/>
      <c r="S56" s="48">
        <v>0</v>
      </c>
      <c r="T56" s="68"/>
      <c r="V56" s="44" t="s">
        <v>4183</v>
      </c>
    </row>
    <row r="57" spans="1:22" ht="15" customHeight="1">
      <c r="A57" s="48"/>
      <c r="B57" s="48">
        <v>1300</v>
      </c>
      <c r="C57" s="48" t="s">
        <v>4166</v>
      </c>
      <c r="D57" s="58" t="s">
        <v>145</v>
      </c>
      <c r="E57" s="50" t="s">
        <v>4167</v>
      </c>
      <c r="F57" s="50" t="s">
        <v>4167</v>
      </c>
      <c r="G57" s="48">
        <v>9</v>
      </c>
      <c r="H57" s="48">
        <v>1</v>
      </c>
      <c r="I57" s="48"/>
      <c r="J57" s="48"/>
      <c r="K57" s="17"/>
      <c r="L57" s="17"/>
      <c r="M57" s="66">
        <v>3</v>
      </c>
      <c r="N57" s="48">
        <v>1</v>
      </c>
      <c r="O57" s="48">
        <v>0</v>
      </c>
      <c r="P57" s="48">
        <v>0</v>
      </c>
      <c r="Q57" s="48">
        <v>0</v>
      </c>
      <c r="R57" s="48"/>
      <c r="S57" s="48">
        <v>0</v>
      </c>
      <c r="T57" s="68"/>
      <c r="V57" s="44" t="s">
        <v>4183</v>
      </c>
    </row>
    <row r="58" spans="1:22" ht="15" customHeight="1">
      <c r="A58" s="48"/>
      <c r="B58" s="48">
        <v>1400</v>
      </c>
      <c r="C58" s="48" t="s">
        <v>146</v>
      </c>
      <c r="D58" s="58" t="s">
        <v>147</v>
      </c>
      <c r="E58" s="50" t="s">
        <v>148</v>
      </c>
      <c r="F58" s="50" t="s">
        <v>148</v>
      </c>
      <c r="G58" s="48">
        <v>9</v>
      </c>
      <c r="H58" s="48">
        <v>1</v>
      </c>
      <c r="I58" s="48"/>
      <c r="J58" s="48"/>
      <c r="K58" s="17"/>
      <c r="L58" s="17"/>
      <c r="M58" s="66">
        <v>3</v>
      </c>
      <c r="N58" s="48">
        <v>1</v>
      </c>
      <c r="O58" s="48">
        <v>0</v>
      </c>
      <c r="P58" s="48">
        <v>0</v>
      </c>
      <c r="Q58" s="48">
        <v>0</v>
      </c>
      <c r="R58" s="48"/>
      <c r="S58" s="48">
        <v>0</v>
      </c>
      <c r="T58" s="68"/>
      <c r="V58" s="44" t="s">
        <v>4183</v>
      </c>
    </row>
    <row r="59" spans="1:22" ht="15" customHeight="1">
      <c r="A59" s="48"/>
      <c r="B59" s="48">
        <v>1403</v>
      </c>
      <c r="C59" s="48" t="s">
        <v>149</v>
      </c>
      <c r="D59" s="58" t="s">
        <v>150</v>
      </c>
      <c r="E59" s="50" t="s">
        <v>151</v>
      </c>
      <c r="F59" s="50" t="s">
        <v>151</v>
      </c>
      <c r="G59" s="48">
        <v>9</v>
      </c>
      <c r="H59" s="48">
        <v>1</v>
      </c>
      <c r="I59" s="48"/>
      <c r="J59" s="48"/>
      <c r="K59" s="17"/>
      <c r="L59" s="17"/>
      <c r="M59" s="66">
        <v>3</v>
      </c>
      <c r="N59" s="48">
        <v>1</v>
      </c>
      <c r="O59" s="48">
        <v>0</v>
      </c>
      <c r="P59" s="48">
        <v>0</v>
      </c>
      <c r="Q59" s="48">
        <v>0</v>
      </c>
      <c r="R59" s="48"/>
      <c r="S59" s="48">
        <v>0</v>
      </c>
      <c r="T59" s="68"/>
      <c r="V59" s="44" t="s">
        <v>4183</v>
      </c>
    </row>
    <row r="60" spans="1:22">
      <c r="A60" s="59" t="s">
        <v>48</v>
      </c>
      <c r="B60" s="59">
        <v>1501</v>
      </c>
      <c r="C60" s="59" t="s">
        <v>152</v>
      </c>
      <c r="D60" s="59" t="s">
        <v>153</v>
      </c>
      <c r="E60" s="60" t="s">
        <v>154</v>
      </c>
      <c r="F60" s="60" t="s">
        <v>154</v>
      </c>
      <c r="G60" s="59">
        <v>9</v>
      </c>
      <c r="H60" s="48">
        <v>1</v>
      </c>
      <c r="I60" s="59"/>
      <c r="J60" s="59"/>
      <c r="K60" s="17"/>
      <c r="L60" s="17"/>
      <c r="M60" s="66">
        <v>3</v>
      </c>
      <c r="N60" s="59">
        <v>1</v>
      </c>
      <c r="O60" s="59">
        <v>0</v>
      </c>
      <c r="P60" s="59">
        <v>0</v>
      </c>
      <c r="Q60" s="59">
        <v>0</v>
      </c>
      <c r="R60" s="59"/>
      <c r="S60" s="59">
        <v>0</v>
      </c>
      <c r="T60" s="71"/>
      <c r="V60" s="44" t="s">
        <v>4183</v>
      </c>
    </row>
    <row r="61" spans="1:22">
      <c r="A61" s="59" t="s">
        <v>48</v>
      </c>
      <c r="B61" s="59">
        <v>1502</v>
      </c>
      <c r="C61" s="59" t="s">
        <v>155</v>
      </c>
      <c r="D61" s="59" t="s">
        <v>156</v>
      </c>
      <c r="E61" s="60" t="s">
        <v>157</v>
      </c>
      <c r="F61" s="60" t="s">
        <v>157</v>
      </c>
      <c r="G61" s="59">
        <v>9</v>
      </c>
      <c r="H61" s="48">
        <v>1</v>
      </c>
      <c r="I61" s="59"/>
      <c r="J61" s="59"/>
      <c r="K61" s="17"/>
      <c r="L61" s="17"/>
      <c r="M61" s="66">
        <v>3</v>
      </c>
      <c r="N61" s="59">
        <v>1</v>
      </c>
      <c r="O61" s="59">
        <v>0</v>
      </c>
      <c r="P61" s="59">
        <v>0</v>
      </c>
      <c r="Q61" s="59">
        <v>0</v>
      </c>
      <c r="R61" s="59"/>
      <c r="S61" s="59">
        <v>0</v>
      </c>
      <c r="T61" s="71"/>
      <c r="V61" s="44" t="s">
        <v>4183</v>
      </c>
    </row>
    <row r="62" spans="1:22">
      <c r="A62" s="59" t="s">
        <v>48</v>
      </c>
      <c r="B62" s="59">
        <v>1505</v>
      </c>
      <c r="C62" s="49" t="s">
        <v>158</v>
      </c>
      <c r="D62" s="59" t="s">
        <v>159</v>
      </c>
      <c r="E62" s="60" t="s">
        <v>160</v>
      </c>
      <c r="F62" s="60" t="s">
        <v>160</v>
      </c>
      <c r="G62" s="59">
        <v>9</v>
      </c>
      <c r="H62" s="48">
        <v>1</v>
      </c>
      <c r="I62" s="59"/>
      <c r="J62" s="59"/>
      <c r="K62" s="17"/>
      <c r="L62" s="17"/>
      <c r="M62" s="66">
        <v>3</v>
      </c>
      <c r="N62" s="59">
        <v>1</v>
      </c>
      <c r="O62" s="59">
        <v>0</v>
      </c>
      <c r="P62" s="59">
        <v>0</v>
      </c>
      <c r="Q62" s="59">
        <v>0</v>
      </c>
      <c r="R62" s="59"/>
      <c r="S62" s="59">
        <v>0</v>
      </c>
      <c r="T62" s="71"/>
      <c r="V62" s="44" t="s">
        <v>4183</v>
      </c>
    </row>
    <row r="63" spans="1:22">
      <c r="A63" s="59" t="s">
        <v>48</v>
      </c>
      <c r="B63" s="59">
        <v>1600</v>
      </c>
      <c r="C63" s="59" t="s">
        <v>161</v>
      </c>
      <c r="D63" s="59" t="s">
        <v>162</v>
      </c>
      <c r="E63" s="60" t="s">
        <v>163</v>
      </c>
      <c r="F63" s="60" t="s">
        <v>163</v>
      </c>
      <c r="G63" s="59">
        <v>9</v>
      </c>
      <c r="H63" s="48">
        <v>1</v>
      </c>
      <c r="I63" s="59"/>
      <c r="J63" s="59"/>
      <c r="K63" s="17"/>
      <c r="L63" s="17"/>
      <c r="M63" s="66">
        <v>3</v>
      </c>
      <c r="N63" s="59">
        <v>1</v>
      </c>
      <c r="O63" s="59">
        <v>0</v>
      </c>
      <c r="P63" s="59">
        <v>0</v>
      </c>
      <c r="Q63" s="59">
        <v>0</v>
      </c>
      <c r="R63" s="59"/>
      <c r="S63" s="59">
        <v>0</v>
      </c>
      <c r="T63" s="71"/>
      <c r="V63" s="44" t="s">
        <v>4183</v>
      </c>
    </row>
    <row r="64" spans="1:22">
      <c r="A64" s="59"/>
      <c r="B64" s="59">
        <v>1104</v>
      </c>
      <c r="C64" s="59" t="s">
        <v>164</v>
      </c>
      <c r="D64" s="59" t="s">
        <v>165</v>
      </c>
      <c r="E64" s="60" t="s">
        <v>166</v>
      </c>
      <c r="F64" s="60" t="s">
        <v>166</v>
      </c>
      <c r="G64" s="59">
        <v>9</v>
      </c>
      <c r="H64" s="48">
        <v>1</v>
      </c>
      <c r="I64" s="59"/>
      <c r="J64" s="59"/>
      <c r="K64" s="17"/>
      <c r="L64" s="17"/>
      <c r="M64" s="66">
        <v>3</v>
      </c>
      <c r="N64" s="59">
        <v>1</v>
      </c>
      <c r="O64" s="59">
        <v>0</v>
      </c>
      <c r="P64" s="59">
        <v>0</v>
      </c>
      <c r="Q64" s="59">
        <v>0</v>
      </c>
      <c r="R64" s="59"/>
      <c r="S64" s="59">
        <v>0</v>
      </c>
      <c r="T64" s="71"/>
      <c r="V64" s="44" t="s">
        <v>4183</v>
      </c>
    </row>
    <row r="65" spans="1:22">
      <c r="A65" s="59" t="s">
        <v>48</v>
      </c>
      <c r="B65" s="59">
        <v>1603</v>
      </c>
      <c r="C65" s="59" t="s">
        <v>167</v>
      </c>
      <c r="D65" s="59" t="s">
        <v>168</v>
      </c>
      <c r="E65" s="60" t="s">
        <v>169</v>
      </c>
      <c r="F65" s="60" t="s">
        <v>169</v>
      </c>
      <c r="G65" s="59">
        <v>9</v>
      </c>
      <c r="H65" s="48">
        <v>1</v>
      </c>
      <c r="I65" s="59"/>
      <c r="J65" s="59"/>
      <c r="K65" s="17"/>
      <c r="L65" s="17"/>
      <c r="M65" s="66">
        <v>3</v>
      </c>
      <c r="N65" s="59">
        <v>1</v>
      </c>
      <c r="O65" s="59">
        <v>0</v>
      </c>
      <c r="P65" s="59">
        <v>0</v>
      </c>
      <c r="Q65" s="59">
        <v>0</v>
      </c>
      <c r="R65" s="59"/>
      <c r="S65" s="59">
        <v>0</v>
      </c>
      <c r="T65" s="71"/>
      <c r="V65" s="44" t="s">
        <v>4183</v>
      </c>
    </row>
    <row r="66" spans="1:22">
      <c r="A66" s="59" t="s">
        <v>48</v>
      </c>
      <c r="B66" s="59">
        <v>1700</v>
      </c>
      <c r="C66" s="59" t="s">
        <v>170</v>
      </c>
      <c r="D66" s="59" t="s">
        <v>171</v>
      </c>
      <c r="E66" s="60" t="s">
        <v>172</v>
      </c>
      <c r="F66" s="60" t="s">
        <v>172</v>
      </c>
      <c r="G66" s="59">
        <v>9</v>
      </c>
      <c r="H66" s="48">
        <v>1</v>
      </c>
      <c r="I66" s="59"/>
      <c r="J66" s="59"/>
      <c r="K66" s="17"/>
      <c r="L66" s="17"/>
      <c r="M66" s="66">
        <v>3</v>
      </c>
      <c r="N66" s="59">
        <v>1</v>
      </c>
      <c r="O66" s="59">
        <v>0</v>
      </c>
      <c r="P66" s="59">
        <v>0</v>
      </c>
      <c r="Q66" s="59">
        <v>0</v>
      </c>
      <c r="R66" s="59"/>
      <c r="S66" s="59">
        <v>0</v>
      </c>
      <c r="T66" s="71"/>
      <c r="V66" s="44" t="s">
        <v>4183</v>
      </c>
    </row>
    <row r="67" spans="1:22">
      <c r="A67" s="59"/>
      <c r="B67" s="59">
        <v>1405</v>
      </c>
      <c r="C67" s="59" t="s">
        <v>173</v>
      </c>
      <c r="D67" s="59" t="s">
        <v>174</v>
      </c>
      <c r="E67" s="60" t="s">
        <v>175</v>
      </c>
      <c r="F67" s="60" t="s">
        <v>175</v>
      </c>
      <c r="G67" s="59">
        <v>9</v>
      </c>
      <c r="H67" s="48">
        <v>1</v>
      </c>
      <c r="I67" s="59"/>
      <c r="J67" s="59"/>
      <c r="K67" s="17"/>
      <c r="L67" s="17"/>
      <c r="M67" s="66">
        <v>3</v>
      </c>
      <c r="N67" s="59">
        <v>1</v>
      </c>
      <c r="O67" s="59">
        <v>0</v>
      </c>
      <c r="P67" s="59">
        <v>0</v>
      </c>
      <c r="Q67" s="59">
        <v>0</v>
      </c>
      <c r="R67" s="59"/>
      <c r="S67" s="59">
        <v>0</v>
      </c>
      <c r="T67" s="71"/>
      <c r="V67" s="44" t="s">
        <v>4183</v>
      </c>
    </row>
    <row r="68" spans="1:22">
      <c r="A68" s="59"/>
      <c r="B68" s="59">
        <v>1203</v>
      </c>
      <c r="C68" s="59" t="s">
        <v>176</v>
      </c>
      <c r="D68" s="59" t="s">
        <v>177</v>
      </c>
      <c r="E68" s="60" t="s">
        <v>178</v>
      </c>
      <c r="F68" s="60" t="s">
        <v>178</v>
      </c>
      <c r="G68" s="59">
        <v>9</v>
      </c>
      <c r="H68" s="48">
        <v>1</v>
      </c>
      <c r="I68" s="59"/>
      <c r="J68" s="59"/>
      <c r="K68" s="17"/>
      <c r="L68" s="17"/>
      <c r="M68" s="66">
        <v>3</v>
      </c>
      <c r="N68" s="59">
        <v>1</v>
      </c>
      <c r="O68" s="59">
        <v>0</v>
      </c>
      <c r="P68" s="59">
        <v>0</v>
      </c>
      <c r="Q68" s="59">
        <v>0</v>
      </c>
      <c r="R68" s="59"/>
      <c r="S68" s="59">
        <v>0</v>
      </c>
      <c r="T68" s="71"/>
      <c r="V68" s="44" t="s">
        <v>4183</v>
      </c>
    </row>
    <row r="69" spans="1:22">
      <c r="A69" s="59" t="s">
        <v>48</v>
      </c>
      <c r="B69" s="59">
        <v>1800</v>
      </c>
      <c r="C69" s="59" t="s">
        <v>179</v>
      </c>
      <c r="D69" s="59" t="s">
        <v>180</v>
      </c>
      <c r="E69" s="60" t="s">
        <v>181</v>
      </c>
      <c r="F69" s="60" t="s">
        <v>181</v>
      </c>
      <c r="G69" s="59">
        <v>9</v>
      </c>
      <c r="H69" s="48">
        <v>1</v>
      </c>
      <c r="I69" s="59"/>
      <c r="J69" s="59"/>
      <c r="K69" s="17"/>
      <c r="L69" s="17"/>
      <c r="M69" s="66">
        <v>3</v>
      </c>
      <c r="N69" s="59">
        <v>1</v>
      </c>
      <c r="O69" s="59">
        <v>0</v>
      </c>
      <c r="P69" s="59">
        <v>0</v>
      </c>
      <c r="Q69" s="59">
        <v>0</v>
      </c>
      <c r="R69" s="59"/>
      <c r="S69" s="59">
        <v>0</v>
      </c>
      <c r="T69" s="71"/>
      <c r="V69" s="44" t="s">
        <v>4183</v>
      </c>
    </row>
    <row r="70" spans="1:22">
      <c r="A70" s="59" t="s">
        <v>48</v>
      </c>
      <c r="B70" s="59">
        <v>1803</v>
      </c>
      <c r="C70" s="59" t="s">
        <v>182</v>
      </c>
      <c r="D70" s="59" t="s">
        <v>183</v>
      </c>
      <c r="E70" s="60" t="s">
        <v>184</v>
      </c>
      <c r="F70" s="60" t="s">
        <v>184</v>
      </c>
      <c r="G70" s="59">
        <v>9</v>
      </c>
      <c r="H70" s="48">
        <v>1</v>
      </c>
      <c r="I70" s="59"/>
      <c r="J70" s="59"/>
      <c r="K70" s="17"/>
      <c r="L70" s="17"/>
      <c r="M70" s="66">
        <v>3</v>
      </c>
      <c r="N70" s="59">
        <v>1</v>
      </c>
      <c r="O70" s="59">
        <v>0</v>
      </c>
      <c r="P70" s="59">
        <v>0</v>
      </c>
      <c r="Q70" s="59">
        <v>0</v>
      </c>
      <c r="R70" s="59"/>
      <c r="S70" s="59">
        <v>0</v>
      </c>
      <c r="T70" s="71"/>
      <c r="V70" s="44" t="s">
        <v>4183</v>
      </c>
    </row>
    <row r="71" spans="1:22">
      <c r="A71" s="59"/>
      <c r="B71" s="59">
        <v>1404</v>
      </c>
      <c r="C71" s="49" t="s">
        <v>185</v>
      </c>
      <c r="D71" s="59" t="s">
        <v>186</v>
      </c>
      <c r="E71" s="60" t="s">
        <v>187</v>
      </c>
      <c r="F71" s="60" t="s">
        <v>187</v>
      </c>
      <c r="G71" s="59">
        <v>9</v>
      </c>
      <c r="H71" s="48">
        <v>1</v>
      </c>
      <c r="I71" s="59"/>
      <c r="J71" s="59"/>
      <c r="K71" s="17"/>
      <c r="L71" s="17"/>
      <c r="M71" s="66">
        <v>3</v>
      </c>
      <c r="N71" s="59">
        <v>1</v>
      </c>
      <c r="O71" s="59">
        <v>0</v>
      </c>
      <c r="P71" s="59">
        <v>0</v>
      </c>
      <c r="Q71" s="59">
        <v>0</v>
      </c>
      <c r="R71" s="59"/>
      <c r="S71" s="59">
        <v>0</v>
      </c>
      <c r="T71" s="71"/>
      <c r="V71" s="44" t="s">
        <v>4183</v>
      </c>
    </row>
    <row r="72" spans="1:22">
      <c r="A72" s="59"/>
      <c r="B72" s="59">
        <v>1304</v>
      </c>
      <c r="C72" s="59" t="s">
        <v>188</v>
      </c>
      <c r="D72" s="59" t="s">
        <v>189</v>
      </c>
      <c r="E72" s="60" t="s">
        <v>190</v>
      </c>
      <c r="F72" s="60" t="s">
        <v>190</v>
      </c>
      <c r="G72" s="59">
        <v>9</v>
      </c>
      <c r="H72" s="48">
        <v>1</v>
      </c>
      <c r="I72" s="59"/>
      <c r="J72" s="59"/>
      <c r="K72" s="17"/>
      <c r="L72" s="17"/>
      <c r="M72" s="66">
        <v>3</v>
      </c>
      <c r="N72" s="59">
        <v>1</v>
      </c>
      <c r="O72" s="59">
        <v>0</v>
      </c>
      <c r="P72" s="59">
        <v>0</v>
      </c>
      <c r="Q72" s="59">
        <v>0</v>
      </c>
      <c r="R72" s="59"/>
      <c r="S72" s="59">
        <v>0</v>
      </c>
      <c r="T72" s="71"/>
      <c r="V72" s="44" t="s">
        <v>4183</v>
      </c>
    </row>
    <row r="73" spans="1:22">
      <c r="A73" s="59" t="s">
        <v>48</v>
      </c>
      <c r="B73" s="59">
        <v>1901</v>
      </c>
      <c r="C73" s="59" t="s">
        <v>191</v>
      </c>
      <c r="D73" s="59" t="s">
        <v>192</v>
      </c>
      <c r="E73" s="60" t="s">
        <v>193</v>
      </c>
      <c r="F73" s="60" t="s">
        <v>193</v>
      </c>
      <c r="G73" s="59">
        <v>9</v>
      </c>
      <c r="H73" s="48">
        <v>1</v>
      </c>
      <c r="I73" s="59"/>
      <c r="J73" s="59"/>
      <c r="K73" s="17"/>
      <c r="L73" s="17"/>
      <c r="M73" s="66">
        <v>3</v>
      </c>
      <c r="N73" s="59">
        <v>1</v>
      </c>
      <c r="O73" s="59">
        <v>0</v>
      </c>
      <c r="P73" s="59">
        <v>0</v>
      </c>
      <c r="Q73" s="59">
        <v>0</v>
      </c>
      <c r="R73" s="59"/>
      <c r="S73" s="59">
        <v>0</v>
      </c>
      <c r="T73" s="71"/>
      <c r="V73" s="44" t="s">
        <v>4183</v>
      </c>
    </row>
    <row r="74" spans="1:22">
      <c r="A74" s="59" t="s">
        <v>48</v>
      </c>
      <c r="B74" s="59">
        <v>1902</v>
      </c>
      <c r="C74" s="59" t="s">
        <v>194</v>
      </c>
      <c r="D74" s="59" t="s">
        <v>195</v>
      </c>
      <c r="E74" s="60" t="s">
        <v>196</v>
      </c>
      <c r="F74" s="60" t="s">
        <v>196</v>
      </c>
      <c r="G74" s="59">
        <v>9</v>
      </c>
      <c r="H74" s="48">
        <v>1</v>
      </c>
      <c r="I74" s="59"/>
      <c r="J74" s="59"/>
      <c r="K74" s="17"/>
      <c r="L74" s="17"/>
      <c r="M74" s="66">
        <v>3</v>
      </c>
      <c r="N74" s="59">
        <v>1</v>
      </c>
      <c r="O74" s="59">
        <v>0</v>
      </c>
      <c r="P74" s="59">
        <v>0</v>
      </c>
      <c r="Q74" s="59">
        <v>0</v>
      </c>
      <c r="R74" s="59"/>
      <c r="S74" s="59">
        <v>0</v>
      </c>
      <c r="T74" s="71"/>
      <c r="V74" s="44" t="s">
        <v>4183</v>
      </c>
    </row>
    <row r="75" spans="1:22">
      <c r="A75" s="59" t="s">
        <v>48</v>
      </c>
      <c r="B75" s="59">
        <v>1303</v>
      </c>
      <c r="C75" s="59" t="s">
        <v>197</v>
      </c>
      <c r="D75" s="59" t="s">
        <v>198</v>
      </c>
      <c r="E75" s="60" t="s">
        <v>199</v>
      </c>
      <c r="F75" s="60" t="s">
        <v>199</v>
      </c>
      <c r="G75" s="59">
        <v>9</v>
      </c>
      <c r="H75" s="48">
        <v>1</v>
      </c>
      <c r="I75" s="59"/>
      <c r="J75" s="59"/>
      <c r="K75" s="17"/>
      <c r="L75" s="17"/>
      <c r="M75" s="66">
        <v>3</v>
      </c>
      <c r="N75" s="59">
        <v>1</v>
      </c>
      <c r="O75" s="59">
        <v>0</v>
      </c>
      <c r="P75" s="59">
        <v>0</v>
      </c>
      <c r="Q75" s="59">
        <v>0</v>
      </c>
      <c r="R75" s="59"/>
      <c r="S75" s="59">
        <v>0</v>
      </c>
      <c r="T75" s="71"/>
      <c r="V75" s="44" t="s">
        <v>4183</v>
      </c>
    </row>
    <row r="76" spans="1:22">
      <c r="A76" s="59"/>
      <c r="B76" s="59">
        <v>1105</v>
      </c>
      <c r="C76" s="59" t="s">
        <v>200</v>
      </c>
      <c r="D76" s="59" t="s">
        <v>201</v>
      </c>
      <c r="E76" s="60" t="s">
        <v>202</v>
      </c>
      <c r="F76" s="60" t="s">
        <v>202</v>
      </c>
      <c r="G76" s="59">
        <v>9</v>
      </c>
      <c r="H76" s="48">
        <v>1</v>
      </c>
      <c r="I76" s="59"/>
      <c r="J76" s="59"/>
      <c r="K76" s="17"/>
      <c r="L76" s="17"/>
      <c r="M76" s="66">
        <v>3</v>
      </c>
      <c r="N76" s="59">
        <v>1</v>
      </c>
      <c r="O76" s="59">
        <v>0</v>
      </c>
      <c r="P76" s="59">
        <v>0</v>
      </c>
      <c r="Q76" s="59">
        <v>0</v>
      </c>
      <c r="R76" s="59"/>
      <c r="S76" s="59">
        <v>0</v>
      </c>
      <c r="T76" s="71"/>
      <c r="V76" s="44" t="s">
        <v>4183</v>
      </c>
    </row>
    <row r="77" spans="1:22">
      <c r="A77" s="59"/>
      <c r="B77" s="59">
        <v>1106</v>
      </c>
      <c r="C77" s="49" t="s">
        <v>203</v>
      </c>
      <c r="D77" s="59" t="s">
        <v>204</v>
      </c>
      <c r="E77" s="60" t="s">
        <v>205</v>
      </c>
      <c r="F77" s="60" t="s">
        <v>205</v>
      </c>
      <c r="G77" s="59">
        <v>9</v>
      </c>
      <c r="H77" s="48">
        <v>1</v>
      </c>
      <c r="I77" s="59"/>
      <c r="J77" s="59"/>
      <c r="K77" s="17"/>
      <c r="L77" s="17"/>
      <c r="M77" s="66">
        <v>3</v>
      </c>
      <c r="N77" s="59">
        <v>1</v>
      </c>
      <c r="O77" s="59">
        <v>0</v>
      </c>
      <c r="P77" s="59">
        <v>0</v>
      </c>
      <c r="Q77" s="59">
        <v>0</v>
      </c>
      <c r="R77" s="59"/>
      <c r="S77" s="59">
        <v>0</v>
      </c>
      <c r="T77" s="71"/>
      <c r="V77" s="44" t="s">
        <v>4183</v>
      </c>
    </row>
    <row r="78" spans="1:22">
      <c r="A78" s="59"/>
      <c r="B78" s="59">
        <v>1406</v>
      </c>
      <c r="C78" s="59" t="s">
        <v>206</v>
      </c>
      <c r="D78" s="59" t="s">
        <v>3948</v>
      </c>
      <c r="E78" s="60" t="s">
        <v>3955</v>
      </c>
      <c r="F78" s="60" t="s">
        <v>207</v>
      </c>
      <c r="G78" s="59">
        <v>9</v>
      </c>
      <c r="H78" s="48">
        <v>1</v>
      </c>
      <c r="I78" s="59"/>
      <c r="J78" s="59"/>
      <c r="K78" s="17"/>
      <c r="L78" s="17"/>
      <c r="M78" s="66">
        <v>3</v>
      </c>
      <c r="N78" s="59">
        <v>1</v>
      </c>
      <c r="O78" s="59">
        <v>0</v>
      </c>
      <c r="P78" s="59">
        <v>0</v>
      </c>
      <c r="Q78" s="59">
        <v>0</v>
      </c>
      <c r="R78" s="59"/>
      <c r="S78" s="59">
        <v>0</v>
      </c>
      <c r="T78" s="71"/>
      <c r="V78" s="44" t="s">
        <v>4183</v>
      </c>
    </row>
    <row r="79" spans="1:22">
      <c r="A79" s="59"/>
      <c r="B79" s="156">
        <v>1204</v>
      </c>
      <c r="C79" s="226" t="s">
        <v>4168</v>
      </c>
      <c r="D79" s="227" t="s">
        <v>3949</v>
      </c>
      <c r="E79" s="226" t="s">
        <v>4169</v>
      </c>
      <c r="F79" s="226" t="s">
        <v>4169</v>
      </c>
      <c r="G79" s="59">
        <v>9</v>
      </c>
      <c r="H79" s="48">
        <v>1</v>
      </c>
      <c r="I79" s="59"/>
      <c r="J79" s="59"/>
      <c r="K79" s="17"/>
      <c r="L79" s="17"/>
      <c r="M79" s="66">
        <v>3</v>
      </c>
      <c r="N79" s="59">
        <v>1</v>
      </c>
      <c r="O79" s="59">
        <v>0</v>
      </c>
      <c r="P79" s="59">
        <v>0</v>
      </c>
      <c r="Q79" s="59">
        <v>0</v>
      </c>
      <c r="R79" s="59"/>
      <c r="S79" s="59">
        <v>0</v>
      </c>
      <c r="T79" s="71"/>
      <c r="V79" s="44" t="s">
        <v>4183</v>
      </c>
    </row>
    <row r="80" spans="1:22">
      <c r="A80" s="59"/>
      <c r="B80" s="156">
        <v>1205</v>
      </c>
      <c r="C80" s="226" t="s">
        <v>4170</v>
      </c>
      <c r="D80" s="227" t="s">
        <v>3950</v>
      </c>
      <c r="E80" s="226" t="s">
        <v>4171</v>
      </c>
      <c r="F80" s="226" t="s">
        <v>4171</v>
      </c>
      <c r="G80" s="59">
        <v>9</v>
      </c>
      <c r="H80" s="48">
        <v>1</v>
      </c>
      <c r="I80" s="59"/>
      <c r="J80" s="59"/>
      <c r="K80" s="17"/>
      <c r="L80" s="17"/>
      <c r="M80" s="66">
        <v>3</v>
      </c>
      <c r="N80" s="59">
        <v>1</v>
      </c>
      <c r="O80" s="59">
        <v>0</v>
      </c>
      <c r="P80" s="59">
        <v>0</v>
      </c>
      <c r="Q80" s="59">
        <v>0</v>
      </c>
      <c r="R80" s="59"/>
      <c r="S80" s="59">
        <v>0</v>
      </c>
      <c r="T80" s="71"/>
      <c r="V80" s="44" t="s">
        <v>4183</v>
      </c>
    </row>
    <row r="81" spans="1:22">
      <c r="A81" s="59"/>
      <c r="B81" s="156">
        <v>1305</v>
      </c>
      <c r="C81" s="226" t="s">
        <v>4172</v>
      </c>
      <c r="D81" s="227" t="s">
        <v>3951</v>
      </c>
      <c r="E81" s="226" t="s">
        <v>4173</v>
      </c>
      <c r="F81" s="226" t="s">
        <v>4173</v>
      </c>
      <c r="G81" s="59">
        <v>9</v>
      </c>
      <c r="H81" s="48">
        <v>1</v>
      </c>
      <c r="I81" s="59"/>
      <c r="J81" s="59"/>
      <c r="K81" s="17"/>
      <c r="L81" s="17"/>
      <c r="M81" s="66">
        <v>3</v>
      </c>
      <c r="N81" s="59">
        <v>1</v>
      </c>
      <c r="O81" s="59">
        <v>0</v>
      </c>
      <c r="P81" s="59">
        <v>0</v>
      </c>
      <c r="Q81" s="59">
        <v>0</v>
      </c>
      <c r="R81" s="59"/>
      <c r="S81" s="59">
        <v>0</v>
      </c>
      <c r="T81" s="71"/>
      <c r="V81" s="44" t="s">
        <v>4183</v>
      </c>
    </row>
    <row r="82" spans="1:22">
      <c r="A82" s="59"/>
      <c r="B82" s="156">
        <v>1306</v>
      </c>
      <c r="C82" s="226" t="s">
        <v>4174</v>
      </c>
      <c r="D82" s="227" t="s">
        <v>3952</v>
      </c>
      <c r="E82" s="226" t="s">
        <v>4175</v>
      </c>
      <c r="F82" s="226" t="s">
        <v>4175</v>
      </c>
      <c r="G82" s="59">
        <v>9</v>
      </c>
      <c r="H82" s="48">
        <v>1</v>
      </c>
      <c r="I82" s="59"/>
      <c r="J82" s="59"/>
      <c r="K82" s="17"/>
      <c r="L82" s="17"/>
      <c r="M82" s="66">
        <v>3</v>
      </c>
      <c r="N82" s="59">
        <v>1</v>
      </c>
      <c r="O82" s="59">
        <v>0</v>
      </c>
      <c r="P82" s="59">
        <v>0</v>
      </c>
      <c r="Q82" s="59">
        <v>0</v>
      </c>
      <c r="R82" s="59"/>
      <c r="S82" s="59">
        <v>0</v>
      </c>
      <c r="T82" s="71"/>
      <c r="V82" s="44" t="s">
        <v>4183</v>
      </c>
    </row>
    <row r="83" spans="1:22">
      <c r="A83" s="59"/>
      <c r="B83" s="157">
        <v>1307</v>
      </c>
      <c r="C83" s="226" t="s">
        <v>4176</v>
      </c>
      <c r="D83" s="228" t="s">
        <v>3953</v>
      </c>
      <c r="E83" s="226" t="s">
        <v>4177</v>
      </c>
      <c r="F83" s="226" t="s">
        <v>4177</v>
      </c>
      <c r="G83" s="59">
        <v>9</v>
      </c>
      <c r="H83" s="48">
        <v>1</v>
      </c>
      <c r="I83" s="59"/>
      <c r="J83" s="59"/>
      <c r="K83" s="17"/>
      <c r="L83" s="17"/>
      <c r="M83" s="66">
        <v>3</v>
      </c>
      <c r="N83" s="59">
        <v>1</v>
      </c>
      <c r="O83" s="59">
        <v>0</v>
      </c>
      <c r="P83" s="59">
        <v>0</v>
      </c>
      <c r="Q83" s="59">
        <v>0</v>
      </c>
      <c r="R83" s="59"/>
      <c r="S83" s="59">
        <v>0</v>
      </c>
      <c r="T83" s="71"/>
      <c r="V83" s="44" t="s">
        <v>4183</v>
      </c>
    </row>
    <row r="84" spans="1:22">
      <c r="A84" s="59"/>
      <c r="B84" s="157">
        <v>1107</v>
      </c>
      <c r="C84" s="226" t="s">
        <v>4178</v>
      </c>
      <c r="D84" s="228" t="s">
        <v>3954</v>
      </c>
      <c r="E84" s="226" t="s">
        <v>4179</v>
      </c>
      <c r="F84" s="226" t="s">
        <v>4179</v>
      </c>
      <c r="G84" s="59">
        <v>9</v>
      </c>
      <c r="H84" s="48">
        <v>1</v>
      </c>
      <c r="I84" s="59"/>
      <c r="J84" s="59"/>
      <c r="K84" s="17"/>
      <c r="L84" s="17"/>
      <c r="M84" s="66">
        <v>3</v>
      </c>
      <c r="N84" s="59">
        <v>1</v>
      </c>
      <c r="O84" s="59">
        <v>0</v>
      </c>
      <c r="P84" s="59">
        <v>0</v>
      </c>
      <c r="Q84" s="59">
        <v>0</v>
      </c>
      <c r="R84" s="59"/>
      <c r="S84" s="59">
        <v>0</v>
      </c>
      <c r="T84" s="71"/>
      <c r="V84" s="44" t="s">
        <v>4183</v>
      </c>
    </row>
    <row r="85" spans="1:22" ht="15" customHeight="1">
      <c r="A85" s="48"/>
      <c r="B85" s="48">
        <v>2000</v>
      </c>
      <c r="C85" s="48" t="s">
        <v>208</v>
      </c>
      <c r="D85" s="48" t="s">
        <v>209</v>
      </c>
      <c r="E85" s="50" t="s">
        <v>210</v>
      </c>
      <c r="F85" s="50" t="s">
        <v>211</v>
      </c>
      <c r="G85" s="48">
        <v>2</v>
      </c>
      <c r="H85" s="48"/>
      <c r="I85" s="48"/>
      <c r="J85" s="48"/>
      <c r="K85" s="17"/>
      <c r="L85" s="17"/>
      <c r="M85" s="49">
        <v>1</v>
      </c>
      <c r="N85" s="48">
        <v>1</v>
      </c>
      <c r="O85" s="48">
        <v>0</v>
      </c>
      <c r="P85" s="48">
        <v>0</v>
      </c>
      <c r="Q85" s="48">
        <v>0</v>
      </c>
      <c r="R85" s="48"/>
      <c r="S85" s="48">
        <v>0</v>
      </c>
      <c r="T85" s="68"/>
    </row>
    <row r="86" spans="1:22" ht="15" customHeight="1">
      <c r="A86" s="48"/>
      <c r="B86" s="48">
        <v>2001</v>
      </c>
      <c r="C86" s="48" t="s">
        <v>212</v>
      </c>
      <c r="D86" s="48" t="s">
        <v>213</v>
      </c>
      <c r="E86" s="50"/>
      <c r="F86" s="50" t="s">
        <v>214</v>
      </c>
      <c r="G86" s="48">
        <v>2</v>
      </c>
      <c r="H86" s="48"/>
      <c r="I86" s="48"/>
      <c r="J86" s="48"/>
      <c r="K86" s="17"/>
      <c r="L86" s="17"/>
      <c r="M86" s="49">
        <v>1</v>
      </c>
      <c r="N86" s="48">
        <v>1</v>
      </c>
      <c r="O86" s="48">
        <v>0</v>
      </c>
      <c r="P86" s="48">
        <v>0</v>
      </c>
      <c r="Q86" s="48">
        <v>0</v>
      </c>
      <c r="R86" s="48"/>
      <c r="S86" s="48">
        <v>0</v>
      </c>
      <c r="T86" s="68"/>
    </row>
    <row r="87" spans="1:22" ht="15" customHeight="1">
      <c r="A87" s="48"/>
      <c r="B87" s="48">
        <v>2002</v>
      </c>
      <c r="C87" s="48" t="s">
        <v>215</v>
      </c>
      <c r="D87" s="48" t="s">
        <v>216</v>
      </c>
      <c r="E87" s="50"/>
      <c r="F87" s="50" t="s">
        <v>217</v>
      </c>
      <c r="G87" s="48">
        <v>2</v>
      </c>
      <c r="H87" s="48"/>
      <c r="I87" s="48"/>
      <c r="J87" s="48"/>
      <c r="K87" s="17"/>
      <c r="L87" s="17"/>
      <c r="M87" s="49">
        <v>1</v>
      </c>
      <c r="N87" s="48">
        <v>1</v>
      </c>
      <c r="O87" s="48">
        <v>0</v>
      </c>
      <c r="P87" s="48">
        <v>0</v>
      </c>
      <c r="Q87" s="48">
        <v>0</v>
      </c>
      <c r="R87" s="48"/>
      <c r="S87" s="48">
        <v>0</v>
      </c>
      <c r="T87" s="68"/>
    </row>
    <row r="88" spans="1:22" ht="15" customHeight="1">
      <c r="A88" s="48"/>
      <c r="B88" s="48">
        <v>2003</v>
      </c>
      <c r="C88" s="48" t="s">
        <v>218</v>
      </c>
      <c r="D88" s="48" t="s">
        <v>219</v>
      </c>
      <c r="E88" s="50"/>
      <c r="F88" s="50" t="s">
        <v>220</v>
      </c>
      <c r="G88" s="48">
        <v>2</v>
      </c>
      <c r="H88" s="48"/>
      <c r="I88" s="48"/>
      <c r="J88" s="48"/>
      <c r="K88" s="17"/>
      <c r="L88" s="17"/>
      <c r="M88" s="49">
        <v>1</v>
      </c>
      <c r="N88" s="48">
        <v>1</v>
      </c>
      <c r="O88" s="48">
        <v>0</v>
      </c>
      <c r="P88" s="48">
        <v>0</v>
      </c>
      <c r="Q88" s="48">
        <v>0</v>
      </c>
      <c r="R88" s="48"/>
      <c r="S88" s="48">
        <v>0</v>
      </c>
      <c r="T88" s="68"/>
    </row>
    <row r="89" spans="1:22" ht="15" customHeight="1">
      <c r="A89" s="48"/>
      <c r="B89" s="48">
        <v>2004</v>
      </c>
      <c r="C89" s="48" t="s">
        <v>221</v>
      </c>
      <c r="D89" s="48" t="s">
        <v>222</v>
      </c>
      <c r="E89" s="50"/>
      <c r="F89" s="50" t="s">
        <v>223</v>
      </c>
      <c r="G89" s="48">
        <v>2</v>
      </c>
      <c r="H89" s="48"/>
      <c r="I89" s="48"/>
      <c r="J89" s="48"/>
      <c r="K89" s="17"/>
      <c r="L89" s="17"/>
      <c r="M89" s="49">
        <v>1</v>
      </c>
      <c r="N89" s="48">
        <v>1</v>
      </c>
      <c r="O89" s="48">
        <v>0</v>
      </c>
      <c r="P89" s="48">
        <v>0</v>
      </c>
      <c r="Q89" s="48">
        <v>0</v>
      </c>
      <c r="R89" s="48"/>
      <c r="S89" s="48">
        <v>0</v>
      </c>
      <c r="T89" s="68"/>
    </row>
    <row r="90" spans="1:22" ht="15" customHeight="1">
      <c r="A90" s="48"/>
      <c r="B90" s="48">
        <v>2005</v>
      </c>
      <c r="C90" s="48" t="s">
        <v>224</v>
      </c>
      <c r="D90" s="48" t="s">
        <v>225</v>
      </c>
      <c r="E90" s="50"/>
      <c r="F90" s="50" t="s">
        <v>226</v>
      </c>
      <c r="G90" s="48">
        <v>2</v>
      </c>
      <c r="H90" s="48"/>
      <c r="I90" s="48"/>
      <c r="J90" s="48"/>
      <c r="K90" s="17"/>
      <c r="L90" s="17"/>
      <c r="M90" s="49">
        <v>1</v>
      </c>
      <c r="N90" s="48">
        <v>1</v>
      </c>
      <c r="O90" s="48">
        <v>0</v>
      </c>
      <c r="P90" s="48">
        <v>0</v>
      </c>
      <c r="Q90" s="48">
        <v>0</v>
      </c>
      <c r="R90" s="48"/>
      <c r="S90" s="48">
        <v>0</v>
      </c>
      <c r="T90" s="68"/>
    </row>
    <row r="91" spans="1:22" ht="15" customHeight="1">
      <c r="A91" s="48"/>
      <c r="B91" s="48">
        <v>2006</v>
      </c>
      <c r="C91" s="48" t="s">
        <v>227</v>
      </c>
      <c r="D91" s="48" t="s">
        <v>228</v>
      </c>
      <c r="E91" s="50"/>
      <c r="F91" s="50" t="s">
        <v>229</v>
      </c>
      <c r="G91" s="48">
        <v>2</v>
      </c>
      <c r="H91" s="48"/>
      <c r="I91" s="48"/>
      <c r="J91" s="48"/>
      <c r="K91" s="17"/>
      <c r="L91" s="17"/>
      <c r="M91" s="49">
        <v>1</v>
      </c>
      <c r="N91" s="48">
        <v>1</v>
      </c>
      <c r="O91" s="48">
        <v>0</v>
      </c>
      <c r="P91" s="48">
        <v>0</v>
      </c>
      <c r="Q91" s="48">
        <v>0</v>
      </c>
      <c r="R91" s="48"/>
      <c r="S91" s="48">
        <v>0</v>
      </c>
      <c r="T91" s="68"/>
    </row>
    <row r="92" spans="1:22" ht="15" customHeight="1">
      <c r="A92" s="48"/>
      <c r="B92" s="48">
        <v>2007</v>
      </c>
      <c r="C92" s="48" t="s">
        <v>230</v>
      </c>
      <c r="D92" s="48" t="s">
        <v>231</v>
      </c>
      <c r="E92" s="50"/>
      <c r="F92" s="50" t="s">
        <v>232</v>
      </c>
      <c r="G92" s="48">
        <v>2</v>
      </c>
      <c r="H92" s="48"/>
      <c r="I92" s="48"/>
      <c r="J92" s="48"/>
      <c r="K92" s="17"/>
      <c r="L92" s="17"/>
      <c r="M92" s="49">
        <v>1</v>
      </c>
      <c r="N92" s="48">
        <v>1</v>
      </c>
      <c r="O92" s="48">
        <v>0</v>
      </c>
      <c r="P92" s="48">
        <v>0</v>
      </c>
      <c r="Q92" s="48">
        <v>0</v>
      </c>
      <c r="R92" s="48"/>
      <c r="S92" s="48">
        <v>0</v>
      </c>
      <c r="T92" s="68"/>
    </row>
    <row r="93" spans="1:22" ht="15" customHeight="1">
      <c r="A93" s="48"/>
      <c r="B93" s="48">
        <v>2008</v>
      </c>
      <c r="C93" s="48" t="s">
        <v>233</v>
      </c>
      <c r="D93" s="48" t="s">
        <v>234</v>
      </c>
      <c r="E93" s="50"/>
      <c r="F93" s="50" t="s">
        <v>235</v>
      </c>
      <c r="G93" s="48">
        <v>2</v>
      </c>
      <c r="H93" s="48"/>
      <c r="I93" s="48"/>
      <c r="J93" s="48"/>
      <c r="K93" s="17"/>
      <c r="L93" s="17"/>
      <c r="M93" s="49">
        <v>1</v>
      </c>
      <c r="N93" s="48">
        <v>1</v>
      </c>
      <c r="O93" s="48">
        <v>0</v>
      </c>
      <c r="P93" s="48">
        <v>0</v>
      </c>
      <c r="Q93" s="48">
        <v>0</v>
      </c>
      <c r="R93" s="48"/>
      <c r="S93" s="48">
        <v>0</v>
      </c>
      <c r="T93" s="68"/>
    </row>
    <row r="94" spans="1:22" ht="15" customHeight="1">
      <c r="A94" s="48"/>
      <c r="B94" s="48">
        <v>2009</v>
      </c>
      <c r="C94" s="48" t="s">
        <v>236</v>
      </c>
      <c r="D94" s="48" t="s">
        <v>237</v>
      </c>
      <c r="E94" s="50"/>
      <c r="F94" s="50" t="s">
        <v>238</v>
      </c>
      <c r="G94" s="48">
        <v>2</v>
      </c>
      <c r="H94" s="48"/>
      <c r="I94" s="48"/>
      <c r="J94" s="48"/>
      <c r="K94" s="17"/>
      <c r="L94" s="17"/>
      <c r="M94" s="49">
        <v>1</v>
      </c>
      <c r="N94" s="48">
        <v>1</v>
      </c>
      <c r="O94" s="48">
        <v>0</v>
      </c>
      <c r="P94" s="48">
        <v>0</v>
      </c>
      <c r="Q94" s="48">
        <v>0</v>
      </c>
      <c r="R94" s="48"/>
      <c r="S94" s="48">
        <v>0</v>
      </c>
      <c r="T94" s="68"/>
    </row>
    <row r="95" spans="1:22" ht="15" customHeight="1">
      <c r="A95" s="48"/>
      <c r="B95" s="48">
        <v>2010</v>
      </c>
      <c r="C95" s="48" t="s">
        <v>239</v>
      </c>
      <c r="D95" s="48" t="s">
        <v>240</v>
      </c>
      <c r="E95" s="50" t="s">
        <v>210</v>
      </c>
      <c r="F95" s="50" t="s">
        <v>241</v>
      </c>
      <c r="G95" s="48">
        <v>2</v>
      </c>
      <c r="H95" s="48"/>
      <c r="I95" s="48"/>
      <c r="J95" s="48"/>
      <c r="K95" s="17"/>
      <c r="L95" s="17"/>
      <c r="M95" s="49">
        <v>1</v>
      </c>
      <c r="N95" s="48">
        <v>1</v>
      </c>
      <c r="O95" s="48">
        <v>0</v>
      </c>
      <c r="P95" s="48">
        <v>0</v>
      </c>
      <c r="Q95" s="48">
        <v>0</v>
      </c>
      <c r="R95" s="48"/>
      <c r="S95" s="48">
        <v>0</v>
      </c>
      <c r="T95" s="68"/>
    </row>
    <row r="96" spans="1:22" ht="15" customHeight="1">
      <c r="A96" s="48"/>
      <c r="B96" s="48">
        <v>2011</v>
      </c>
      <c r="C96" s="48" t="s">
        <v>242</v>
      </c>
      <c r="D96" s="48" t="s">
        <v>243</v>
      </c>
      <c r="E96" s="50"/>
      <c r="F96" s="50" t="s">
        <v>244</v>
      </c>
      <c r="G96" s="48">
        <v>2</v>
      </c>
      <c r="H96" s="48"/>
      <c r="I96" s="48"/>
      <c r="J96" s="48"/>
      <c r="K96" s="17"/>
      <c r="L96" s="17"/>
      <c r="M96" s="49">
        <v>1</v>
      </c>
      <c r="N96" s="48">
        <v>1</v>
      </c>
      <c r="O96" s="48">
        <v>0</v>
      </c>
      <c r="P96" s="48">
        <v>0</v>
      </c>
      <c r="Q96" s="48">
        <v>0</v>
      </c>
      <c r="R96" s="48"/>
      <c r="S96" s="48">
        <v>0</v>
      </c>
      <c r="T96" s="68"/>
    </row>
    <row r="97" spans="1:20" ht="15" customHeight="1">
      <c r="A97" s="48"/>
      <c r="B97" s="48">
        <v>2012</v>
      </c>
      <c r="C97" s="48" t="s">
        <v>245</v>
      </c>
      <c r="D97" s="48" t="s">
        <v>246</v>
      </c>
      <c r="E97" s="50"/>
      <c r="F97" s="50" t="s">
        <v>247</v>
      </c>
      <c r="G97" s="48">
        <v>2</v>
      </c>
      <c r="H97" s="48"/>
      <c r="I97" s="48"/>
      <c r="J97" s="48"/>
      <c r="K97" s="17"/>
      <c r="L97" s="17"/>
      <c r="M97" s="49">
        <v>1</v>
      </c>
      <c r="N97" s="48">
        <v>1</v>
      </c>
      <c r="O97" s="48">
        <v>0</v>
      </c>
      <c r="P97" s="48">
        <v>0</v>
      </c>
      <c r="Q97" s="48">
        <v>0</v>
      </c>
      <c r="R97" s="48"/>
      <c r="S97" s="48">
        <v>0</v>
      </c>
      <c r="T97" s="68"/>
    </row>
    <row r="98" spans="1:20" ht="15" customHeight="1">
      <c r="A98" s="48"/>
      <c r="B98" s="48">
        <v>2013</v>
      </c>
      <c r="C98" s="48" t="s">
        <v>248</v>
      </c>
      <c r="D98" s="48" t="s">
        <v>249</v>
      </c>
      <c r="E98" s="50"/>
      <c r="F98" s="50" t="s">
        <v>250</v>
      </c>
      <c r="G98" s="48">
        <v>2</v>
      </c>
      <c r="H98" s="48"/>
      <c r="I98" s="48"/>
      <c r="J98" s="48"/>
      <c r="K98" s="17"/>
      <c r="L98" s="17"/>
      <c r="M98" s="49">
        <v>1</v>
      </c>
      <c r="N98" s="48">
        <v>1</v>
      </c>
      <c r="O98" s="48">
        <v>0</v>
      </c>
      <c r="P98" s="48">
        <v>0</v>
      </c>
      <c r="Q98" s="48">
        <v>0</v>
      </c>
      <c r="R98" s="48"/>
      <c r="S98" s="48">
        <v>0</v>
      </c>
      <c r="T98" s="68"/>
    </row>
    <row r="99" spans="1:20" ht="15" customHeight="1">
      <c r="A99" s="48"/>
      <c r="B99" s="48">
        <v>2014</v>
      </c>
      <c r="C99" s="48" t="s">
        <v>248</v>
      </c>
      <c r="D99" s="48" t="s">
        <v>251</v>
      </c>
      <c r="E99" s="50"/>
      <c r="F99" s="50" t="s">
        <v>252</v>
      </c>
      <c r="G99" s="48">
        <v>2</v>
      </c>
      <c r="H99" s="48"/>
      <c r="I99" s="48"/>
      <c r="J99" s="48"/>
      <c r="K99" s="17"/>
      <c r="L99" s="17"/>
      <c r="M99" s="49">
        <v>1</v>
      </c>
      <c r="N99" s="48">
        <v>1</v>
      </c>
      <c r="O99" s="48">
        <v>0</v>
      </c>
      <c r="P99" s="48">
        <v>0</v>
      </c>
      <c r="Q99" s="48">
        <v>0</v>
      </c>
      <c r="R99" s="48"/>
      <c r="S99" s="48">
        <v>0</v>
      </c>
      <c r="T99" s="68"/>
    </row>
    <row r="100" spans="1:20" ht="15" customHeight="1">
      <c r="A100" s="48"/>
      <c r="B100" s="48">
        <v>2015</v>
      </c>
      <c r="C100" s="48" t="s">
        <v>253</v>
      </c>
      <c r="D100" s="48" t="s">
        <v>254</v>
      </c>
      <c r="E100" s="50"/>
      <c r="F100" s="50" t="s">
        <v>255</v>
      </c>
      <c r="G100" s="48">
        <v>2</v>
      </c>
      <c r="H100" s="48"/>
      <c r="I100" s="48"/>
      <c r="J100" s="48"/>
      <c r="K100" s="17"/>
      <c r="L100" s="17"/>
      <c r="M100" s="49">
        <v>1</v>
      </c>
      <c r="N100" s="48">
        <v>1</v>
      </c>
      <c r="O100" s="48">
        <v>0</v>
      </c>
      <c r="P100" s="48">
        <v>0</v>
      </c>
      <c r="Q100" s="48">
        <v>0</v>
      </c>
      <c r="R100" s="48"/>
      <c r="S100" s="48">
        <v>0</v>
      </c>
      <c r="T100" s="68"/>
    </row>
    <row r="101" spans="1:20" ht="15" customHeight="1">
      <c r="A101" s="48"/>
      <c r="B101" s="48">
        <v>2016</v>
      </c>
      <c r="C101" s="48" t="s">
        <v>256</v>
      </c>
      <c r="D101" s="48" t="s">
        <v>209</v>
      </c>
      <c r="E101" s="50"/>
      <c r="F101" s="50" t="s">
        <v>211</v>
      </c>
      <c r="G101" s="48">
        <v>2</v>
      </c>
      <c r="H101" s="48"/>
      <c r="I101" s="48"/>
      <c r="J101" s="48"/>
      <c r="K101" s="17"/>
      <c r="L101" s="17"/>
      <c r="M101" s="55">
        <v>2</v>
      </c>
      <c r="N101" s="48">
        <v>1</v>
      </c>
      <c r="O101" s="48">
        <v>0</v>
      </c>
      <c r="P101" s="48">
        <v>0</v>
      </c>
      <c r="Q101" s="48">
        <v>0</v>
      </c>
      <c r="R101" s="48"/>
      <c r="S101" s="48">
        <v>0</v>
      </c>
      <c r="T101" s="68"/>
    </row>
    <row r="102" spans="1:20" ht="15" customHeight="1">
      <c r="A102" s="48"/>
      <c r="B102" s="48">
        <v>2017</v>
      </c>
      <c r="C102" s="48" t="s">
        <v>257</v>
      </c>
      <c r="D102" s="48" t="s">
        <v>213</v>
      </c>
      <c r="E102" s="50"/>
      <c r="F102" s="50" t="s">
        <v>214</v>
      </c>
      <c r="G102" s="48">
        <v>2</v>
      </c>
      <c r="H102" s="48"/>
      <c r="I102" s="48"/>
      <c r="J102" s="48"/>
      <c r="K102" s="17"/>
      <c r="L102" s="17"/>
      <c r="M102" s="55">
        <v>2</v>
      </c>
      <c r="N102" s="48">
        <v>1</v>
      </c>
      <c r="O102" s="48">
        <v>0</v>
      </c>
      <c r="P102" s="48">
        <v>0</v>
      </c>
      <c r="Q102" s="48">
        <v>0</v>
      </c>
      <c r="R102" s="48"/>
      <c r="S102" s="48">
        <v>0</v>
      </c>
      <c r="T102" s="68"/>
    </row>
    <row r="103" spans="1:20" ht="15" customHeight="1">
      <c r="A103" s="48"/>
      <c r="B103" s="48">
        <v>2018</v>
      </c>
      <c r="C103" s="48" t="s">
        <v>258</v>
      </c>
      <c r="D103" s="48" t="s">
        <v>216</v>
      </c>
      <c r="E103" s="50"/>
      <c r="F103" s="50" t="s">
        <v>217</v>
      </c>
      <c r="G103" s="48">
        <v>2</v>
      </c>
      <c r="H103" s="48"/>
      <c r="I103" s="48"/>
      <c r="J103" s="48"/>
      <c r="K103" s="17"/>
      <c r="L103" s="17"/>
      <c r="M103" s="55">
        <v>2</v>
      </c>
      <c r="N103" s="48">
        <v>1</v>
      </c>
      <c r="O103" s="48">
        <v>0</v>
      </c>
      <c r="P103" s="48">
        <v>0</v>
      </c>
      <c r="Q103" s="48">
        <v>0</v>
      </c>
      <c r="R103" s="48"/>
      <c r="S103" s="48">
        <v>0</v>
      </c>
      <c r="T103" s="68"/>
    </row>
    <row r="104" spans="1:20" ht="15" customHeight="1">
      <c r="A104" s="48"/>
      <c r="B104" s="48">
        <v>2019</v>
      </c>
      <c r="C104" s="48" t="s">
        <v>259</v>
      </c>
      <c r="D104" s="48" t="s">
        <v>219</v>
      </c>
      <c r="E104" s="50"/>
      <c r="F104" s="50" t="s">
        <v>220</v>
      </c>
      <c r="G104" s="48">
        <v>2</v>
      </c>
      <c r="H104" s="48"/>
      <c r="I104" s="48"/>
      <c r="J104" s="48"/>
      <c r="K104" s="17"/>
      <c r="L104" s="17"/>
      <c r="M104" s="55">
        <v>2</v>
      </c>
      <c r="N104" s="48">
        <v>1</v>
      </c>
      <c r="O104" s="48">
        <v>0</v>
      </c>
      <c r="P104" s="48">
        <v>0</v>
      </c>
      <c r="Q104" s="48">
        <v>0</v>
      </c>
      <c r="R104" s="48"/>
      <c r="S104" s="48">
        <v>0</v>
      </c>
      <c r="T104" s="68"/>
    </row>
    <row r="105" spans="1:20" ht="15" customHeight="1">
      <c r="A105" s="48"/>
      <c r="B105" s="48">
        <v>2020</v>
      </c>
      <c r="C105" s="48" t="s">
        <v>260</v>
      </c>
      <c r="D105" s="48" t="s">
        <v>222</v>
      </c>
      <c r="E105" s="50"/>
      <c r="F105" s="50" t="s">
        <v>223</v>
      </c>
      <c r="G105" s="48">
        <v>2</v>
      </c>
      <c r="H105" s="48"/>
      <c r="I105" s="48"/>
      <c r="J105" s="48"/>
      <c r="K105" s="17"/>
      <c r="L105" s="17"/>
      <c r="M105" s="55">
        <v>2</v>
      </c>
      <c r="N105" s="48">
        <v>1</v>
      </c>
      <c r="O105" s="48">
        <v>0</v>
      </c>
      <c r="P105" s="48">
        <v>0</v>
      </c>
      <c r="Q105" s="48">
        <v>0</v>
      </c>
      <c r="R105" s="48"/>
      <c r="S105" s="48">
        <v>0</v>
      </c>
      <c r="T105" s="68"/>
    </row>
    <row r="106" spans="1:20" ht="15" customHeight="1">
      <c r="A106" s="48"/>
      <c r="B106" s="48">
        <v>2021</v>
      </c>
      <c r="C106" s="48" t="s">
        <v>261</v>
      </c>
      <c r="D106" s="48" t="s">
        <v>225</v>
      </c>
      <c r="E106" s="50"/>
      <c r="F106" s="50" t="s">
        <v>226</v>
      </c>
      <c r="G106" s="48">
        <v>2</v>
      </c>
      <c r="H106" s="48"/>
      <c r="I106" s="48"/>
      <c r="J106" s="48"/>
      <c r="K106" s="17"/>
      <c r="L106" s="17"/>
      <c r="M106" s="55">
        <v>2</v>
      </c>
      <c r="N106" s="48">
        <v>1</v>
      </c>
      <c r="O106" s="48">
        <v>0</v>
      </c>
      <c r="P106" s="48">
        <v>0</v>
      </c>
      <c r="Q106" s="48">
        <v>0</v>
      </c>
      <c r="R106" s="48"/>
      <c r="S106" s="48">
        <v>0</v>
      </c>
      <c r="T106" s="68"/>
    </row>
    <row r="107" spans="1:20" ht="15" customHeight="1">
      <c r="A107" s="48"/>
      <c r="B107" s="48">
        <v>2022</v>
      </c>
      <c r="C107" s="48" t="s">
        <v>262</v>
      </c>
      <c r="D107" s="48" t="s">
        <v>228</v>
      </c>
      <c r="E107" s="50"/>
      <c r="F107" s="50" t="s">
        <v>229</v>
      </c>
      <c r="G107" s="48">
        <v>2</v>
      </c>
      <c r="H107" s="48"/>
      <c r="I107" s="48"/>
      <c r="J107" s="48"/>
      <c r="K107" s="17"/>
      <c r="L107" s="17"/>
      <c r="M107" s="55">
        <v>2</v>
      </c>
      <c r="N107" s="48">
        <v>1</v>
      </c>
      <c r="O107" s="48">
        <v>0</v>
      </c>
      <c r="P107" s="48">
        <v>0</v>
      </c>
      <c r="Q107" s="48">
        <v>0</v>
      </c>
      <c r="R107" s="48"/>
      <c r="S107" s="48">
        <v>0</v>
      </c>
      <c r="T107" s="68"/>
    </row>
    <row r="108" spans="1:20">
      <c r="A108" s="48"/>
      <c r="B108" s="48">
        <v>2023</v>
      </c>
      <c r="C108" s="48" t="s">
        <v>263</v>
      </c>
      <c r="D108" s="48" t="s">
        <v>231</v>
      </c>
      <c r="E108" s="50"/>
      <c r="F108" s="50" t="s">
        <v>232</v>
      </c>
      <c r="G108" s="48">
        <v>2</v>
      </c>
      <c r="H108" s="48"/>
      <c r="I108" s="48"/>
      <c r="J108" s="48"/>
      <c r="K108" s="17"/>
      <c r="L108" s="17"/>
      <c r="M108" s="55">
        <v>2</v>
      </c>
      <c r="N108" s="48">
        <v>1</v>
      </c>
      <c r="O108" s="48">
        <v>0</v>
      </c>
      <c r="P108" s="48">
        <v>0</v>
      </c>
      <c r="Q108" s="48">
        <v>0</v>
      </c>
      <c r="R108" s="48"/>
      <c r="S108" s="48">
        <v>0</v>
      </c>
      <c r="T108" s="68"/>
    </row>
    <row r="109" spans="1:20">
      <c r="A109" s="48"/>
      <c r="B109" s="48">
        <v>2024</v>
      </c>
      <c r="C109" s="48" t="s">
        <v>264</v>
      </c>
      <c r="D109" s="48" t="s">
        <v>234</v>
      </c>
      <c r="E109" s="50"/>
      <c r="F109" s="50" t="s">
        <v>235</v>
      </c>
      <c r="G109" s="48">
        <v>2</v>
      </c>
      <c r="H109" s="48"/>
      <c r="I109" s="48"/>
      <c r="J109" s="48"/>
      <c r="K109" s="17"/>
      <c r="L109" s="17"/>
      <c r="M109" s="55">
        <v>2</v>
      </c>
      <c r="N109" s="48">
        <v>1</v>
      </c>
      <c r="O109" s="48">
        <v>0</v>
      </c>
      <c r="P109" s="48">
        <v>0</v>
      </c>
      <c r="Q109" s="48">
        <v>0</v>
      </c>
      <c r="R109" s="48"/>
      <c r="S109" s="48">
        <v>0</v>
      </c>
      <c r="T109" s="68"/>
    </row>
    <row r="110" spans="1:20">
      <c r="A110" s="48"/>
      <c r="B110" s="48">
        <v>2025</v>
      </c>
      <c r="C110" s="48" t="s">
        <v>265</v>
      </c>
      <c r="D110" s="48" t="s">
        <v>237</v>
      </c>
      <c r="E110" s="50"/>
      <c r="F110" s="50" t="s">
        <v>238</v>
      </c>
      <c r="G110" s="48">
        <v>2</v>
      </c>
      <c r="H110" s="48"/>
      <c r="I110" s="48"/>
      <c r="J110" s="48"/>
      <c r="K110" s="17"/>
      <c r="L110" s="17"/>
      <c r="M110" s="55">
        <v>2</v>
      </c>
      <c r="N110" s="48">
        <v>1</v>
      </c>
      <c r="O110" s="48">
        <v>0</v>
      </c>
      <c r="P110" s="48">
        <v>0</v>
      </c>
      <c r="Q110" s="48">
        <v>0</v>
      </c>
      <c r="R110" s="48"/>
      <c r="S110" s="48">
        <v>0</v>
      </c>
      <c r="T110" s="68"/>
    </row>
    <row r="111" spans="1:20">
      <c r="A111" s="48"/>
      <c r="B111" s="48">
        <v>2026</v>
      </c>
      <c r="C111" s="48" t="s">
        <v>266</v>
      </c>
      <c r="D111" s="48" t="s">
        <v>240</v>
      </c>
      <c r="E111" s="50"/>
      <c r="F111" s="50" t="s">
        <v>241</v>
      </c>
      <c r="G111" s="48">
        <v>2</v>
      </c>
      <c r="H111" s="48"/>
      <c r="I111" s="48"/>
      <c r="J111" s="48"/>
      <c r="K111" s="17"/>
      <c r="L111" s="17"/>
      <c r="M111" s="55">
        <v>2</v>
      </c>
      <c r="N111" s="48">
        <v>1</v>
      </c>
      <c r="O111" s="48">
        <v>0</v>
      </c>
      <c r="P111" s="48">
        <v>0</v>
      </c>
      <c r="Q111" s="48">
        <v>0</v>
      </c>
      <c r="R111" s="48"/>
      <c r="S111" s="48">
        <v>0</v>
      </c>
      <c r="T111" s="68"/>
    </row>
    <row r="112" spans="1:20">
      <c r="A112" s="48"/>
      <c r="B112" s="48">
        <v>2027</v>
      </c>
      <c r="C112" s="48" t="s">
        <v>267</v>
      </c>
      <c r="D112" s="48" t="s">
        <v>243</v>
      </c>
      <c r="E112" s="50"/>
      <c r="F112" s="50" t="s">
        <v>244</v>
      </c>
      <c r="G112" s="48">
        <v>2</v>
      </c>
      <c r="H112" s="48"/>
      <c r="I112" s="48"/>
      <c r="J112" s="48"/>
      <c r="K112" s="17"/>
      <c r="L112" s="17"/>
      <c r="M112" s="55">
        <v>2</v>
      </c>
      <c r="N112" s="48">
        <v>1</v>
      </c>
      <c r="O112" s="48">
        <v>0</v>
      </c>
      <c r="P112" s="48">
        <v>0</v>
      </c>
      <c r="Q112" s="48">
        <v>0</v>
      </c>
      <c r="R112" s="48"/>
      <c r="S112" s="48">
        <v>0</v>
      </c>
      <c r="T112" s="68"/>
    </row>
    <row r="113" spans="1:20">
      <c r="A113" s="48"/>
      <c r="B113" s="48">
        <v>2028</v>
      </c>
      <c r="C113" s="48" t="s">
        <v>268</v>
      </c>
      <c r="D113" s="48" t="s">
        <v>246</v>
      </c>
      <c r="E113" s="50"/>
      <c r="F113" s="50" t="s">
        <v>247</v>
      </c>
      <c r="G113" s="48">
        <v>2</v>
      </c>
      <c r="H113" s="48"/>
      <c r="I113" s="48"/>
      <c r="J113" s="48"/>
      <c r="K113" s="17"/>
      <c r="L113" s="17"/>
      <c r="M113" s="55">
        <v>2</v>
      </c>
      <c r="N113" s="48">
        <v>1</v>
      </c>
      <c r="O113" s="48">
        <v>0</v>
      </c>
      <c r="P113" s="48">
        <v>0</v>
      </c>
      <c r="Q113" s="48">
        <v>0</v>
      </c>
      <c r="R113" s="48"/>
      <c r="S113" s="48">
        <v>0</v>
      </c>
      <c r="T113" s="68"/>
    </row>
    <row r="114" spans="1:20">
      <c r="A114" s="48"/>
      <c r="B114" s="48">
        <v>2029</v>
      </c>
      <c r="C114" s="48" t="s">
        <v>269</v>
      </c>
      <c r="D114" s="48" t="s">
        <v>249</v>
      </c>
      <c r="E114" s="50"/>
      <c r="F114" s="50" t="s">
        <v>250</v>
      </c>
      <c r="G114" s="48">
        <v>2</v>
      </c>
      <c r="H114" s="48"/>
      <c r="I114" s="48"/>
      <c r="J114" s="48"/>
      <c r="K114" s="17"/>
      <c r="L114" s="17"/>
      <c r="M114" s="55">
        <v>2</v>
      </c>
      <c r="N114" s="48">
        <v>1</v>
      </c>
      <c r="O114" s="48">
        <v>0</v>
      </c>
      <c r="P114" s="48">
        <v>0</v>
      </c>
      <c r="Q114" s="48">
        <v>0</v>
      </c>
      <c r="R114" s="48"/>
      <c r="S114" s="48">
        <v>0</v>
      </c>
      <c r="T114" s="68"/>
    </row>
    <row r="115" spans="1:20">
      <c r="A115" s="48"/>
      <c r="B115" s="48">
        <v>2030</v>
      </c>
      <c r="C115" s="48" t="s">
        <v>270</v>
      </c>
      <c r="D115" s="48" t="s">
        <v>251</v>
      </c>
      <c r="E115" s="50"/>
      <c r="F115" s="50" t="s">
        <v>252</v>
      </c>
      <c r="G115" s="48">
        <v>2</v>
      </c>
      <c r="H115" s="48"/>
      <c r="I115" s="48"/>
      <c r="J115" s="48"/>
      <c r="K115" s="17"/>
      <c r="L115" s="17"/>
      <c r="M115" s="55">
        <v>2</v>
      </c>
      <c r="N115" s="48">
        <v>1</v>
      </c>
      <c r="O115" s="48">
        <v>0</v>
      </c>
      <c r="P115" s="48">
        <v>0</v>
      </c>
      <c r="Q115" s="48">
        <v>0</v>
      </c>
      <c r="R115" s="48"/>
      <c r="S115" s="48">
        <v>0</v>
      </c>
      <c r="T115" s="68"/>
    </row>
    <row r="116" spans="1:20">
      <c r="A116" s="48"/>
      <c r="B116" s="48">
        <v>2031</v>
      </c>
      <c r="C116" s="48" t="s">
        <v>271</v>
      </c>
      <c r="D116" s="48" t="s">
        <v>254</v>
      </c>
      <c r="E116" s="50"/>
      <c r="F116" s="50" t="s">
        <v>255</v>
      </c>
      <c r="G116" s="48">
        <v>2</v>
      </c>
      <c r="H116" s="48"/>
      <c r="I116" s="48"/>
      <c r="J116" s="48"/>
      <c r="K116" s="17"/>
      <c r="L116" s="17"/>
      <c r="M116" s="55">
        <v>2</v>
      </c>
      <c r="N116" s="48">
        <v>1</v>
      </c>
      <c r="O116" s="48">
        <v>0</v>
      </c>
      <c r="P116" s="48">
        <v>0</v>
      </c>
      <c r="Q116" s="48">
        <v>0</v>
      </c>
      <c r="R116" s="48"/>
      <c r="S116" s="48">
        <v>0</v>
      </c>
      <c r="T116" s="68"/>
    </row>
    <row r="117" spans="1:20">
      <c r="A117" s="48"/>
      <c r="B117" s="48">
        <v>2032</v>
      </c>
      <c r="C117" s="48" t="s">
        <v>272</v>
      </c>
      <c r="D117" s="48" t="s">
        <v>209</v>
      </c>
      <c r="E117" s="50"/>
      <c r="F117" s="50" t="s">
        <v>211</v>
      </c>
      <c r="G117" s="48">
        <v>2</v>
      </c>
      <c r="H117" s="48"/>
      <c r="I117" s="48"/>
      <c r="J117" s="48"/>
      <c r="K117" s="17"/>
      <c r="L117" s="17"/>
      <c r="M117" s="55">
        <v>3</v>
      </c>
      <c r="N117" s="48">
        <v>1</v>
      </c>
      <c r="O117" s="48">
        <v>0</v>
      </c>
      <c r="P117" s="48">
        <v>0</v>
      </c>
      <c r="Q117" s="48">
        <v>0</v>
      </c>
      <c r="R117" s="48"/>
      <c r="S117" s="48">
        <v>0</v>
      </c>
      <c r="T117" s="68"/>
    </row>
    <row r="118" spans="1:20">
      <c r="A118" s="48"/>
      <c r="B118" s="48">
        <v>2033</v>
      </c>
      <c r="C118" s="48" t="s">
        <v>273</v>
      </c>
      <c r="D118" s="48" t="s">
        <v>213</v>
      </c>
      <c r="E118" s="50"/>
      <c r="F118" s="50" t="s">
        <v>214</v>
      </c>
      <c r="G118" s="48">
        <v>2</v>
      </c>
      <c r="H118" s="48"/>
      <c r="I118" s="48"/>
      <c r="J118" s="48"/>
      <c r="K118" s="17"/>
      <c r="L118" s="17"/>
      <c r="M118" s="55">
        <v>3</v>
      </c>
      <c r="N118" s="48">
        <v>1</v>
      </c>
      <c r="O118" s="48">
        <v>0</v>
      </c>
      <c r="P118" s="48">
        <v>0</v>
      </c>
      <c r="Q118" s="48">
        <v>0</v>
      </c>
      <c r="R118" s="48"/>
      <c r="S118" s="48">
        <v>0</v>
      </c>
      <c r="T118" s="68"/>
    </row>
    <row r="119" spans="1:20">
      <c r="A119" s="48"/>
      <c r="B119" s="48">
        <v>2034</v>
      </c>
      <c r="C119" s="48" t="s">
        <v>274</v>
      </c>
      <c r="D119" s="48" t="s">
        <v>216</v>
      </c>
      <c r="E119" s="50"/>
      <c r="F119" s="50" t="s">
        <v>217</v>
      </c>
      <c r="G119" s="48">
        <v>2</v>
      </c>
      <c r="H119" s="48"/>
      <c r="I119" s="48"/>
      <c r="J119" s="48"/>
      <c r="K119" s="17"/>
      <c r="L119" s="17"/>
      <c r="M119" s="55">
        <v>3</v>
      </c>
      <c r="N119" s="48">
        <v>1</v>
      </c>
      <c r="O119" s="48">
        <v>0</v>
      </c>
      <c r="P119" s="48">
        <v>0</v>
      </c>
      <c r="Q119" s="48">
        <v>0</v>
      </c>
      <c r="R119" s="48"/>
      <c r="S119" s="48">
        <v>0</v>
      </c>
      <c r="T119" s="68"/>
    </row>
    <row r="120" spans="1:20">
      <c r="A120" s="48"/>
      <c r="B120" s="48">
        <v>2035</v>
      </c>
      <c r="C120" s="48" t="s">
        <v>275</v>
      </c>
      <c r="D120" s="48" t="s">
        <v>219</v>
      </c>
      <c r="E120" s="50"/>
      <c r="F120" s="50" t="s">
        <v>220</v>
      </c>
      <c r="G120" s="48">
        <v>2</v>
      </c>
      <c r="H120" s="48"/>
      <c r="I120" s="48"/>
      <c r="J120" s="48"/>
      <c r="K120" s="17"/>
      <c r="L120" s="17"/>
      <c r="M120" s="55">
        <v>3</v>
      </c>
      <c r="N120" s="48">
        <v>1</v>
      </c>
      <c r="O120" s="48">
        <v>0</v>
      </c>
      <c r="P120" s="48">
        <v>0</v>
      </c>
      <c r="Q120" s="48">
        <v>0</v>
      </c>
      <c r="R120" s="48"/>
      <c r="S120" s="48">
        <v>0</v>
      </c>
      <c r="T120" s="68"/>
    </row>
    <row r="121" spans="1:20">
      <c r="A121" s="48"/>
      <c r="B121" s="48">
        <v>2036</v>
      </c>
      <c r="C121" s="48" t="s">
        <v>276</v>
      </c>
      <c r="D121" s="48" t="s">
        <v>222</v>
      </c>
      <c r="E121" s="50"/>
      <c r="F121" s="50" t="s">
        <v>223</v>
      </c>
      <c r="G121" s="48">
        <v>2</v>
      </c>
      <c r="H121" s="48"/>
      <c r="I121" s="48"/>
      <c r="J121" s="48"/>
      <c r="K121" s="17"/>
      <c r="L121" s="17"/>
      <c r="M121" s="55">
        <v>3</v>
      </c>
      <c r="N121" s="48">
        <v>1</v>
      </c>
      <c r="O121" s="48">
        <v>0</v>
      </c>
      <c r="P121" s="48">
        <v>0</v>
      </c>
      <c r="Q121" s="48">
        <v>0</v>
      </c>
      <c r="R121" s="48"/>
      <c r="S121" s="48">
        <v>0</v>
      </c>
      <c r="T121" s="68"/>
    </row>
    <row r="122" spans="1:20">
      <c r="A122" s="48"/>
      <c r="B122" s="48">
        <v>2037</v>
      </c>
      <c r="C122" s="48" t="s">
        <v>277</v>
      </c>
      <c r="D122" s="48" t="s">
        <v>225</v>
      </c>
      <c r="E122" s="50"/>
      <c r="F122" s="50" t="s">
        <v>226</v>
      </c>
      <c r="G122" s="48">
        <v>2</v>
      </c>
      <c r="H122" s="48"/>
      <c r="I122" s="48"/>
      <c r="J122" s="48"/>
      <c r="K122" s="17"/>
      <c r="L122" s="17"/>
      <c r="M122" s="55">
        <v>3</v>
      </c>
      <c r="N122" s="48">
        <v>1</v>
      </c>
      <c r="O122" s="48">
        <v>0</v>
      </c>
      <c r="P122" s="48">
        <v>0</v>
      </c>
      <c r="Q122" s="48">
        <v>0</v>
      </c>
      <c r="R122" s="48"/>
      <c r="S122" s="48">
        <v>0</v>
      </c>
      <c r="T122" s="68"/>
    </row>
    <row r="123" spans="1:20">
      <c r="A123" s="48"/>
      <c r="B123" s="48">
        <v>2038</v>
      </c>
      <c r="C123" s="48" t="s">
        <v>278</v>
      </c>
      <c r="D123" s="48" t="s">
        <v>228</v>
      </c>
      <c r="E123" s="50"/>
      <c r="F123" s="50" t="s">
        <v>229</v>
      </c>
      <c r="G123" s="48">
        <v>2</v>
      </c>
      <c r="H123" s="48"/>
      <c r="I123" s="48"/>
      <c r="J123" s="48"/>
      <c r="K123" s="17"/>
      <c r="L123" s="17"/>
      <c r="M123" s="55">
        <v>3</v>
      </c>
      <c r="N123" s="48">
        <v>1</v>
      </c>
      <c r="O123" s="48">
        <v>0</v>
      </c>
      <c r="P123" s="48">
        <v>0</v>
      </c>
      <c r="Q123" s="48">
        <v>0</v>
      </c>
      <c r="R123" s="48"/>
      <c r="S123" s="48">
        <v>0</v>
      </c>
      <c r="T123" s="68"/>
    </row>
    <row r="124" spans="1:20">
      <c r="A124" s="48"/>
      <c r="B124" s="48">
        <v>2039</v>
      </c>
      <c r="C124" s="48" t="s">
        <v>279</v>
      </c>
      <c r="D124" s="48" t="s">
        <v>231</v>
      </c>
      <c r="E124" s="50"/>
      <c r="F124" s="50" t="s">
        <v>232</v>
      </c>
      <c r="G124" s="48">
        <v>2</v>
      </c>
      <c r="H124" s="48"/>
      <c r="I124" s="48"/>
      <c r="J124" s="48"/>
      <c r="K124" s="17"/>
      <c r="L124" s="17"/>
      <c r="M124" s="55">
        <v>3</v>
      </c>
      <c r="N124" s="48">
        <v>1</v>
      </c>
      <c r="O124" s="48">
        <v>0</v>
      </c>
      <c r="P124" s="48">
        <v>0</v>
      </c>
      <c r="Q124" s="48">
        <v>0</v>
      </c>
      <c r="R124" s="48"/>
      <c r="S124" s="48">
        <v>0</v>
      </c>
      <c r="T124" s="68"/>
    </row>
    <row r="125" spans="1:20">
      <c r="A125" s="48"/>
      <c r="B125" s="48">
        <v>2040</v>
      </c>
      <c r="C125" s="48" t="s">
        <v>280</v>
      </c>
      <c r="D125" s="48" t="s">
        <v>234</v>
      </c>
      <c r="E125" s="50"/>
      <c r="F125" s="50" t="s">
        <v>235</v>
      </c>
      <c r="G125" s="48">
        <v>2</v>
      </c>
      <c r="H125" s="48"/>
      <c r="I125" s="48"/>
      <c r="J125" s="48"/>
      <c r="K125" s="17"/>
      <c r="L125" s="17"/>
      <c r="M125" s="55">
        <v>3</v>
      </c>
      <c r="N125" s="48">
        <v>1</v>
      </c>
      <c r="O125" s="48">
        <v>0</v>
      </c>
      <c r="P125" s="48">
        <v>0</v>
      </c>
      <c r="Q125" s="48">
        <v>0</v>
      </c>
      <c r="R125" s="48"/>
      <c r="S125" s="48">
        <v>0</v>
      </c>
      <c r="T125" s="68"/>
    </row>
    <row r="126" spans="1:20">
      <c r="A126" s="48"/>
      <c r="B126" s="48">
        <v>2041</v>
      </c>
      <c r="C126" s="48" t="s">
        <v>281</v>
      </c>
      <c r="D126" s="48" t="s">
        <v>237</v>
      </c>
      <c r="E126" s="50"/>
      <c r="F126" s="50" t="s">
        <v>238</v>
      </c>
      <c r="G126" s="48">
        <v>2</v>
      </c>
      <c r="H126" s="48"/>
      <c r="I126" s="48"/>
      <c r="J126" s="48"/>
      <c r="K126" s="17"/>
      <c r="L126" s="17"/>
      <c r="M126" s="55">
        <v>3</v>
      </c>
      <c r="N126" s="48">
        <v>1</v>
      </c>
      <c r="O126" s="48">
        <v>0</v>
      </c>
      <c r="P126" s="48">
        <v>0</v>
      </c>
      <c r="Q126" s="48">
        <v>0</v>
      </c>
      <c r="R126" s="48"/>
      <c r="S126" s="48">
        <v>0</v>
      </c>
      <c r="T126" s="68"/>
    </row>
    <row r="127" spans="1:20">
      <c r="A127" s="48"/>
      <c r="B127" s="48">
        <v>2042</v>
      </c>
      <c r="C127" s="48" t="s">
        <v>282</v>
      </c>
      <c r="D127" s="48" t="s">
        <v>240</v>
      </c>
      <c r="E127" s="50"/>
      <c r="F127" s="50" t="s">
        <v>241</v>
      </c>
      <c r="G127" s="48">
        <v>2</v>
      </c>
      <c r="H127" s="48"/>
      <c r="I127" s="48"/>
      <c r="J127" s="48"/>
      <c r="K127" s="17"/>
      <c r="L127" s="17"/>
      <c r="M127" s="55">
        <v>3</v>
      </c>
      <c r="N127" s="48">
        <v>1</v>
      </c>
      <c r="O127" s="48">
        <v>0</v>
      </c>
      <c r="P127" s="48">
        <v>0</v>
      </c>
      <c r="Q127" s="48">
        <v>0</v>
      </c>
      <c r="R127" s="48"/>
      <c r="S127" s="48">
        <v>0</v>
      </c>
      <c r="T127" s="68"/>
    </row>
    <row r="128" spans="1:20">
      <c r="A128" s="48"/>
      <c r="B128" s="48">
        <v>2043</v>
      </c>
      <c r="C128" s="48" t="s">
        <v>283</v>
      </c>
      <c r="D128" s="48" t="s">
        <v>243</v>
      </c>
      <c r="E128" s="50"/>
      <c r="F128" s="50" t="s">
        <v>244</v>
      </c>
      <c r="G128" s="48">
        <v>2</v>
      </c>
      <c r="H128" s="48"/>
      <c r="I128" s="48"/>
      <c r="J128" s="48"/>
      <c r="K128" s="17"/>
      <c r="L128" s="17"/>
      <c r="M128" s="55">
        <v>3</v>
      </c>
      <c r="N128" s="48">
        <v>1</v>
      </c>
      <c r="O128" s="48">
        <v>0</v>
      </c>
      <c r="P128" s="48">
        <v>0</v>
      </c>
      <c r="Q128" s="48">
        <v>0</v>
      </c>
      <c r="R128" s="48"/>
      <c r="S128" s="48">
        <v>0</v>
      </c>
      <c r="T128" s="68"/>
    </row>
    <row r="129" spans="1:20">
      <c r="A129" s="48"/>
      <c r="B129" s="48">
        <v>2044</v>
      </c>
      <c r="C129" s="48" t="s">
        <v>284</v>
      </c>
      <c r="D129" s="48" t="s">
        <v>246</v>
      </c>
      <c r="E129" s="50"/>
      <c r="F129" s="50" t="s">
        <v>247</v>
      </c>
      <c r="G129" s="48">
        <v>2</v>
      </c>
      <c r="H129" s="48"/>
      <c r="I129" s="48"/>
      <c r="J129" s="48"/>
      <c r="K129" s="17"/>
      <c r="L129" s="17"/>
      <c r="M129" s="55">
        <v>3</v>
      </c>
      <c r="N129" s="48">
        <v>1</v>
      </c>
      <c r="O129" s="48">
        <v>0</v>
      </c>
      <c r="P129" s="48">
        <v>0</v>
      </c>
      <c r="Q129" s="48">
        <v>0</v>
      </c>
      <c r="R129" s="48"/>
      <c r="S129" s="48">
        <v>0</v>
      </c>
      <c r="T129" s="68"/>
    </row>
    <row r="130" spans="1:20">
      <c r="A130" s="48"/>
      <c r="B130" s="48">
        <v>2045</v>
      </c>
      <c r="C130" s="48" t="s">
        <v>285</v>
      </c>
      <c r="D130" s="48" t="s">
        <v>249</v>
      </c>
      <c r="E130" s="50"/>
      <c r="F130" s="50" t="s">
        <v>250</v>
      </c>
      <c r="G130" s="48">
        <v>2</v>
      </c>
      <c r="H130" s="48"/>
      <c r="I130" s="48"/>
      <c r="J130" s="48"/>
      <c r="K130" s="17"/>
      <c r="L130" s="17"/>
      <c r="M130" s="55">
        <v>3</v>
      </c>
      <c r="N130" s="48">
        <v>1</v>
      </c>
      <c r="O130" s="48">
        <v>0</v>
      </c>
      <c r="P130" s="48">
        <v>0</v>
      </c>
      <c r="Q130" s="48">
        <v>0</v>
      </c>
      <c r="R130" s="48"/>
      <c r="S130" s="48">
        <v>0</v>
      </c>
      <c r="T130" s="68"/>
    </row>
    <row r="131" spans="1:20">
      <c r="A131" s="48"/>
      <c r="B131" s="48">
        <v>2046</v>
      </c>
      <c r="C131" s="48" t="s">
        <v>286</v>
      </c>
      <c r="D131" s="48" t="s">
        <v>251</v>
      </c>
      <c r="E131" s="50"/>
      <c r="F131" s="50" t="s">
        <v>252</v>
      </c>
      <c r="G131" s="48">
        <v>2</v>
      </c>
      <c r="H131" s="48"/>
      <c r="I131" s="48"/>
      <c r="J131" s="48"/>
      <c r="K131" s="17"/>
      <c r="L131" s="17"/>
      <c r="M131" s="55">
        <v>3</v>
      </c>
      <c r="N131" s="48">
        <v>1</v>
      </c>
      <c r="O131" s="48">
        <v>0</v>
      </c>
      <c r="P131" s="48">
        <v>0</v>
      </c>
      <c r="Q131" s="48">
        <v>0</v>
      </c>
      <c r="R131" s="48"/>
      <c r="S131" s="48">
        <v>0</v>
      </c>
      <c r="T131" s="68"/>
    </row>
    <row r="132" spans="1:20">
      <c r="A132" s="48"/>
      <c r="B132" s="48">
        <v>2047</v>
      </c>
      <c r="C132" s="48" t="s">
        <v>287</v>
      </c>
      <c r="D132" s="48" t="s">
        <v>254</v>
      </c>
      <c r="E132" s="50"/>
      <c r="F132" s="50" t="s">
        <v>255</v>
      </c>
      <c r="G132" s="48">
        <v>2</v>
      </c>
      <c r="H132" s="48"/>
      <c r="I132" s="48"/>
      <c r="J132" s="48"/>
      <c r="K132" s="17"/>
      <c r="L132" s="17"/>
      <c r="M132" s="55">
        <v>3</v>
      </c>
      <c r="N132" s="48">
        <v>1</v>
      </c>
      <c r="O132" s="48">
        <v>0</v>
      </c>
      <c r="P132" s="48">
        <v>0</v>
      </c>
      <c r="Q132" s="48">
        <v>0</v>
      </c>
      <c r="R132" s="48"/>
      <c r="S132" s="48">
        <v>0</v>
      </c>
      <c r="T132" s="68"/>
    </row>
    <row r="133" spans="1:20">
      <c r="A133" s="72"/>
      <c r="B133" s="72">
        <v>3000</v>
      </c>
      <c r="C133" s="72" t="s">
        <v>288</v>
      </c>
      <c r="D133" s="48" t="s">
        <v>289</v>
      </c>
      <c r="E133" s="73" t="s">
        <v>3978</v>
      </c>
      <c r="F133" s="73" t="s">
        <v>290</v>
      </c>
      <c r="G133" s="48">
        <v>2</v>
      </c>
      <c r="H133" s="48"/>
      <c r="I133" s="48"/>
      <c r="J133" s="48"/>
      <c r="K133" s="17"/>
      <c r="L133" s="17"/>
      <c r="M133" s="48">
        <v>1</v>
      </c>
      <c r="N133" s="48">
        <v>1</v>
      </c>
      <c r="O133" s="48">
        <v>0</v>
      </c>
      <c r="P133" s="48">
        <v>0</v>
      </c>
      <c r="Q133" s="48">
        <v>0</v>
      </c>
      <c r="R133" s="48"/>
      <c r="S133" s="48">
        <v>0</v>
      </c>
      <c r="T133" s="68"/>
    </row>
    <row r="134" spans="1:20">
      <c r="A134" s="72"/>
      <c r="B134" s="72">
        <v>3001</v>
      </c>
      <c r="C134" s="74" t="s">
        <v>291</v>
      </c>
      <c r="D134" s="48" t="s">
        <v>292</v>
      </c>
      <c r="E134" s="73" t="s">
        <v>3979</v>
      </c>
      <c r="F134" s="73" t="s">
        <v>293</v>
      </c>
      <c r="G134" s="48">
        <v>2</v>
      </c>
      <c r="H134" s="48"/>
      <c r="I134" s="48"/>
      <c r="J134" s="48"/>
      <c r="K134" s="17"/>
      <c r="L134" s="17"/>
      <c r="M134" s="48">
        <v>1</v>
      </c>
      <c r="N134" s="48">
        <v>1</v>
      </c>
      <c r="O134" s="48">
        <v>0</v>
      </c>
      <c r="P134" s="48">
        <v>0</v>
      </c>
      <c r="Q134" s="48">
        <v>0</v>
      </c>
      <c r="R134" s="48"/>
      <c r="S134" s="48">
        <v>0</v>
      </c>
      <c r="T134" s="68"/>
    </row>
    <row r="135" spans="1:20">
      <c r="A135" s="72"/>
      <c r="B135" s="72">
        <v>3002</v>
      </c>
      <c r="C135" s="74" t="s">
        <v>294</v>
      </c>
      <c r="D135" s="48" t="s">
        <v>295</v>
      </c>
      <c r="E135" s="73" t="s">
        <v>3980</v>
      </c>
      <c r="F135" s="75" t="s">
        <v>296</v>
      </c>
      <c r="G135" s="48">
        <v>2</v>
      </c>
      <c r="H135" s="48"/>
      <c r="I135" s="48"/>
      <c r="J135" s="48"/>
      <c r="K135" s="17"/>
      <c r="L135" s="17"/>
      <c r="M135" s="48">
        <v>1</v>
      </c>
      <c r="N135" s="48">
        <v>1</v>
      </c>
      <c r="O135" s="48">
        <v>0</v>
      </c>
      <c r="P135" s="48">
        <v>0</v>
      </c>
      <c r="Q135" s="48">
        <v>0</v>
      </c>
      <c r="R135" s="48"/>
      <c r="S135" s="48">
        <v>0</v>
      </c>
      <c r="T135" s="68"/>
    </row>
    <row r="136" spans="1:20">
      <c r="A136" s="72"/>
      <c r="B136" s="72">
        <v>3003</v>
      </c>
      <c r="C136" s="74" t="s">
        <v>297</v>
      </c>
      <c r="D136" s="48" t="s">
        <v>298</v>
      </c>
      <c r="E136" s="73" t="s">
        <v>299</v>
      </c>
      <c r="F136" s="73" t="s">
        <v>300</v>
      </c>
      <c r="G136" s="48">
        <v>2</v>
      </c>
      <c r="H136" s="48"/>
      <c r="I136" s="48"/>
      <c r="J136" s="48"/>
      <c r="K136" s="17"/>
      <c r="L136" s="17"/>
      <c r="M136" s="48">
        <v>1</v>
      </c>
      <c r="N136" s="48">
        <v>1</v>
      </c>
      <c r="O136" s="48">
        <v>0</v>
      </c>
      <c r="P136" s="48">
        <v>0</v>
      </c>
      <c r="Q136" s="48">
        <v>0</v>
      </c>
      <c r="R136" s="48"/>
      <c r="S136" s="48">
        <v>0</v>
      </c>
      <c r="T136" s="68"/>
    </row>
    <row r="137" spans="1:20">
      <c r="A137" s="72" t="s">
        <v>48</v>
      </c>
      <c r="B137" s="72">
        <v>3004</v>
      </c>
      <c r="C137" s="76" t="s">
        <v>301</v>
      </c>
      <c r="D137" s="48"/>
      <c r="E137" s="50"/>
      <c r="F137" s="50"/>
      <c r="G137" s="48">
        <v>2</v>
      </c>
      <c r="H137" s="48"/>
      <c r="I137" s="48"/>
      <c r="J137" s="48"/>
      <c r="K137" s="17"/>
      <c r="L137" s="17"/>
      <c r="M137" s="48">
        <v>1</v>
      </c>
      <c r="N137" s="48">
        <v>1</v>
      </c>
      <c r="O137" s="48">
        <v>0</v>
      </c>
      <c r="P137" s="48">
        <v>0</v>
      </c>
      <c r="Q137" s="48">
        <v>0</v>
      </c>
      <c r="R137" s="48"/>
      <c r="S137" s="48">
        <v>0</v>
      </c>
      <c r="T137" s="68"/>
    </row>
    <row r="138" spans="1:20">
      <c r="A138" s="77"/>
      <c r="B138" s="78">
        <v>3005</v>
      </c>
      <c r="C138" s="79" t="s">
        <v>291</v>
      </c>
      <c r="D138" s="48" t="s">
        <v>292</v>
      </c>
      <c r="E138" s="73" t="s">
        <v>3981</v>
      </c>
      <c r="F138" s="73" t="s">
        <v>293</v>
      </c>
      <c r="G138" s="48">
        <v>2</v>
      </c>
      <c r="H138" s="48"/>
      <c r="I138" s="48"/>
      <c r="J138" s="48"/>
      <c r="K138" s="17"/>
      <c r="L138" s="17"/>
      <c r="M138" s="48">
        <v>1</v>
      </c>
      <c r="N138" s="48">
        <v>1</v>
      </c>
      <c r="O138" s="48">
        <v>0</v>
      </c>
      <c r="P138" s="48">
        <v>0</v>
      </c>
      <c r="Q138" s="48">
        <v>0</v>
      </c>
      <c r="R138" s="48"/>
      <c r="S138" s="48">
        <v>0</v>
      </c>
      <c r="T138" s="68"/>
    </row>
    <row r="139" spans="1:20">
      <c r="A139" s="77"/>
      <c r="B139" s="78">
        <v>3006</v>
      </c>
      <c r="C139" s="79" t="s">
        <v>288</v>
      </c>
      <c r="D139" s="48" t="s">
        <v>289</v>
      </c>
      <c r="E139" s="73" t="s">
        <v>3984</v>
      </c>
      <c r="F139" s="73" t="s">
        <v>290</v>
      </c>
      <c r="G139" s="48">
        <v>2</v>
      </c>
      <c r="H139" s="48"/>
      <c r="I139" s="48"/>
      <c r="J139" s="48"/>
      <c r="K139" s="17"/>
      <c r="L139" s="17"/>
      <c r="M139" s="48">
        <v>1</v>
      </c>
      <c r="N139" s="48">
        <v>1</v>
      </c>
      <c r="O139" s="48">
        <v>0</v>
      </c>
      <c r="P139" s="48">
        <v>0</v>
      </c>
      <c r="Q139" s="48">
        <v>0</v>
      </c>
      <c r="R139" s="48"/>
      <c r="S139" s="48">
        <v>0</v>
      </c>
      <c r="T139" s="68"/>
    </row>
    <row r="140" spans="1:20">
      <c r="A140" s="72"/>
      <c r="B140" s="72">
        <v>3100</v>
      </c>
      <c r="C140" s="74" t="s">
        <v>302</v>
      </c>
      <c r="D140" s="48" t="s">
        <v>303</v>
      </c>
      <c r="E140" s="73" t="s">
        <v>3983</v>
      </c>
      <c r="F140" s="73" t="s">
        <v>304</v>
      </c>
      <c r="G140" s="48">
        <v>2</v>
      </c>
      <c r="H140" s="48"/>
      <c r="I140" s="48"/>
      <c r="J140" s="48"/>
      <c r="K140" s="17"/>
      <c r="L140" s="17"/>
      <c r="M140" s="48">
        <v>1</v>
      </c>
      <c r="N140" s="48">
        <v>1</v>
      </c>
      <c r="O140" s="48">
        <v>0</v>
      </c>
      <c r="P140" s="48">
        <v>0</v>
      </c>
      <c r="Q140" s="48">
        <v>0</v>
      </c>
      <c r="R140" s="48"/>
      <c r="S140" s="48">
        <v>0</v>
      </c>
      <c r="T140" s="68"/>
    </row>
    <row r="141" spans="1:20">
      <c r="A141" s="72" t="s">
        <v>48</v>
      </c>
      <c r="B141" s="72">
        <v>3101</v>
      </c>
      <c r="C141" s="74" t="s">
        <v>305</v>
      </c>
      <c r="D141" s="48"/>
      <c r="E141" s="50"/>
      <c r="F141" s="50"/>
      <c r="G141" s="48">
        <v>2</v>
      </c>
      <c r="H141" s="48"/>
      <c r="I141" s="48"/>
      <c r="J141" s="48"/>
      <c r="K141" s="17"/>
      <c r="L141" s="17"/>
      <c r="M141" s="48">
        <v>1</v>
      </c>
      <c r="N141" s="48">
        <v>1</v>
      </c>
      <c r="O141" s="48">
        <v>0</v>
      </c>
      <c r="P141" s="48">
        <v>0</v>
      </c>
      <c r="Q141" s="48">
        <v>0</v>
      </c>
      <c r="R141" s="48"/>
      <c r="S141" s="48">
        <v>0</v>
      </c>
      <c r="T141" s="68"/>
    </row>
    <row r="142" spans="1:20" ht="18.75" customHeight="1">
      <c r="A142" s="72"/>
      <c r="B142" s="72">
        <v>3102</v>
      </c>
      <c r="C142" s="74" t="s">
        <v>306</v>
      </c>
      <c r="D142" s="48" t="s">
        <v>307</v>
      </c>
      <c r="E142" s="73" t="s">
        <v>3982</v>
      </c>
      <c r="F142" s="73" t="s">
        <v>308</v>
      </c>
      <c r="G142" s="48">
        <v>2</v>
      </c>
      <c r="H142" s="48"/>
      <c r="I142" s="48"/>
      <c r="J142" s="48"/>
      <c r="K142" s="17"/>
      <c r="L142" s="17"/>
      <c r="M142" s="48">
        <v>1</v>
      </c>
      <c r="N142" s="48">
        <v>1</v>
      </c>
      <c r="O142" s="48">
        <v>0</v>
      </c>
      <c r="P142" s="48">
        <v>0</v>
      </c>
      <c r="Q142" s="48">
        <v>0</v>
      </c>
      <c r="R142" s="48"/>
      <c r="S142" s="48">
        <v>0</v>
      </c>
      <c r="T142" s="68"/>
    </row>
    <row r="143" spans="1:20">
      <c r="A143" s="72" t="s">
        <v>48</v>
      </c>
      <c r="B143" s="72">
        <v>3103</v>
      </c>
      <c r="C143" s="74" t="s">
        <v>309</v>
      </c>
      <c r="D143" s="48" t="s">
        <v>310</v>
      </c>
      <c r="E143" s="50"/>
      <c r="F143" s="50"/>
      <c r="G143" s="48">
        <v>2</v>
      </c>
      <c r="H143" s="48"/>
      <c r="I143" s="48"/>
      <c r="J143" s="48"/>
      <c r="K143" s="17"/>
      <c r="L143" s="17"/>
      <c r="M143" s="48">
        <v>1</v>
      </c>
      <c r="N143" s="48">
        <v>1</v>
      </c>
      <c r="O143" s="48">
        <v>0</v>
      </c>
      <c r="P143" s="48">
        <v>0</v>
      </c>
      <c r="Q143" s="48">
        <v>0</v>
      </c>
      <c r="R143" s="48"/>
      <c r="S143" s="48">
        <v>0</v>
      </c>
      <c r="T143" s="68"/>
    </row>
    <row r="144" spans="1:20">
      <c r="A144" s="72"/>
      <c r="B144" s="72">
        <v>3104</v>
      </c>
      <c r="C144" s="74" t="s">
        <v>311</v>
      </c>
      <c r="D144" s="48" t="s">
        <v>312</v>
      </c>
      <c r="E144" s="73" t="s">
        <v>4152</v>
      </c>
      <c r="F144" s="73" t="s">
        <v>313</v>
      </c>
      <c r="G144" s="48">
        <v>2</v>
      </c>
      <c r="H144" s="48"/>
      <c r="I144" s="48"/>
      <c r="J144" s="48"/>
      <c r="K144" s="17"/>
      <c r="L144" s="17"/>
      <c r="M144" s="48">
        <v>1</v>
      </c>
      <c r="N144" s="48">
        <v>1</v>
      </c>
      <c r="O144" s="48">
        <v>0</v>
      </c>
      <c r="P144" s="48">
        <v>0</v>
      </c>
      <c r="Q144" s="48">
        <v>0</v>
      </c>
      <c r="R144" s="48"/>
      <c r="S144" s="48">
        <v>0</v>
      </c>
      <c r="T144" s="68"/>
    </row>
    <row r="145" spans="1:20">
      <c r="A145" s="72"/>
      <c r="B145" s="72">
        <v>3105</v>
      </c>
      <c r="C145" s="74" t="s">
        <v>314</v>
      </c>
      <c r="D145" s="48"/>
      <c r="E145" s="73" t="s">
        <v>3982</v>
      </c>
      <c r="F145" s="73" t="s">
        <v>315</v>
      </c>
      <c r="G145" s="48">
        <v>2</v>
      </c>
      <c r="H145" s="48"/>
      <c r="I145" s="48"/>
      <c r="J145" s="48"/>
      <c r="K145" s="17"/>
      <c r="L145" s="17"/>
      <c r="M145" s="48">
        <v>1</v>
      </c>
      <c r="N145" s="48">
        <v>1</v>
      </c>
      <c r="O145" s="48">
        <v>0</v>
      </c>
      <c r="P145" s="48">
        <v>0</v>
      </c>
      <c r="Q145" s="48">
        <v>0</v>
      </c>
      <c r="R145" s="48"/>
      <c r="S145" s="48">
        <v>0</v>
      </c>
      <c r="T145" s="68"/>
    </row>
    <row r="146" spans="1:20">
      <c r="A146" s="72"/>
      <c r="B146" s="72">
        <v>3106</v>
      </c>
      <c r="C146" s="74" t="s">
        <v>316</v>
      </c>
      <c r="D146" s="48" t="s">
        <v>317</v>
      </c>
      <c r="E146" s="73" t="s">
        <v>3982</v>
      </c>
      <c r="F146" s="73" t="s">
        <v>4154</v>
      </c>
      <c r="G146" s="48">
        <v>2</v>
      </c>
      <c r="H146" s="48"/>
      <c r="I146" s="48"/>
      <c r="J146" s="48"/>
      <c r="K146" s="17"/>
      <c r="L146" s="17"/>
      <c r="M146" s="48">
        <v>1</v>
      </c>
      <c r="N146" s="48">
        <v>1</v>
      </c>
      <c r="O146" s="48">
        <v>0</v>
      </c>
      <c r="P146" s="48">
        <v>0</v>
      </c>
      <c r="Q146" s="48">
        <v>0</v>
      </c>
      <c r="R146" s="48"/>
      <c r="S146" s="48">
        <v>0</v>
      </c>
      <c r="T146" s="68"/>
    </row>
    <row r="147" spans="1:20">
      <c r="A147" s="72" t="s">
        <v>48</v>
      </c>
      <c r="B147" s="72">
        <v>3200</v>
      </c>
      <c r="C147" s="74" t="s">
        <v>318</v>
      </c>
      <c r="D147" s="48"/>
      <c r="E147" s="73" t="s">
        <v>319</v>
      </c>
      <c r="F147" s="75" t="s">
        <v>320</v>
      </c>
      <c r="G147" s="48">
        <v>2</v>
      </c>
      <c r="H147" s="48"/>
      <c r="I147" s="48"/>
      <c r="J147" s="48"/>
      <c r="K147" s="17"/>
      <c r="L147" s="17"/>
      <c r="M147" s="48">
        <v>1</v>
      </c>
      <c r="N147" s="48">
        <v>1</v>
      </c>
      <c r="O147" s="48">
        <v>0</v>
      </c>
      <c r="P147" s="48">
        <v>0</v>
      </c>
      <c r="Q147" s="48">
        <v>0</v>
      </c>
      <c r="R147" s="48"/>
      <c r="S147" s="48">
        <v>0</v>
      </c>
      <c r="T147" s="68"/>
    </row>
    <row r="148" spans="1:20">
      <c r="A148" s="72"/>
      <c r="B148" s="72">
        <v>3201</v>
      </c>
      <c r="C148" s="74" t="s">
        <v>321</v>
      </c>
      <c r="D148" s="48" t="s">
        <v>322</v>
      </c>
      <c r="E148" s="73" t="s">
        <v>323</v>
      </c>
      <c r="F148" s="73" t="s">
        <v>324</v>
      </c>
      <c r="G148" s="48">
        <v>2</v>
      </c>
      <c r="H148" s="48"/>
      <c r="I148" s="48"/>
      <c r="J148" s="48"/>
      <c r="K148" s="17"/>
      <c r="L148" s="17"/>
      <c r="M148" s="48">
        <v>1</v>
      </c>
      <c r="N148" s="48">
        <v>1</v>
      </c>
      <c r="O148" s="48">
        <v>0</v>
      </c>
      <c r="P148" s="48">
        <v>0</v>
      </c>
      <c r="Q148" s="48">
        <v>0</v>
      </c>
      <c r="R148" s="48"/>
      <c r="S148" s="48">
        <v>0</v>
      </c>
      <c r="T148" s="68"/>
    </row>
    <row r="149" spans="1:20">
      <c r="A149" s="72"/>
      <c r="B149" s="72">
        <v>3202</v>
      </c>
      <c r="C149" s="74" t="s">
        <v>325</v>
      </c>
      <c r="D149" s="48" t="s">
        <v>326</v>
      </c>
      <c r="E149" s="73" t="s">
        <v>323</v>
      </c>
      <c r="F149" s="73" t="s">
        <v>4194</v>
      </c>
      <c r="G149" s="48">
        <v>2</v>
      </c>
      <c r="H149" s="48"/>
      <c r="I149" s="48"/>
      <c r="J149" s="54"/>
      <c r="K149" s="17"/>
      <c r="L149" s="17"/>
      <c r="M149" s="48">
        <v>1</v>
      </c>
      <c r="N149" s="48">
        <v>1</v>
      </c>
      <c r="O149" s="48">
        <v>0</v>
      </c>
      <c r="P149" s="48">
        <v>0</v>
      </c>
      <c r="Q149" s="48">
        <v>0</v>
      </c>
      <c r="R149" s="48"/>
      <c r="S149" s="48">
        <v>0</v>
      </c>
      <c r="T149" s="68"/>
    </row>
    <row r="150" spans="1:20">
      <c r="A150" s="72"/>
      <c r="B150" s="72">
        <v>3203</v>
      </c>
      <c r="C150" s="74" t="s">
        <v>4138</v>
      </c>
      <c r="D150" s="48" t="s">
        <v>328</v>
      </c>
      <c r="E150" s="73" t="s">
        <v>329</v>
      </c>
      <c r="F150" s="73" t="s">
        <v>4195</v>
      </c>
      <c r="G150" s="48">
        <v>2</v>
      </c>
      <c r="H150" s="48"/>
      <c r="I150" s="48"/>
      <c r="J150" s="48"/>
      <c r="K150" s="17"/>
      <c r="L150" s="17"/>
      <c r="M150" s="48">
        <v>1</v>
      </c>
      <c r="N150" s="48">
        <v>1</v>
      </c>
      <c r="O150" s="48">
        <v>0</v>
      </c>
      <c r="P150" s="48">
        <v>0</v>
      </c>
      <c r="Q150" s="48">
        <v>0</v>
      </c>
      <c r="R150" s="48"/>
      <c r="S150" s="48">
        <v>0</v>
      </c>
      <c r="T150" s="68"/>
    </row>
    <row r="151" spans="1:20">
      <c r="A151" s="77"/>
      <c r="B151" s="72">
        <v>3204</v>
      </c>
      <c r="C151" s="77" t="s">
        <v>330</v>
      </c>
      <c r="D151" s="48" t="s">
        <v>331</v>
      </c>
      <c r="E151" s="73" t="s">
        <v>329</v>
      </c>
      <c r="F151" s="73" t="s">
        <v>4196</v>
      </c>
      <c r="G151" s="48">
        <v>2</v>
      </c>
      <c r="H151" s="48"/>
      <c r="I151" s="48"/>
      <c r="J151" s="54"/>
      <c r="K151" s="17"/>
      <c r="L151" s="17"/>
      <c r="M151" s="48">
        <v>1</v>
      </c>
      <c r="N151" s="48">
        <v>1</v>
      </c>
      <c r="O151" s="48">
        <v>0</v>
      </c>
      <c r="P151" s="48">
        <v>0</v>
      </c>
      <c r="Q151" s="48">
        <v>0</v>
      </c>
      <c r="R151" s="48"/>
      <c r="S151" s="48">
        <v>0</v>
      </c>
      <c r="T151" s="68"/>
    </row>
    <row r="152" spans="1:20">
      <c r="A152" s="77" t="s">
        <v>48</v>
      </c>
      <c r="B152" s="72">
        <v>3205</v>
      </c>
      <c r="C152" s="77" t="s">
        <v>327</v>
      </c>
      <c r="D152" s="48"/>
      <c r="E152" s="50"/>
      <c r="F152" s="50"/>
      <c r="G152" s="48">
        <v>2</v>
      </c>
      <c r="H152" s="48"/>
      <c r="I152" s="48"/>
      <c r="J152" s="48"/>
      <c r="K152" s="17"/>
      <c r="L152" s="17"/>
      <c r="M152" s="48">
        <v>1</v>
      </c>
      <c r="N152" s="48">
        <v>1</v>
      </c>
      <c r="O152" s="48">
        <v>0</v>
      </c>
      <c r="P152" s="48">
        <v>0</v>
      </c>
      <c r="Q152" s="48">
        <v>0</v>
      </c>
      <c r="R152" s="48"/>
      <c r="S152" s="48">
        <v>0</v>
      </c>
      <c r="T152" s="68"/>
    </row>
    <row r="153" spans="1:20">
      <c r="A153" s="77"/>
      <c r="B153" s="72">
        <v>3206</v>
      </c>
      <c r="C153" s="77" t="s">
        <v>332</v>
      </c>
      <c r="D153" s="48" t="s">
        <v>333</v>
      </c>
      <c r="E153" s="73" t="s">
        <v>323</v>
      </c>
      <c r="F153" s="73" t="s">
        <v>334</v>
      </c>
      <c r="G153" s="48">
        <v>2</v>
      </c>
      <c r="H153" s="48"/>
      <c r="I153" s="48"/>
      <c r="J153" s="54"/>
      <c r="K153" s="17"/>
      <c r="L153" s="17"/>
      <c r="M153" s="48">
        <v>1</v>
      </c>
      <c r="N153" s="48">
        <v>1</v>
      </c>
      <c r="O153" s="48">
        <v>0</v>
      </c>
      <c r="P153" s="48">
        <v>0</v>
      </c>
      <c r="Q153" s="48">
        <v>0</v>
      </c>
      <c r="R153" s="48"/>
      <c r="S153" s="48">
        <v>0</v>
      </c>
      <c r="T153" s="68"/>
    </row>
    <row r="154" spans="1:20">
      <c r="A154" s="77"/>
      <c r="B154" s="72">
        <v>3207</v>
      </c>
      <c r="C154" s="80" t="s">
        <v>335</v>
      </c>
      <c r="D154" s="48" t="s">
        <v>336</v>
      </c>
      <c r="E154" s="73" t="s">
        <v>323</v>
      </c>
      <c r="F154" s="73" t="s">
        <v>337</v>
      </c>
      <c r="G154" s="48">
        <v>2</v>
      </c>
      <c r="H154" s="48"/>
      <c r="I154" s="48"/>
      <c r="J154" s="48"/>
      <c r="K154" s="17"/>
      <c r="L154" s="17"/>
      <c r="M154" s="48">
        <v>1</v>
      </c>
      <c r="N154" s="48">
        <v>1</v>
      </c>
      <c r="O154" s="48">
        <v>0</v>
      </c>
      <c r="P154" s="48">
        <v>0</v>
      </c>
      <c r="Q154" s="48">
        <v>0</v>
      </c>
      <c r="R154" s="48"/>
      <c r="S154" s="48">
        <v>0</v>
      </c>
      <c r="T154" s="68"/>
    </row>
    <row r="155" spans="1:20">
      <c r="A155" s="77"/>
      <c r="B155" s="72">
        <v>3208</v>
      </c>
      <c r="C155" s="80" t="s">
        <v>338</v>
      </c>
      <c r="D155" s="48" t="s">
        <v>339</v>
      </c>
      <c r="E155" s="73" t="s">
        <v>323</v>
      </c>
      <c r="F155" s="73" t="s">
        <v>4155</v>
      </c>
      <c r="G155" s="48">
        <v>2</v>
      </c>
      <c r="H155" s="48"/>
      <c r="I155" s="48"/>
      <c r="J155" s="48"/>
      <c r="K155" s="17"/>
      <c r="L155" s="17"/>
      <c r="M155" s="48">
        <v>1</v>
      </c>
      <c r="N155" s="48">
        <v>1</v>
      </c>
      <c r="O155" s="48">
        <v>0</v>
      </c>
      <c r="P155" s="48">
        <v>0</v>
      </c>
      <c r="Q155" s="48">
        <v>0</v>
      </c>
      <c r="R155" s="48"/>
      <c r="S155" s="48">
        <v>0</v>
      </c>
      <c r="T155" s="68"/>
    </row>
    <row r="156" spans="1:20">
      <c r="A156" s="77"/>
      <c r="B156" s="72">
        <v>3209</v>
      </c>
      <c r="C156" s="80" t="s">
        <v>3946</v>
      </c>
      <c r="D156" s="48" t="s">
        <v>341</v>
      </c>
      <c r="E156" s="73" t="s">
        <v>323</v>
      </c>
      <c r="F156" s="73" t="s">
        <v>342</v>
      </c>
      <c r="G156" s="48">
        <v>2</v>
      </c>
      <c r="H156" s="48"/>
      <c r="I156" s="48"/>
      <c r="J156" s="54"/>
      <c r="K156" s="17"/>
      <c r="L156" s="17"/>
      <c r="M156" s="48">
        <v>1</v>
      </c>
      <c r="N156" s="48">
        <v>1</v>
      </c>
      <c r="O156" s="48">
        <v>0</v>
      </c>
      <c r="P156" s="48">
        <v>0</v>
      </c>
      <c r="Q156" s="48">
        <v>0</v>
      </c>
      <c r="R156" s="48"/>
      <c r="S156" s="48">
        <v>0</v>
      </c>
      <c r="T156" s="68"/>
    </row>
    <row r="157" spans="1:20">
      <c r="A157" s="77"/>
      <c r="B157" s="72">
        <v>3210</v>
      </c>
      <c r="C157" s="80" t="s">
        <v>340</v>
      </c>
      <c r="D157" s="48" t="s">
        <v>341</v>
      </c>
      <c r="E157" s="73" t="s">
        <v>323</v>
      </c>
      <c r="F157" s="73" t="s">
        <v>3947</v>
      </c>
      <c r="G157" s="48">
        <v>2</v>
      </c>
      <c r="H157" s="48"/>
      <c r="I157" s="48"/>
      <c r="J157" s="48"/>
      <c r="K157" s="17"/>
      <c r="L157" s="17"/>
      <c r="M157" s="48">
        <v>1</v>
      </c>
      <c r="N157" s="48">
        <v>1</v>
      </c>
      <c r="O157" s="48">
        <v>0</v>
      </c>
      <c r="P157" s="48">
        <v>0</v>
      </c>
      <c r="Q157" s="48">
        <v>0</v>
      </c>
      <c r="R157" s="48"/>
      <c r="S157" s="48">
        <v>0</v>
      </c>
      <c r="T157" s="68"/>
    </row>
    <row r="158" spans="1:20">
      <c r="A158" s="77"/>
      <c r="B158" s="72">
        <v>3211</v>
      </c>
      <c r="C158" s="80" t="s">
        <v>343</v>
      </c>
      <c r="D158" s="48" t="s">
        <v>344</v>
      </c>
      <c r="E158" s="73" t="s">
        <v>323</v>
      </c>
      <c r="F158" s="73" t="s">
        <v>345</v>
      </c>
      <c r="G158" s="48">
        <v>2</v>
      </c>
      <c r="H158" s="48"/>
      <c r="I158" s="48"/>
      <c r="J158" s="48"/>
      <c r="K158" s="17"/>
      <c r="L158" s="17"/>
      <c r="M158" s="48">
        <v>1</v>
      </c>
      <c r="N158" s="48">
        <v>1</v>
      </c>
      <c r="O158" s="48">
        <v>0</v>
      </c>
      <c r="P158" s="48">
        <v>0</v>
      </c>
      <c r="Q158" s="48">
        <v>0</v>
      </c>
      <c r="R158" s="48"/>
      <c r="S158" s="48">
        <v>0</v>
      </c>
      <c r="T158" s="68"/>
    </row>
    <row r="159" spans="1:20">
      <c r="A159" s="77"/>
      <c r="B159" s="72">
        <v>3212</v>
      </c>
      <c r="C159" s="81" t="s">
        <v>346</v>
      </c>
      <c r="D159" s="48" t="s">
        <v>347</v>
      </c>
      <c r="E159" s="73" t="s">
        <v>323</v>
      </c>
      <c r="F159" s="73" t="s">
        <v>348</v>
      </c>
      <c r="G159" s="48">
        <v>2</v>
      </c>
      <c r="H159" s="48"/>
      <c r="I159" s="48"/>
      <c r="J159" s="48"/>
      <c r="K159" s="17"/>
      <c r="L159" s="17"/>
      <c r="M159" s="48">
        <v>1</v>
      </c>
      <c r="N159" s="48">
        <v>1</v>
      </c>
      <c r="O159" s="48">
        <v>0</v>
      </c>
      <c r="P159" s="48">
        <v>0</v>
      </c>
      <c r="Q159" s="48">
        <v>0</v>
      </c>
      <c r="R159" s="48"/>
      <c r="S159" s="48">
        <v>0</v>
      </c>
      <c r="T159" s="68"/>
    </row>
    <row r="160" spans="1:20">
      <c r="A160" s="77"/>
      <c r="B160" s="72">
        <v>3213</v>
      </c>
      <c r="C160" s="82" t="s">
        <v>349</v>
      </c>
      <c r="D160" s="48"/>
      <c r="E160" s="83" t="s">
        <v>323</v>
      </c>
      <c r="F160" s="83" t="s">
        <v>350</v>
      </c>
      <c r="G160" s="48">
        <v>2</v>
      </c>
      <c r="H160" s="48"/>
      <c r="I160" s="48"/>
      <c r="J160" s="48"/>
      <c r="K160" s="17"/>
      <c r="L160" s="17"/>
      <c r="M160" s="48">
        <v>1</v>
      </c>
      <c r="N160" s="48">
        <v>1</v>
      </c>
      <c r="O160" s="48">
        <v>0</v>
      </c>
      <c r="P160" s="48">
        <v>0</v>
      </c>
      <c r="Q160" s="48">
        <v>0</v>
      </c>
      <c r="R160" s="48"/>
      <c r="S160" s="48">
        <v>0</v>
      </c>
      <c r="T160" s="68"/>
    </row>
    <row r="161" spans="1:20">
      <c r="A161" s="77"/>
      <c r="B161" s="72">
        <v>3214</v>
      </c>
      <c r="C161" s="82" t="s">
        <v>351</v>
      </c>
      <c r="D161" s="48" t="s">
        <v>352</v>
      </c>
      <c r="E161" s="73" t="s">
        <v>323</v>
      </c>
      <c r="F161" s="73" t="s">
        <v>353</v>
      </c>
      <c r="G161" s="48">
        <v>2</v>
      </c>
      <c r="H161" s="48"/>
      <c r="I161" s="48"/>
      <c r="J161" s="48"/>
      <c r="K161" s="17"/>
      <c r="L161" s="17"/>
      <c r="M161" s="48">
        <v>1</v>
      </c>
      <c r="N161" s="48">
        <v>1</v>
      </c>
      <c r="O161" s="48">
        <v>0</v>
      </c>
      <c r="P161" s="48">
        <v>0</v>
      </c>
      <c r="Q161" s="48">
        <v>0</v>
      </c>
      <c r="R161" s="48"/>
      <c r="S161" s="48">
        <v>0</v>
      </c>
      <c r="T161" s="68"/>
    </row>
    <row r="162" spans="1:20">
      <c r="A162" s="77"/>
      <c r="B162" s="72">
        <v>3215</v>
      </c>
      <c r="C162" s="76" t="s">
        <v>354</v>
      </c>
      <c r="D162" s="48" t="s">
        <v>355</v>
      </c>
      <c r="E162" s="73" t="s">
        <v>323</v>
      </c>
      <c r="F162" s="73" t="s">
        <v>4153</v>
      </c>
      <c r="G162" s="48">
        <v>2</v>
      </c>
      <c r="H162" s="48"/>
      <c r="I162" s="48"/>
      <c r="J162" s="48"/>
      <c r="K162" s="17"/>
      <c r="L162" s="17"/>
      <c r="M162" s="48">
        <v>1</v>
      </c>
      <c r="N162" s="48">
        <v>1</v>
      </c>
      <c r="O162" s="48">
        <v>0</v>
      </c>
      <c r="P162" s="48">
        <v>0</v>
      </c>
      <c r="Q162" s="48">
        <v>0</v>
      </c>
      <c r="R162" s="48"/>
      <c r="S162" s="48">
        <v>0</v>
      </c>
      <c r="T162" s="68"/>
    </row>
    <row r="163" spans="1:20">
      <c r="A163" s="72"/>
      <c r="B163" s="72">
        <v>3300</v>
      </c>
      <c r="C163" s="74" t="s">
        <v>356</v>
      </c>
      <c r="D163" s="48" t="s">
        <v>357</v>
      </c>
      <c r="E163" s="73" t="s">
        <v>358</v>
      </c>
      <c r="F163" s="73" t="s">
        <v>359</v>
      </c>
      <c r="G163" s="48">
        <v>2</v>
      </c>
      <c r="H163" s="48"/>
      <c r="I163" s="48"/>
      <c r="J163" s="48"/>
      <c r="K163" s="17"/>
      <c r="L163" s="17"/>
      <c r="M163" s="48">
        <v>1</v>
      </c>
      <c r="N163" s="48">
        <v>1</v>
      </c>
      <c r="O163" s="48">
        <v>0</v>
      </c>
      <c r="P163" s="48">
        <v>0</v>
      </c>
      <c r="Q163" s="48">
        <v>0</v>
      </c>
      <c r="R163" s="48"/>
      <c r="S163" s="48">
        <v>0</v>
      </c>
      <c r="T163" s="68"/>
    </row>
    <row r="164" spans="1:20">
      <c r="A164" s="72" t="s">
        <v>48</v>
      </c>
      <c r="B164" s="72">
        <v>3301</v>
      </c>
      <c r="C164" s="74" t="s">
        <v>360</v>
      </c>
      <c r="D164" s="48"/>
      <c r="E164" s="50"/>
      <c r="F164" s="50" t="s">
        <v>361</v>
      </c>
      <c r="G164" s="48">
        <v>2</v>
      </c>
      <c r="H164" s="48"/>
      <c r="I164" s="48"/>
      <c r="J164" s="48"/>
      <c r="K164" s="17"/>
      <c r="L164" s="17"/>
      <c r="M164" s="48">
        <v>1</v>
      </c>
      <c r="N164" s="48">
        <v>1</v>
      </c>
      <c r="O164" s="48">
        <v>0</v>
      </c>
      <c r="P164" s="48">
        <v>0</v>
      </c>
      <c r="Q164" s="48">
        <v>0</v>
      </c>
      <c r="R164" s="48"/>
      <c r="S164" s="48">
        <v>0</v>
      </c>
      <c r="T164" s="68"/>
    </row>
    <row r="165" spans="1:20">
      <c r="A165" s="72" t="s">
        <v>48</v>
      </c>
      <c r="B165" s="72">
        <v>3302</v>
      </c>
      <c r="C165" s="74" t="s">
        <v>362</v>
      </c>
      <c r="D165" s="48"/>
      <c r="E165" s="50"/>
      <c r="F165" s="50"/>
      <c r="G165" s="48">
        <v>2</v>
      </c>
      <c r="H165" s="48"/>
      <c r="I165" s="48"/>
      <c r="J165" s="48"/>
      <c r="K165" s="17"/>
      <c r="L165" s="17"/>
      <c r="M165" s="48">
        <v>1</v>
      </c>
      <c r="N165" s="48">
        <v>1</v>
      </c>
      <c r="O165" s="48">
        <v>0</v>
      </c>
      <c r="P165" s="48">
        <v>0</v>
      </c>
      <c r="Q165" s="48">
        <v>0</v>
      </c>
      <c r="R165" s="48"/>
      <c r="S165" s="48">
        <v>0</v>
      </c>
      <c r="T165" s="68"/>
    </row>
    <row r="166" spans="1:20">
      <c r="A166" s="72"/>
      <c r="B166" s="72">
        <v>3303</v>
      </c>
      <c r="C166" s="74" t="s">
        <v>363</v>
      </c>
      <c r="D166" s="48" t="s">
        <v>364</v>
      </c>
      <c r="E166" s="73" t="s">
        <v>365</v>
      </c>
      <c r="F166" s="73" t="s">
        <v>366</v>
      </c>
      <c r="G166" s="48">
        <v>2</v>
      </c>
      <c r="H166" s="48"/>
      <c r="I166" s="48"/>
      <c r="J166" s="48"/>
      <c r="K166" s="17"/>
      <c r="L166" s="17"/>
      <c r="M166" s="48">
        <v>1</v>
      </c>
      <c r="N166" s="48">
        <v>1</v>
      </c>
      <c r="O166" s="48">
        <v>0</v>
      </c>
      <c r="P166" s="48">
        <v>0</v>
      </c>
      <c r="Q166" s="48">
        <v>0</v>
      </c>
      <c r="R166" s="48"/>
      <c r="S166" s="48">
        <v>0</v>
      </c>
      <c r="T166" s="68"/>
    </row>
    <row r="167" spans="1:20">
      <c r="A167" s="72" t="s">
        <v>48</v>
      </c>
      <c r="B167" s="72">
        <v>3304</v>
      </c>
      <c r="C167" s="74" t="s">
        <v>367</v>
      </c>
      <c r="D167" s="48"/>
      <c r="E167" s="50"/>
      <c r="F167" s="50" t="s">
        <v>368</v>
      </c>
      <c r="G167" s="48">
        <v>2</v>
      </c>
      <c r="H167" s="48"/>
      <c r="I167" s="48"/>
      <c r="J167" s="48"/>
      <c r="K167" s="17"/>
      <c r="L167" s="17"/>
      <c r="M167" s="48">
        <v>1</v>
      </c>
      <c r="N167" s="48">
        <v>1</v>
      </c>
      <c r="O167" s="48">
        <v>0</v>
      </c>
      <c r="P167" s="48">
        <v>0</v>
      </c>
      <c r="Q167" s="48">
        <v>0</v>
      </c>
      <c r="R167" s="48"/>
      <c r="S167" s="48">
        <v>0</v>
      </c>
      <c r="T167" s="68"/>
    </row>
    <row r="168" spans="1:20">
      <c r="A168" s="72" t="s">
        <v>48</v>
      </c>
      <c r="B168" s="72">
        <v>3305</v>
      </c>
      <c r="C168" s="74" t="s">
        <v>369</v>
      </c>
      <c r="D168" s="48"/>
      <c r="E168" s="50"/>
      <c r="F168" s="50" t="s">
        <v>370</v>
      </c>
      <c r="G168" s="48">
        <v>2</v>
      </c>
      <c r="H168" s="48"/>
      <c r="I168" s="48"/>
      <c r="J168" s="48"/>
      <c r="K168" s="17"/>
      <c r="L168" s="17"/>
      <c r="M168" s="48">
        <v>1</v>
      </c>
      <c r="N168" s="48">
        <v>1</v>
      </c>
      <c r="O168" s="48">
        <v>0</v>
      </c>
      <c r="P168" s="48">
        <v>0</v>
      </c>
      <c r="Q168" s="48">
        <v>0</v>
      </c>
      <c r="R168" s="48"/>
      <c r="S168" s="48">
        <v>0</v>
      </c>
      <c r="T168" s="68"/>
    </row>
    <row r="169" spans="1:20">
      <c r="A169" s="72"/>
      <c r="B169" s="72">
        <v>3306</v>
      </c>
      <c r="C169" s="74" t="s">
        <v>371</v>
      </c>
      <c r="D169" s="48"/>
      <c r="E169" s="50"/>
      <c r="F169" s="50" t="s">
        <v>372</v>
      </c>
      <c r="G169" s="48">
        <v>2</v>
      </c>
      <c r="H169" s="48"/>
      <c r="I169" s="48"/>
      <c r="J169" s="48"/>
      <c r="K169" s="17"/>
      <c r="L169" s="17"/>
      <c r="M169" s="48">
        <v>1</v>
      </c>
      <c r="N169" s="48">
        <v>1</v>
      </c>
      <c r="O169" s="48">
        <v>0</v>
      </c>
      <c r="P169" s="48">
        <v>0</v>
      </c>
      <c r="Q169" s="48">
        <v>0</v>
      </c>
      <c r="R169" s="48"/>
      <c r="S169" s="48">
        <v>0</v>
      </c>
      <c r="T169" s="68"/>
    </row>
    <row r="170" spans="1:20">
      <c r="A170" s="72"/>
      <c r="B170" s="72">
        <v>3307</v>
      </c>
      <c r="C170" s="74" t="s">
        <v>373</v>
      </c>
      <c r="D170" s="48"/>
      <c r="E170" s="50"/>
      <c r="F170" s="50" t="s">
        <v>374</v>
      </c>
      <c r="G170" s="48">
        <v>2</v>
      </c>
      <c r="H170" s="48"/>
      <c r="I170" s="48"/>
      <c r="J170" s="48"/>
      <c r="K170" s="17"/>
      <c r="L170" s="17"/>
      <c r="M170" s="48">
        <v>1</v>
      </c>
      <c r="N170" s="48">
        <v>1</v>
      </c>
      <c r="O170" s="48">
        <v>0</v>
      </c>
      <c r="P170" s="48">
        <v>0</v>
      </c>
      <c r="Q170" s="48">
        <v>0</v>
      </c>
      <c r="R170" s="48"/>
      <c r="S170" s="48">
        <v>0</v>
      </c>
      <c r="T170" s="68"/>
    </row>
    <row r="171" spans="1:20">
      <c r="A171" s="72"/>
      <c r="B171" s="72">
        <v>3308</v>
      </c>
      <c r="C171" s="74" t="s">
        <v>375</v>
      </c>
      <c r="D171" s="48"/>
      <c r="E171" s="50"/>
      <c r="F171" s="50" t="s">
        <v>376</v>
      </c>
      <c r="G171" s="48">
        <v>2</v>
      </c>
      <c r="H171" s="48"/>
      <c r="I171" s="48"/>
      <c r="J171" s="48"/>
      <c r="K171" s="17"/>
      <c r="L171" s="17"/>
      <c r="M171" s="48">
        <v>1</v>
      </c>
      <c r="N171" s="48">
        <v>1</v>
      </c>
      <c r="O171" s="48">
        <v>0</v>
      </c>
      <c r="P171" s="48">
        <v>0</v>
      </c>
      <c r="Q171" s="48">
        <v>0</v>
      </c>
      <c r="R171" s="48"/>
      <c r="S171" s="48">
        <v>0</v>
      </c>
      <c r="T171" s="68"/>
    </row>
    <row r="172" spans="1:20">
      <c r="A172" s="72"/>
      <c r="B172" s="72">
        <v>3309</v>
      </c>
      <c r="C172" s="74" t="s">
        <v>377</v>
      </c>
      <c r="D172" s="48"/>
      <c r="E172" s="50"/>
      <c r="F172" s="50" t="s">
        <v>378</v>
      </c>
      <c r="G172" s="48">
        <v>2</v>
      </c>
      <c r="H172" s="48"/>
      <c r="I172" s="48"/>
      <c r="J172" s="48"/>
      <c r="K172" s="17"/>
      <c r="L172" s="17"/>
      <c r="M172" s="48">
        <v>1</v>
      </c>
      <c r="N172" s="48">
        <v>1</v>
      </c>
      <c r="O172" s="48">
        <v>0</v>
      </c>
      <c r="P172" s="48">
        <v>0</v>
      </c>
      <c r="Q172" s="48">
        <v>0</v>
      </c>
      <c r="R172" s="48"/>
      <c r="S172" s="48">
        <v>0</v>
      </c>
      <c r="T172" s="68"/>
    </row>
    <row r="173" spans="1:20">
      <c r="A173" s="72"/>
      <c r="B173" s="72">
        <v>3400</v>
      </c>
      <c r="C173" s="74" t="s">
        <v>379</v>
      </c>
      <c r="D173" s="48" t="s">
        <v>380</v>
      </c>
      <c r="E173" s="73" t="s">
        <v>381</v>
      </c>
      <c r="F173" s="73" t="s">
        <v>4156</v>
      </c>
      <c r="G173" s="48">
        <v>2</v>
      </c>
      <c r="H173" s="48"/>
      <c r="I173" s="48"/>
      <c r="J173" s="48"/>
      <c r="K173" s="17"/>
      <c r="L173" s="17"/>
      <c r="M173" s="48">
        <v>1</v>
      </c>
      <c r="N173" s="48">
        <v>1</v>
      </c>
      <c r="O173" s="48">
        <v>0</v>
      </c>
      <c r="P173" s="48">
        <v>0</v>
      </c>
      <c r="Q173" s="48">
        <v>0</v>
      </c>
      <c r="R173" s="48"/>
      <c r="S173" s="48">
        <v>0</v>
      </c>
      <c r="T173" s="68"/>
    </row>
    <row r="174" spans="1:20">
      <c r="A174" s="221"/>
      <c r="B174" s="72">
        <v>3401</v>
      </c>
      <c r="C174" s="222" t="s">
        <v>4149</v>
      </c>
      <c r="D174" s="48" t="s">
        <v>4150</v>
      </c>
      <c r="E174" s="73" t="s">
        <v>381</v>
      </c>
      <c r="F174" s="224" t="s">
        <v>4151</v>
      </c>
      <c r="G174" s="223">
        <v>2</v>
      </c>
      <c r="H174" s="223"/>
      <c r="I174" s="223"/>
      <c r="J174" s="223"/>
      <c r="K174" s="225"/>
      <c r="L174" s="225"/>
      <c r="M174" s="48">
        <v>1</v>
      </c>
      <c r="N174" s="48">
        <v>1</v>
      </c>
      <c r="O174" s="48">
        <v>0</v>
      </c>
      <c r="P174" s="48">
        <v>0</v>
      </c>
      <c r="Q174" s="48">
        <v>0</v>
      </c>
      <c r="R174" s="48"/>
      <c r="S174" s="48">
        <v>0</v>
      </c>
      <c r="T174" s="68"/>
    </row>
    <row r="175" spans="1:20">
      <c r="A175" s="72"/>
      <c r="B175" s="72">
        <v>3500</v>
      </c>
      <c r="C175" s="74" t="s">
        <v>382</v>
      </c>
      <c r="D175" s="48"/>
      <c r="E175" s="50"/>
      <c r="F175" s="50" t="s">
        <v>383</v>
      </c>
      <c r="G175" s="48">
        <v>2</v>
      </c>
      <c r="H175" s="48"/>
      <c r="I175" s="48"/>
      <c r="J175" s="48"/>
      <c r="K175" s="17"/>
      <c r="L175" s="17"/>
      <c r="M175" s="48">
        <v>1</v>
      </c>
      <c r="N175" s="48">
        <v>1</v>
      </c>
      <c r="O175" s="48">
        <v>0</v>
      </c>
      <c r="P175" s="48">
        <v>0</v>
      </c>
      <c r="Q175" s="48">
        <v>0</v>
      </c>
      <c r="R175" s="48"/>
      <c r="S175" s="48">
        <v>0</v>
      </c>
      <c r="T175" s="68"/>
    </row>
    <row r="176" spans="1:20">
      <c r="A176" s="72"/>
      <c r="B176" s="72">
        <v>3501</v>
      </c>
      <c r="C176" s="74" t="s">
        <v>384</v>
      </c>
      <c r="D176" s="48"/>
      <c r="E176" s="50"/>
      <c r="F176" s="50" t="s">
        <v>385</v>
      </c>
      <c r="G176" s="48">
        <v>2</v>
      </c>
      <c r="H176" s="48"/>
      <c r="I176" s="48"/>
      <c r="J176" s="48"/>
      <c r="K176" s="17"/>
      <c r="L176" s="17"/>
      <c r="M176" s="48">
        <v>1</v>
      </c>
      <c r="N176" s="48">
        <v>1</v>
      </c>
      <c r="O176" s="48">
        <v>0</v>
      </c>
      <c r="P176" s="48">
        <v>0</v>
      </c>
      <c r="Q176" s="48">
        <v>0</v>
      </c>
      <c r="R176" s="48"/>
      <c r="S176" s="48">
        <v>0</v>
      </c>
      <c r="T176" s="68"/>
    </row>
    <row r="177" spans="1:20">
      <c r="A177" s="72" t="s">
        <v>48</v>
      </c>
      <c r="B177" s="72">
        <v>3502</v>
      </c>
      <c r="C177" s="74" t="s">
        <v>386</v>
      </c>
      <c r="D177" s="48"/>
      <c r="E177" s="50"/>
      <c r="F177" s="50" t="s">
        <v>387</v>
      </c>
      <c r="G177" s="48">
        <v>2</v>
      </c>
      <c r="H177" s="48"/>
      <c r="I177" s="48"/>
      <c r="J177" s="48"/>
      <c r="K177" s="17"/>
      <c r="L177" s="17"/>
      <c r="M177" s="48">
        <v>1</v>
      </c>
      <c r="N177" s="48">
        <v>1</v>
      </c>
      <c r="O177" s="48">
        <v>0</v>
      </c>
      <c r="P177" s="48">
        <v>0</v>
      </c>
      <c r="Q177" s="48">
        <v>0</v>
      </c>
      <c r="R177" s="48"/>
      <c r="S177" s="48">
        <v>0</v>
      </c>
      <c r="T177" s="68"/>
    </row>
    <row r="178" spans="1:20">
      <c r="A178" s="72"/>
      <c r="B178" s="72">
        <v>3503</v>
      </c>
      <c r="C178" s="74" t="s">
        <v>388</v>
      </c>
      <c r="D178" s="48"/>
      <c r="E178" s="50"/>
      <c r="F178" s="50" t="s">
        <v>389</v>
      </c>
      <c r="G178" s="48">
        <v>2</v>
      </c>
      <c r="H178" s="48"/>
      <c r="I178" s="48"/>
      <c r="J178" s="48"/>
      <c r="K178" s="17"/>
      <c r="L178" s="17"/>
      <c r="M178" s="48">
        <v>1</v>
      </c>
      <c r="N178" s="48">
        <v>1</v>
      </c>
      <c r="O178" s="48">
        <v>0</v>
      </c>
      <c r="P178" s="48">
        <v>0</v>
      </c>
      <c r="Q178" s="48">
        <v>0</v>
      </c>
      <c r="R178" s="48"/>
      <c r="S178" s="48">
        <v>0</v>
      </c>
      <c r="T178" s="68"/>
    </row>
    <row r="179" spans="1:20">
      <c r="A179" s="72"/>
      <c r="B179" s="72">
        <v>3504</v>
      </c>
      <c r="C179" s="74" t="s">
        <v>390</v>
      </c>
      <c r="D179" s="48"/>
      <c r="E179" s="50"/>
      <c r="F179" s="50" t="s">
        <v>391</v>
      </c>
      <c r="G179" s="48">
        <v>2</v>
      </c>
      <c r="H179" s="48"/>
      <c r="I179" s="48"/>
      <c r="J179" s="48"/>
      <c r="K179" s="17"/>
      <c r="L179" s="17"/>
      <c r="M179" s="48">
        <v>1</v>
      </c>
      <c r="N179" s="48">
        <v>1</v>
      </c>
      <c r="O179" s="48">
        <v>0</v>
      </c>
      <c r="P179" s="48">
        <v>0</v>
      </c>
      <c r="Q179" s="48">
        <v>0</v>
      </c>
      <c r="R179" s="48"/>
      <c r="S179" s="48">
        <v>0</v>
      </c>
      <c r="T179" s="68"/>
    </row>
    <row r="180" spans="1:20">
      <c r="A180" s="72"/>
      <c r="B180" s="72">
        <v>3600</v>
      </c>
      <c r="C180" s="74" t="s">
        <v>392</v>
      </c>
      <c r="D180" s="48" t="s">
        <v>393</v>
      </c>
      <c r="E180" s="73" t="s">
        <v>358</v>
      </c>
      <c r="F180" s="73" t="s">
        <v>394</v>
      </c>
      <c r="G180" s="48">
        <v>2</v>
      </c>
      <c r="H180" s="48"/>
      <c r="I180" s="48"/>
      <c r="J180" s="48"/>
      <c r="K180" s="17"/>
      <c r="L180" s="17"/>
      <c r="M180" s="48">
        <v>1</v>
      </c>
      <c r="N180" s="48">
        <v>1</v>
      </c>
      <c r="O180" s="48">
        <v>0</v>
      </c>
      <c r="P180" s="48">
        <v>0</v>
      </c>
      <c r="Q180" s="48">
        <v>0</v>
      </c>
      <c r="R180" s="48"/>
      <c r="S180" s="48">
        <v>0</v>
      </c>
      <c r="T180" s="68"/>
    </row>
    <row r="181" spans="1:20">
      <c r="A181" s="174"/>
      <c r="B181" s="174">
        <v>3700</v>
      </c>
      <c r="C181" s="175" t="s">
        <v>4157</v>
      </c>
      <c r="D181" s="176" t="s">
        <v>4028</v>
      </c>
      <c r="E181" s="177" t="s">
        <v>4039</v>
      </c>
      <c r="F181" s="177" t="s">
        <v>4159</v>
      </c>
      <c r="G181" s="176">
        <v>2</v>
      </c>
      <c r="H181" s="176"/>
      <c r="I181" s="176"/>
      <c r="J181" s="176"/>
      <c r="K181" s="178"/>
      <c r="L181" s="178"/>
      <c r="M181" s="176">
        <v>1</v>
      </c>
      <c r="N181" s="176">
        <v>1</v>
      </c>
      <c r="O181" s="176">
        <v>0</v>
      </c>
      <c r="P181" s="176">
        <v>0</v>
      </c>
      <c r="Q181" s="176">
        <v>0</v>
      </c>
      <c r="R181" s="176"/>
      <c r="S181" s="176">
        <v>0</v>
      </c>
      <c r="T181" s="68"/>
    </row>
    <row r="182" spans="1:20">
      <c r="A182" s="174"/>
      <c r="B182" s="174">
        <v>3701</v>
      </c>
      <c r="C182" s="175" t="s">
        <v>4035</v>
      </c>
      <c r="D182" s="176" t="s">
        <v>4021</v>
      </c>
      <c r="E182" s="177" t="s">
        <v>4039</v>
      </c>
      <c r="F182" s="177" t="s">
        <v>4158</v>
      </c>
      <c r="G182" s="176">
        <v>2</v>
      </c>
      <c r="H182" s="176"/>
      <c r="I182" s="176"/>
      <c r="J182" s="176"/>
      <c r="K182" s="178"/>
      <c r="L182" s="178"/>
      <c r="M182" s="176">
        <v>1</v>
      </c>
      <c r="N182" s="176">
        <v>1</v>
      </c>
      <c r="O182" s="176">
        <v>0</v>
      </c>
      <c r="P182" s="176">
        <v>0</v>
      </c>
      <c r="Q182" s="176">
        <v>0</v>
      </c>
      <c r="R182" s="176"/>
      <c r="S182" s="176">
        <v>0</v>
      </c>
      <c r="T182" s="68"/>
    </row>
    <row r="183" spans="1:20">
      <c r="A183" s="174"/>
      <c r="B183" s="174">
        <v>3702</v>
      </c>
      <c r="C183" s="175" t="s">
        <v>4036</v>
      </c>
      <c r="D183" s="176" t="s">
        <v>4022</v>
      </c>
      <c r="E183" s="177" t="s">
        <v>4039</v>
      </c>
      <c r="F183" s="177" t="s">
        <v>4023</v>
      </c>
      <c r="G183" s="176">
        <v>2</v>
      </c>
      <c r="H183" s="176"/>
      <c r="I183" s="176"/>
      <c r="J183" s="176"/>
      <c r="K183" s="178"/>
      <c r="L183" s="178"/>
      <c r="M183" s="176">
        <v>1</v>
      </c>
      <c r="N183" s="176">
        <v>1</v>
      </c>
      <c r="O183" s="176">
        <v>0</v>
      </c>
      <c r="P183" s="176">
        <v>0</v>
      </c>
      <c r="Q183" s="176">
        <v>0</v>
      </c>
      <c r="R183" s="176"/>
      <c r="S183" s="176">
        <v>0</v>
      </c>
      <c r="T183" s="68"/>
    </row>
    <row r="184" spans="1:20">
      <c r="A184" s="174"/>
      <c r="B184" s="174">
        <v>3703</v>
      </c>
      <c r="C184" s="175" t="s">
        <v>4037</v>
      </c>
      <c r="D184" s="176" t="s">
        <v>4024</v>
      </c>
      <c r="E184" s="177" t="s">
        <v>4039</v>
      </c>
      <c r="F184" s="177" t="s">
        <v>4025</v>
      </c>
      <c r="G184" s="176">
        <v>2</v>
      </c>
      <c r="H184" s="176"/>
      <c r="I184" s="176"/>
      <c r="J184" s="176"/>
      <c r="K184" s="178"/>
      <c r="L184" s="178"/>
      <c r="M184" s="176">
        <v>1</v>
      </c>
      <c r="N184" s="176">
        <v>1</v>
      </c>
      <c r="O184" s="176">
        <v>0</v>
      </c>
      <c r="P184" s="176">
        <v>0</v>
      </c>
      <c r="Q184" s="176">
        <v>0</v>
      </c>
      <c r="R184" s="176"/>
      <c r="S184" s="176">
        <v>0</v>
      </c>
      <c r="T184" s="68"/>
    </row>
    <row r="185" spans="1:20">
      <c r="A185" s="174"/>
      <c r="B185" s="174">
        <v>3704</v>
      </c>
      <c r="C185" s="175" t="s">
        <v>4038</v>
      </c>
      <c r="D185" s="176" t="s">
        <v>4026</v>
      </c>
      <c r="E185" s="177" t="s">
        <v>4039</v>
      </c>
      <c r="F185" s="177" t="s">
        <v>4027</v>
      </c>
      <c r="G185" s="176">
        <v>2</v>
      </c>
      <c r="H185" s="176"/>
      <c r="I185" s="176"/>
      <c r="J185" s="176"/>
      <c r="K185" s="178"/>
      <c r="L185" s="178"/>
      <c r="M185" s="176">
        <v>1</v>
      </c>
      <c r="N185" s="176">
        <v>1</v>
      </c>
      <c r="O185" s="176">
        <v>0</v>
      </c>
      <c r="P185" s="176">
        <v>0</v>
      </c>
      <c r="Q185" s="176">
        <v>0</v>
      </c>
      <c r="R185" s="176"/>
      <c r="S185" s="176">
        <v>0</v>
      </c>
      <c r="T185" s="68"/>
    </row>
    <row r="186" spans="1:20">
      <c r="A186" s="49" t="s">
        <v>48</v>
      </c>
      <c r="B186" s="54">
        <v>6200</v>
      </c>
      <c r="C186" s="49" t="s">
        <v>338</v>
      </c>
      <c r="D186" s="48" t="s">
        <v>395</v>
      </c>
      <c r="E186" s="50"/>
      <c r="F186" s="50"/>
      <c r="G186" s="48">
        <v>2</v>
      </c>
      <c r="H186" s="48"/>
      <c r="I186" s="48"/>
      <c r="J186" s="54"/>
      <c r="K186" s="17"/>
      <c r="L186" s="17"/>
      <c r="M186" s="48">
        <v>1</v>
      </c>
      <c r="N186" s="48">
        <v>1</v>
      </c>
      <c r="O186" s="48">
        <v>0</v>
      </c>
      <c r="P186" s="48">
        <v>0</v>
      </c>
      <c r="Q186" s="48">
        <v>0</v>
      </c>
      <c r="R186" s="48"/>
      <c r="S186" s="48">
        <v>0</v>
      </c>
      <c r="T186" s="68"/>
    </row>
    <row r="187" spans="1:20">
      <c r="A187" s="49" t="s">
        <v>48</v>
      </c>
      <c r="B187" s="54">
        <v>6201</v>
      </c>
      <c r="C187" s="49" t="s">
        <v>396</v>
      </c>
      <c r="D187" s="48" t="s">
        <v>397</v>
      </c>
      <c r="E187" s="50"/>
      <c r="F187" s="50"/>
      <c r="G187" s="48">
        <v>2</v>
      </c>
      <c r="H187" s="48"/>
      <c r="I187" s="48"/>
      <c r="J187" s="54"/>
      <c r="K187" s="17"/>
      <c r="L187" s="17"/>
      <c r="M187" s="48">
        <v>1</v>
      </c>
      <c r="N187" s="48">
        <v>1</v>
      </c>
      <c r="O187" s="48">
        <v>0</v>
      </c>
      <c r="P187" s="48">
        <v>0</v>
      </c>
      <c r="Q187" s="48">
        <v>0</v>
      </c>
      <c r="R187" s="48"/>
      <c r="S187" s="48">
        <v>0</v>
      </c>
      <c r="T187" s="68"/>
    </row>
    <row r="188" spans="1:20">
      <c r="A188" s="49" t="s">
        <v>48</v>
      </c>
      <c r="B188" s="54">
        <v>6202</v>
      </c>
      <c r="C188" s="49" t="s">
        <v>398</v>
      </c>
      <c r="D188" s="48" t="s">
        <v>399</v>
      </c>
      <c r="E188" s="50"/>
      <c r="F188" s="50"/>
      <c r="G188" s="48">
        <v>2</v>
      </c>
      <c r="H188" s="48"/>
      <c r="I188" s="48"/>
      <c r="J188" s="54"/>
      <c r="K188" s="17"/>
      <c r="L188" s="17"/>
      <c r="M188" s="48">
        <v>1</v>
      </c>
      <c r="N188" s="48">
        <v>1</v>
      </c>
      <c r="O188" s="48">
        <v>0</v>
      </c>
      <c r="P188" s="48">
        <v>0</v>
      </c>
      <c r="Q188" s="48">
        <v>0</v>
      </c>
      <c r="R188" s="48"/>
      <c r="S188" s="48">
        <v>0</v>
      </c>
      <c r="T188" s="68"/>
    </row>
    <row r="189" spans="1:20">
      <c r="A189" s="49"/>
      <c r="B189" s="54">
        <v>6203</v>
      </c>
      <c r="C189" s="49" t="s">
        <v>330</v>
      </c>
      <c r="D189" s="48" t="s">
        <v>400</v>
      </c>
      <c r="E189" s="50" t="s">
        <v>401</v>
      </c>
      <c r="F189" s="50" t="s">
        <v>402</v>
      </c>
      <c r="G189" s="48">
        <v>2</v>
      </c>
      <c r="H189" s="48"/>
      <c r="I189" s="48"/>
      <c r="J189" s="54"/>
      <c r="K189" s="17"/>
      <c r="L189" s="17"/>
      <c r="M189" s="48">
        <v>1</v>
      </c>
      <c r="N189" s="48">
        <v>1</v>
      </c>
      <c r="O189" s="48">
        <v>0</v>
      </c>
      <c r="P189" s="48">
        <v>0</v>
      </c>
      <c r="Q189" s="48">
        <v>0</v>
      </c>
      <c r="R189" s="48"/>
      <c r="S189" s="48">
        <v>0</v>
      </c>
      <c r="T189" s="68"/>
    </row>
    <row r="190" spans="1:20">
      <c r="A190" s="49"/>
      <c r="B190" s="54">
        <v>6204</v>
      </c>
      <c r="C190" s="49" t="s">
        <v>327</v>
      </c>
      <c r="D190" s="48" t="s">
        <v>403</v>
      </c>
      <c r="E190" s="50" t="s">
        <v>401</v>
      </c>
      <c r="F190" s="84" t="s">
        <v>404</v>
      </c>
      <c r="G190" s="48">
        <v>2</v>
      </c>
      <c r="H190" s="48"/>
      <c r="I190" s="48"/>
      <c r="J190" s="54"/>
      <c r="K190" s="17"/>
      <c r="L190" s="17"/>
      <c r="M190" s="48">
        <v>1</v>
      </c>
      <c r="N190" s="48">
        <v>1</v>
      </c>
      <c r="O190" s="48">
        <v>0</v>
      </c>
      <c r="P190" s="48">
        <v>0</v>
      </c>
      <c r="Q190" s="48">
        <v>0</v>
      </c>
      <c r="R190" s="48"/>
      <c r="S190" s="48">
        <v>0</v>
      </c>
      <c r="T190" s="68"/>
    </row>
    <row r="191" spans="1:20">
      <c r="A191" s="49" t="s">
        <v>48</v>
      </c>
      <c r="B191" s="54">
        <v>6205</v>
      </c>
      <c r="C191" s="49" t="s">
        <v>346</v>
      </c>
      <c r="D191" s="48" t="s">
        <v>405</v>
      </c>
      <c r="E191" s="50"/>
      <c r="F191" s="84"/>
      <c r="G191" s="48">
        <v>2</v>
      </c>
      <c r="H191" s="48"/>
      <c r="I191" s="48"/>
      <c r="J191" s="54"/>
      <c r="K191" s="17"/>
      <c r="L191" s="17"/>
      <c r="M191" s="48">
        <v>1</v>
      </c>
      <c r="N191" s="48">
        <v>1</v>
      </c>
      <c r="O191" s="48">
        <v>0</v>
      </c>
      <c r="P191" s="48">
        <v>0</v>
      </c>
      <c r="Q191" s="48">
        <v>0</v>
      </c>
      <c r="R191" s="48"/>
      <c r="S191" s="48">
        <v>0</v>
      </c>
      <c r="T191" s="68"/>
    </row>
    <row r="192" spans="1:20">
      <c r="A192" s="49" t="s">
        <v>48</v>
      </c>
      <c r="B192" s="54">
        <v>6206</v>
      </c>
      <c r="C192" s="49" t="s">
        <v>406</v>
      </c>
      <c r="D192" s="48" t="s">
        <v>407</v>
      </c>
      <c r="E192" s="50"/>
      <c r="F192" s="84"/>
      <c r="G192" s="48">
        <v>2</v>
      </c>
      <c r="H192" s="48"/>
      <c r="I192" s="48"/>
      <c r="J192" s="54"/>
      <c r="K192" s="17"/>
      <c r="L192" s="17"/>
      <c r="M192" s="48">
        <v>1</v>
      </c>
      <c r="N192" s="48">
        <v>1</v>
      </c>
      <c r="O192" s="48">
        <v>0</v>
      </c>
      <c r="P192" s="48">
        <v>0</v>
      </c>
      <c r="Q192" s="48">
        <v>0</v>
      </c>
      <c r="R192" s="48"/>
      <c r="S192" s="48">
        <v>0</v>
      </c>
      <c r="T192" s="68"/>
    </row>
    <row r="193" spans="1:20">
      <c r="A193" s="49"/>
      <c r="B193" s="54">
        <v>6207</v>
      </c>
      <c r="C193" s="49" t="s">
        <v>408</v>
      </c>
      <c r="D193" s="48" t="s">
        <v>409</v>
      </c>
      <c r="E193" s="50" t="s">
        <v>410</v>
      </c>
      <c r="F193" s="84" t="s">
        <v>411</v>
      </c>
      <c r="G193" s="48">
        <v>2</v>
      </c>
      <c r="H193" s="48"/>
      <c r="I193" s="48"/>
      <c r="J193" s="54"/>
      <c r="K193" s="17"/>
      <c r="L193" s="17"/>
      <c r="M193" s="48">
        <v>1</v>
      </c>
      <c r="N193" s="48">
        <v>1</v>
      </c>
      <c r="O193" s="48">
        <v>0</v>
      </c>
      <c r="P193" s="48">
        <v>0</v>
      </c>
      <c r="Q193" s="48">
        <v>0</v>
      </c>
      <c r="R193" s="48"/>
      <c r="S193" s="48">
        <v>0</v>
      </c>
      <c r="T193" s="68"/>
    </row>
    <row r="194" spans="1:20">
      <c r="A194" s="49" t="s">
        <v>48</v>
      </c>
      <c r="B194" s="54">
        <v>6208</v>
      </c>
      <c r="C194" s="49" t="s">
        <v>412</v>
      </c>
      <c r="D194" s="48" t="s">
        <v>413</v>
      </c>
      <c r="E194" s="50"/>
      <c r="F194" s="84"/>
      <c r="G194" s="48">
        <v>2</v>
      </c>
      <c r="H194" s="48"/>
      <c r="I194" s="48"/>
      <c r="J194" s="54"/>
      <c r="K194" s="17"/>
      <c r="L194" s="17"/>
      <c r="M194" s="48">
        <v>1</v>
      </c>
      <c r="N194" s="48">
        <v>1</v>
      </c>
      <c r="O194" s="48">
        <v>0</v>
      </c>
      <c r="P194" s="48">
        <v>0</v>
      </c>
      <c r="Q194" s="48">
        <v>0</v>
      </c>
      <c r="R194" s="48"/>
      <c r="S194" s="48">
        <v>0</v>
      </c>
      <c r="T194" s="68"/>
    </row>
    <row r="195" spans="1:20">
      <c r="A195" s="49" t="s">
        <v>48</v>
      </c>
      <c r="B195" s="54">
        <v>6209</v>
      </c>
      <c r="C195" s="49" t="s">
        <v>414</v>
      </c>
      <c r="D195" s="48" t="s">
        <v>415</v>
      </c>
      <c r="E195" s="50"/>
      <c r="F195" s="84"/>
      <c r="G195" s="48">
        <v>2</v>
      </c>
      <c r="H195" s="48"/>
      <c r="I195" s="48"/>
      <c r="J195" s="54"/>
      <c r="K195" s="17"/>
      <c r="L195" s="17"/>
      <c r="M195" s="48">
        <v>1</v>
      </c>
      <c r="N195" s="48">
        <v>1</v>
      </c>
      <c r="O195" s="48">
        <v>0</v>
      </c>
      <c r="P195" s="48">
        <v>0</v>
      </c>
      <c r="Q195" s="48">
        <v>0</v>
      </c>
      <c r="R195" s="48"/>
      <c r="S195" s="48">
        <v>0</v>
      </c>
      <c r="T195" s="68"/>
    </row>
    <row r="196" spans="1:20">
      <c r="A196" s="49" t="s">
        <v>48</v>
      </c>
      <c r="B196" s="54">
        <v>6210</v>
      </c>
      <c r="C196" s="49" t="s">
        <v>416</v>
      </c>
      <c r="D196" s="48" t="s">
        <v>417</v>
      </c>
      <c r="E196" s="50"/>
      <c r="F196" s="84"/>
      <c r="G196" s="48">
        <v>2</v>
      </c>
      <c r="H196" s="48"/>
      <c r="I196" s="48"/>
      <c r="J196" s="54"/>
      <c r="K196" s="17"/>
      <c r="L196" s="17"/>
      <c r="M196" s="48">
        <v>1</v>
      </c>
      <c r="N196" s="48">
        <v>1</v>
      </c>
      <c r="O196" s="48">
        <v>0</v>
      </c>
      <c r="P196" s="48">
        <v>0</v>
      </c>
      <c r="Q196" s="48">
        <v>0</v>
      </c>
      <c r="R196" s="48"/>
      <c r="S196" s="48">
        <v>0</v>
      </c>
      <c r="T196" s="68"/>
    </row>
    <row r="197" spans="1:20">
      <c r="A197" s="49" t="s">
        <v>48</v>
      </c>
      <c r="B197" s="54">
        <v>6211</v>
      </c>
      <c r="C197" s="49" t="s">
        <v>418</v>
      </c>
      <c r="D197" s="48" t="s">
        <v>419</v>
      </c>
      <c r="E197" s="50"/>
      <c r="F197" s="84"/>
      <c r="G197" s="48">
        <v>2</v>
      </c>
      <c r="H197" s="48"/>
      <c r="I197" s="48"/>
      <c r="J197" s="54"/>
      <c r="K197" s="17"/>
      <c r="L197" s="17"/>
      <c r="M197" s="48">
        <v>1</v>
      </c>
      <c r="N197" s="48">
        <v>1</v>
      </c>
      <c r="O197" s="48">
        <v>0</v>
      </c>
      <c r="P197" s="48">
        <v>0</v>
      </c>
      <c r="Q197" s="48">
        <v>0</v>
      </c>
      <c r="R197" s="48"/>
      <c r="S197" s="48">
        <v>0</v>
      </c>
      <c r="T197" s="68"/>
    </row>
    <row r="198" spans="1:20">
      <c r="A198" s="49" t="s">
        <v>48</v>
      </c>
      <c r="B198" s="54">
        <v>6212</v>
      </c>
      <c r="C198" s="49" t="s">
        <v>420</v>
      </c>
      <c r="D198" s="48" t="s">
        <v>421</v>
      </c>
      <c r="E198" s="50"/>
      <c r="F198" s="84"/>
      <c r="G198" s="48">
        <v>2</v>
      </c>
      <c r="H198" s="48"/>
      <c r="I198" s="48"/>
      <c r="J198" s="54"/>
      <c r="K198" s="17"/>
      <c r="L198" s="17"/>
      <c r="M198" s="48">
        <v>1</v>
      </c>
      <c r="N198" s="48">
        <v>1</v>
      </c>
      <c r="O198" s="48">
        <v>0</v>
      </c>
      <c r="P198" s="48">
        <v>0</v>
      </c>
      <c r="Q198" s="48">
        <v>0</v>
      </c>
      <c r="R198" s="48"/>
      <c r="S198" s="48">
        <v>0</v>
      </c>
      <c r="T198" s="68"/>
    </row>
    <row r="199" spans="1:20">
      <c r="A199" s="49" t="s">
        <v>48</v>
      </c>
      <c r="B199" s="54">
        <v>6213</v>
      </c>
      <c r="C199" s="49" t="s">
        <v>422</v>
      </c>
      <c r="D199" s="48" t="s">
        <v>423</v>
      </c>
      <c r="E199" s="50"/>
      <c r="F199" s="84"/>
      <c r="G199" s="48">
        <v>2</v>
      </c>
      <c r="H199" s="48"/>
      <c r="I199" s="48"/>
      <c r="J199" s="54"/>
      <c r="K199" s="17"/>
      <c r="L199" s="17"/>
      <c r="M199" s="48">
        <v>1</v>
      </c>
      <c r="N199" s="48">
        <v>1</v>
      </c>
      <c r="O199" s="48">
        <v>0</v>
      </c>
      <c r="P199" s="48">
        <v>0</v>
      </c>
      <c r="Q199" s="48">
        <v>0</v>
      </c>
      <c r="R199" s="48"/>
      <c r="S199" s="48">
        <v>0</v>
      </c>
      <c r="T199" s="68"/>
    </row>
    <row r="200" spans="1:20">
      <c r="A200" s="49" t="s">
        <v>48</v>
      </c>
      <c r="B200" s="54">
        <v>6214</v>
      </c>
      <c r="C200" s="49" t="s">
        <v>354</v>
      </c>
      <c r="D200" s="48" t="s">
        <v>424</v>
      </c>
      <c r="E200" s="50"/>
      <c r="F200" s="84"/>
      <c r="G200" s="48">
        <v>2</v>
      </c>
      <c r="H200" s="48"/>
      <c r="I200" s="48"/>
      <c r="J200" s="54"/>
      <c r="K200" s="17"/>
      <c r="L200" s="17"/>
      <c r="M200" s="48">
        <v>1</v>
      </c>
      <c r="N200" s="48">
        <v>1</v>
      </c>
      <c r="O200" s="48">
        <v>0</v>
      </c>
      <c r="P200" s="48">
        <v>0</v>
      </c>
      <c r="Q200" s="48">
        <v>0</v>
      </c>
      <c r="R200" s="48"/>
      <c r="S200" s="48">
        <v>0</v>
      </c>
      <c r="T200" s="68"/>
    </row>
    <row r="201" spans="1:20">
      <c r="A201" s="49" t="s">
        <v>48</v>
      </c>
      <c r="B201" s="54">
        <v>6100</v>
      </c>
      <c r="C201" s="49" t="s">
        <v>425</v>
      </c>
      <c r="D201" s="48" t="s">
        <v>426</v>
      </c>
      <c r="E201" s="50"/>
      <c r="F201" s="84"/>
      <c r="G201" s="48">
        <v>2</v>
      </c>
      <c r="H201" s="48"/>
      <c r="I201" s="48"/>
      <c r="J201" s="54"/>
      <c r="K201" s="17"/>
      <c r="L201" s="17"/>
      <c r="M201" s="48">
        <v>1</v>
      </c>
      <c r="N201" s="48">
        <v>1</v>
      </c>
      <c r="O201" s="48">
        <v>0</v>
      </c>
      <c r="P201" s="48">
        <v>0</v>
      </c>
      <c r="Q201" s="48">
        <v>0</v>
      </c>
      <c r="R201" s="48"/>
      <c r="S201" s="48">
        <v>0</v>
      </c>
      <c r="T201" s="68"/>
    </row>
    <row r="202" spans="1:20">
      <c r="A202" s="49" t="s">
        <v>48</v>
      </c>
      <c r="B202" s="54">
        <v>6101</v>
      </c>
      <c r="C202" s="49" t="s">
        <v>316</v>
      </c>
      <c r="D202" s="48" t="s">
        <v>427</v>
      </c>
      <c r="E202" s="50"/>
      <c r="F202" s="84"/>
      <c r="G202" s="48">
        <v>2</v>
      </c>
      <c r="H202" s="48"/>
      <c r="I202" s="48"/>
      <c r="J202" s="54"/>
      <c r="K202" s="17"/>
      <c r="L202" s="17"/>
      <c r="M202" s="48">
        <v>1</v>
      </c>
      <c r="N202" s="48">
        <v>1</v>
      </c>
      <c r="O202" s="48">
        <v>0</v>
      </c>
      <c r="P202" s="48">
        <v>0</v>
      </c>
      <c r="Q202" s="48">
        <v>0</v>
      </c>
      <c r="R202" s="48"/>
      <c r="S202" s="48">
        <v>0</v>
      </c>
      <c r="T202" s="68"/>
    </row>
    <row r="203" spans="1:20">
      <c r="A203" s="49" t="s">
        <v>48</v>
      </c>
      <c r="B203" s="54">
        <v>6300</v>
      </c>
      <c r="C203" s="49" t="s">
        <v>428</v>
      </c>
      <c r="D203" s="48" t="s">
        <v>429</v>
      </c>
      <c r="E203" s="50"/>
      <c r="F203" s="84"/>
      <c r="G203" s="48">
        <v>2</v>
      </c>
      <c r="H203" s="48"/>
      <c r="I203" s="48"/>
      <c r="J203" s="54"/>
      <c r="K203" s="17"/>
      <c r="L203" s="17"/>
      <c r="M203" s="48">
        <v>1</v>
      </c>
      <c r="N203" s="48">
        <v>1</v>
      </c>
      <c r="O203" s="48">
        <v>0</v>
      </c>
      <c r="P203" s="48">
        <v>0</v>
      </c>
      <c r="Q203" s="48">
        <v>0</v>
      </c>
      <c r="R203" s="48"/>
      <c r="S203" s="48">
        <v>0</v>
      </c>
      <c r="T203" s="68"/>
    </row>
    <row r="204" spans="1:20">
      <c r="A204" s="49" t="s">
        <v>48</v>
      </c>
      <c r="B204" s="54">
        <v>6301</v>
      </c>
      <c r="C204" s="49" t="s">
        <v>430</v>
      </c>
      <c r="D204" s="48" t="s">
        <v>431</v>
      </c>
      <c r="E204" s="50"/>
      <c r="F204" s="84"/>
      <c r="G204" s="48">
        <v>2</v>
      </c>
      <c r="H204" s="48"/>
      <c r="I204" s="48"/>
      <c r="J204" s="54"/>
      <c r="K204" s="17"/>
      <c r="L204" s="17"/>
      <c r="M204" s="48">
        <v>1</v>
      </c>
      <c r="N204" s="48">
        <v>1</v>
      </c>
      <c r="O204" s="48">
        <v>0</v>
      </c>
      <c r="P204" s="48">
        <v>0</v>
      </c>
      <c r="Q204" s="48">
        <v>0</v>
      </c>
      <c r="R204" s="48"/>
      <c r="S204" s="48">
        <v>0</v>
      </c>
      <c r="T204" s="68"/>
    </row>
    <row r="205" spans="1:20">
      <c r="A205" s="49" t="s">
        <v>48</v>
      </c>
      <c r="B205" s="54">
        <v>6700</v>
      </c>
      <c r="C205" s="49" t="s">
        <v>432</v>
      </c>
      <c r="D205" s="48" t="s">
        <v>433</v>
      </c>
      <c r="E205" s="50"/>
      <c r="F205" s="84"/>
      <c r="G205" s="48">
        <v>2</v>
      </c>
      <c r="H205" s="48"/>
      <c r="I205" s="48"/>
      <c r="J205" s="54"/>
      <c r="K205" s="17"/>
      <c r="L205" s="17"/>
      <c r="M205" s="48">
        <v>1</v>
      </c>
      <c r="N205" s="48">
        <v>1</v>
      </c>
      <c r="O205" s="48">
        <v>0</v>
      </c>
      <c r="P205" s="48">
        <v>0</v>
      </c>
      <c r="Q205" s="48">
        <v>0</v>
      </c>
      <c r="R205" s="48"/>
      <c r="S205" s="48">
        <v>0</v>
      </c>
      <c r="T205" s="68"/>
    </row>
    <row r="206" spans="1:20">
      <c r="A206" s="179"/>
      <c r="B206" s="180">
        <v>6500</v>
      </c>
      <c r="C206" s="183" t="s">
        <v>4029</v>
      </c>
      <c r="D206" s="176" t="s">
        <v>4030</v>
      </c>
      <c r="E206" s="181" t="s">
        <v>4040</v>
      </c>
      <c r="F206" s="182" t="s">
        <v>4031</v>
      </c>
      <c r="G206" s="176">
        <v>2</v>
      </c>
      <c r="H206" s="176"/>
      <c r="I206" s="176"/>
      <c r="J206" s="180"/>
      <c r="K206" s="178"/>
      <c r="L206" s="178"/>
      <c r="M206" s="176">
        <v>1</v>
      </c>
      <c r="N206" s="176">
        <v>1</v>
      </c>
      <c r="O206" s="176">
        <v>0</v>
      </c>
      <c r="P206" s="176">
        <v>0</v>
      </c>
      <c r="Q206" s="176">
        <v>0</v>
      </c>
      <c r="R206" s="176"/>
      <c r="S206" s="176">
        <v>0</v>
      </c>
      <c r="T206" s="68"/>
    </row>
    <row r="207" spans="1:20">
      <c r="A207" s="179"/>
      <c r="B207" s="180">
        <v>6502</v>
      </c>
      <c r="C207" s="183" t="s">
        <v>4032</v>
      </c>
      <c r="D207" s="176" t="s">
        <v>4033</v>
      </c>
      <c r="E207" s="181" t="s">
        <v>4165</v>
      </c>
      <c r="F207" s="182" t="s">
        <v>4034</v>
      </c>
      <c r="G207" s="176">
        <v>2</v>
      </c>
      <c r="H207" s="176"/>
      <c r="I207" s="176"/>
      <c r="J207" s="180"/>
      <c r="K207" s="178"/>
      <c r="L207" s="178"/>
      <c r="M207" s="176">
        <v>1</v>
      </c>
      <c r="N207" s="176">
        <v>1</v>
      </c>
      <c r="O207" s="176">
        <v>0</v>
      </c>
      <c r="P207" s="176">
        <v>0</v>
      </c>
      <c r="Q207" s="176">
        <v>0</v>
      </c>
      <c r="R207" s="176"/>
      <c r="S207" s="176">
        <v>0</v>
      </c>
      <c r="T207" s="68"/>
    </row>
    <row r="208" spans="1:20">
      <c r="A208" s="48"/>
      <c r="B208" s="48">
        <v>6701</v>
      </c>
      <c r="C208" s="48" t="s">
        <v>434</v>
      </c>
      <c r="D208" s="48" t="s">
        <v>435</v>
      </c>
      <c r="E208" s="50" t="s">
        <v>210</v>
      </c>
      <c r="F208" s="50" t="s">
        <v>436</v>
      </c>
      <c r="G208" s="48">
        <v>2</v>
      </c>
      <c r="H208" s="48"/>
      <c r="I208" s="48"/>
      <c r="J208" s="48"/>
      <c r="K208" s="17"/>
      <c r="L208" s="17"/>
      <c r="M208" s="55">
        <v>3</v>
      </c>
      <c r="N208" s="48">
        <v>1</v>
      </c>
      <c r="O208" s="48">
        <v>0</v>
      </c>
      <c r="P208" s="48">
        <v>0</v>
      </c>
      <c r="Q208" s="48">
        <v>0</v>
      </c>
      <c r="R208" s="48"/>
      <c r="S208" s="48">
        <v>0</v>
      </c>
      <c r="T208" s="68"/>
    </row>
    <row r="209" spans="1:20">
      <c r="A209" s="49" t="s">
        <v>48</v>
      </c>
      <c r="B209" s="54">
        <v>6000</v>
      </c>
      <c r="C209" s="49" t="s">
        <v>437</v>
      </c>
      <c r="D209" s="48" t="s">
        <v>438</v>
      </c>
      <c r="E209" s="50"/>
      <c r="F209" s="84"/>
      <c r="G209" s="48">
        <v>2</v>
      </c>
      <c r="H209" s="48"/>
      <c r="I209" s="48"/>
      <c r="J209" s="54"/>
      <c r="K209" s="17"/>
      <c r="L209" s="17"/>
      <c r="M209" s="48">
        <v>1</v>
      </c>
      <c r="N209" s="48">
        <v>1</v>
      </c>
      <c r="O209" s="48">
        <v>0</v>
      </c>
      <c r="P209" s="48">
        <v>0</v>
      </c>
      <c r="Q209" s="48">
        <v>0</v>
      </c>
      <c r="R209" s="48"/>
      <c r="S209" s="48">
        <v>0</v>
      </c>
      <c r="T209" s="68"/>
    </row>
    <row r="210" spans="1:20">
      <c r="A210" s="48"/>
      <c r="B210" s="48">
        <v>4000</v>
      </c>
      <c r="C210" s="48" t="s">
        <v>439</v>
      </c>
      <c r="D210" s="48" t="s">
        <v>440</v>
      </c>
      <c r="E210" s="85" t="s">
        <v>441</v>
      </c>
      <c r="F210" s="50" t="s">
        <v>442</v>
      </c>
      <c r="G210" s="48">
        <v>4</v>
      </c>
      <c r="H210" s="48">
        <v>7</v>
      </c>
      <c r="I210" s="48"/>
      <c r="J210" s="48"/>
      <c r="K210" s="17"/>
      <c r="L210" s="17"/>
      <c r="M210" s="48">
        <v>1</v>
      </c>
      <c r="N210" s="48">
        <v>9999</v>
      </c>
      <c r="O210" s="48">
        <v>0</v>
      </c>
      <c r="P210" s="48">
        <v>0</v>
      </c>
      <c r="Q210" s="48">
        <v>1</v>
      </c>
      <c r="R210" s="48">
        <v>2</v>
      </c>
      <c r="S210" s="48">
        <v>1</v>
      </c>
      <c r="T210" s="68"/>
    </row>
    <row r="211" spans="1:20">
      <c r="A211" s="48"/>
      <c r="B211" s="48">
        <v>4001</v>
      </c>
      <c r="C211" s="48" t="s">
        <v>443</v>
      </c>
      <c r="D211" s="48" t="s">
        <v>444</v>
      </c>
      <c r="E211" s="50"/>
      <c r="F211" s="50" t="s">
        <v>445</v>
      </c>
      <c r="G211" s="48">
        <v>4</v>
      </c>
      <c r="H211" s="48">
        <v>7</v>
      </c>
      <c r="I211" s="48"/>
      <c r="J211" s="48"/>
      <c r="K211" s="17"/>
      <c r="L211" s="17"/>
      <c r="M211" s="48">
        <v>1</v>
      </c>
      <c r="N211" s="48">
        <v>9999</v>
      </c>
      <c r="O211" s="48">
        <v>0</v>
      </c>
      <c r="P211" s="48">
        <v>0</v>
      </c>
      <c r="Q211" s="48">
        <v>1</v>
      </c>
      <c r="R211" s="48">
        <v>2</v>
      </c>
      <c r="S211" s="48">
        <v>150</v>
      </c>
      <c r="T211" s="68"/>
    </row>
    <row r="212" spans="1:20">
      <c r="A212" s="48"/>
      <c r="B212" s="48">
        <v>4002</v>
      </c>
      <c r="C212" s="48" t="s">
        <v>446</v>
      </c>
      <c r="D212" s="48" t="s">
        <v>447</v>
      </c>
      <c r="E212" s="50"/>
      <c r="F212" s="50" t="s">
        <v>448</v>
      </c>
      <c r="G212" s="48">
        <v>4</v>
      </c>
      <c r="H212" s="48">
        <v>7</v>
      </c>
      <c r="I212" s="48"/>
      <c r="J212" s="48"/>
      <c r="K212" s="17"/>
      <c r="L212" s="17"/>
      <c r="M212" s="48">
        <v>1</v>
      </c>
      <c r="N212" s="48">
        <v>9999</v>
      </c>
      <c r="O212" s="48">
        <v>0</v>
      </c>
      <c r="P212" s="48">
        <v>0</v>
      </c>
      <c r="Q212" s="48">
        <v>1</v>
      </c>
      <c r="R212" s="48">
        <v>2</v>
      </c>
      <c r="S212" s="48">
        <v>1</v>
      </c>
      <c r="T212" s="68"/>
    </row>
    <row r="213" spans="1:20">
      <c r="A213" s="48"/>
      <c r="B213" s="48">
        <v>4003</v>
      </c>
      <c r="C213" s="48" t="s">
        <v>449</v>
      </c>
      <c r="D213" s="48" t="s">
        <v>450</v>
      </c>
      <c r="E213" s="50"/>
      <c r="F213" s="50" t="s">
        <v>451</v>
      </c>
      <c r="G213" s="48">
        <v>4</v>
      </c>
      <c r="H213" s="48">
        <v>7</v>
      </c>
      <c r="I213" s="48"/>
      <c r="J213" s="48"/>
      <c r="K213" s="17"/>
      <c r="L213" s="17"/>
      <c r="M213" s="48">
        <v>1</v>
      </c>
      <c r="N213" s="48">
        <v>9999</v>
      </c>
      <c r="O213" s="48">
        <v>0</v>
      </c>
      <c r="P213" s="48">
        <v>0</v>
      </c>
      <c r="Q213" s="48">
        <v>1</v>
      </c>
      <c r="R213" s="48">
        <v>2</v>
      </c>
      <c r="S213" s="48">
        <v>1</v>
      </c>
      <c r="T213" s="68"/>
    </row>
    <row r="214" spans="1:20">
      <c r="A214" s="48"/>
      <c r="B214" s="48">
        <v>4004</v>
      </c>
      <c r="C214" s="48" t="s">
        <v>452</v>
      </c>
      <c r="D214" s="48" t="s">
        <v>453</v>
      </c>
      <c r="E214" s="50"/>
      <c r="F214" s="50" t="s">
        <v>454</v>
      </c>
      <c r="G214" s="48">
        <v>4</v>
      </c>
      <c r="H214" s="48">
        <v>7</v>
      </c>
      <c r="I214" s="48"/>
      <c r="J214" s="48"/>
      <c r="K214" s="17"/>
      <c r="L214" s="17"/>
      <c r="M214" s="48">
        <v>1</v>
      </c>
      <c r="N214" s="48">
        <v>9999</v>
      </c>
      <c r="O214" s="48">
        <v>0</v>
      </c>
      <c r="P214" s="48">
        <v>0</v>
      </c>
      <c r="Q214" s="48">
        <v>1</v>
      </c>
      <c r="R214" s="48">
        <v>2</v>
      </c>
      <c r="S214" s="48">
        <v>1</v>
      </c>
      <c r="T214" s="68"/>
    </row>
    <row r="215" spans="1:20">
      <c r="A215" s="48"/>
      <c r="B215" s="48">
        <v>4005</v>
      </c>
      <c r="C215" s="48" t="s">
        <v>455</v>
      </c>
      <c r="D215" s="48" t="s">
        <v>456</v>
      </c>
      <c r="E215" s="50"/>
      <c r="F215" s="50" t="s">
        <v>457</v>
      </c>
      <c r="G215" s="48">
        <v>4</v>
      </c>
      <c r="H215" s="48">
        <v>7</v>
      </c>
      <c r="I215" s="48"/>
      <c r="J215" s="48"/>
      <c r="K215" s="17"/>
      <c r="L215" s="17"/>
      <c r="M215" s="48">
        <v>1</v>
      </c>
      <c r="N215" s="48">
        <v>9999</v>
      </c>
      <c r="O215" s="48">
        <v>0</v>
      </c>
      <c r="P215" s="48">
        <v>0</v>
      </c>
      <c r="Q215" s="48">
        <v>1</v>
      </c>
      <c r="R215" s="48">
        <v>2</v>
      </c>
      <c r="S215" s="48">
        <v>1</v>
      </c>
      <c r="T215" s="68"/>
    </row>
    <row r="216" spans="1:20">
      <c r="A216" s="48"/>
      <c r="B216" s="48">
        <v>4009</v>
      </c>
      <c r="C216" s="48" t="s">
        <v>458</v>
      </c>
      <c r="D216" s="48" t="s">
        <v>459</v>
      </c>
      <c r="E216" s="50" t="s">
        <v>460</v>
      </c>
      <c r="F216" s="50" t="s">
        <v>460</v>
      </c>
      <c r="G216" s="48">
        <v>4</v>
      </c>
      <c r="H216" s="48">
        <v>3</v>
      </c>
      <c r="I216" s="48"/>
      <c r="J216" s="48"/>
      <c r="K216" s="17"/>
      <c r="L216" s="17"/>
      <c r="M216" s="48">
        <v>1</v>
      </c>
      <c r="N216" s="48">
        <v>9999</v>
      </c>
      <c r="O216" s="48">
        <v>0</v>
      </c>
      <c r="P216" s="48">
        <v>101</v>
      </c>
      <c r="Q216" s="48">
        <v>1</v>
      </c>
      <c r="R216" s="48">
        <v>2</v>
      </c>
      <c r="S216" s="48">
        <v>30</v>
      </c>
      <c r="T216" s="68"/>
    </row>
    <row r="217" spans="1:20">
      <c r="A217" s="48"/>
      <c r="B217" s="48">
        <v>4010</v>
      </c>
      <c r="C217" s="48" t="s">
        <v>461</v>
      </c>
      <c r="D217" s="48" t="s">
        <v>462</v>
      </c>
      <c r="E217" s="50" t="s">
        <v>463</v>
      </c>
      <c r="F217" s="50" t="s">
        <v>463</v>
      </c>
      <c r="G217" s="48">
        <v>4</v>
      </c>
      <c r="H217" s="48">
        <v>3</v>
      </c>
      <c r="I217" s="48"/>
      <c r="J217" s="48"/>
      <c r="K217" s="17"/>
      <c r="L217" s="17"/>
      <c r="M217" s="48">
        <v>2</v>
      </c>
      <c r="N217" s="48">
        <v>9999</v>
      </c>
      <c r="O217" s="48">
        <v>0</v>
      </c>
      <c r="P217" s="48">
        <v>102</v>
      </c>
      <c r="Q217" s="48">
        <v>1</v>
      </c>
      <c r="R217" s="48">
        <v>2</v>
      </c>
      <c r="S217" s="48">
        <v>75</v>
      </c>
      <c r="T217" s="68"/>
    </row>
    <row r="218" spans="1:20">
      <c r="A218" s="48"/>
      <c r="B218" s="48">
        <v>4011</v>
      </c>
      <c r="C218" s="48" t="s">
        <v>464</v>
      </c>
      <c r="D218" s="48" t="s">
        <v>465</v>
      </c>
      <c r="E218" s="50" t="s">
        <v>466</v>
      </c>
      <c r="F218" s="50" t="s">
        <v>466</v>
      </c>
      <c r="G218" s="48">
        <v>4</v>
      </c>
      <c r="H218" s="48">
        <v>3</v>
      </c>
      <c r="I218" s="48"/>
      <c r="J218" s="48"/>
      <c r="K218" s="17"/>
      <c r="L218" s="17"/>
      <c r="M218" s="48">
        <v>3</v>
      </c>
      <c r="N218" s="48">
        <v>9999</v>
      </c>
      <c r="O218" s="48">
        <v>0</v>
      </c>
      <c r="P218" s="48">
        <v>103</v>
      </c>
      <c r="Q218" s="48">
        <v>1</v>
      </c>
      <c r="R218" s="48">
        <v>2</v>
      </c>
      <c r="S218" s="48">
        <v>300</v>
      </c>
      <c r="T218" s="68"/>
    </row>
    <row r="219" spans="1:20">
      <c r="A219" s="48"/>
      <c r="B219" s="48">
        <v>4012</v>
      </c>
      <c r="C219" s="48" t="s">
        <v>467</v>
      </c>
      <c r="D219" s="48" t="s">
        <v>468</v>
      </c>
      <c r="E219" s="50" t="s">
        <v>469</v>
      </c>
      <c r="F219" s="50" t="s">
        <v>469</v>
      </c>
      <c r="G219" s="48">
        <v>4</v>
      </c>
      <c r="H219" s="48">
        <v>3</v>
      </c>
      <c r="I219" s="48"/>
      <c r="J219" s="48"/>
      <c r="K219" s="17"/>
      <c r="L219" s="17"/>
      <c r="M219" s="48">
        <v>4</v>
      </c>
      <c r="N219" s="48">
        <v>9999</v>
      </c>
      <c r="O219" s="48">
        <v>0</v>
      </c>
      <c r="P219" s="48">
        <v>104</v>
      </c>
      <c r="Q219" s="48">
        <v>1</v>
      </c>
      <c r="R219" s="48">
        <v>2</v>
      </c>
      <c r="S219" s="48">
        <v>750</v>
      </c>
      <c r="T219" s="68"/>
    </row>
    <row r="220" spans="1:20">
      <c r="A220" s="48"/>
      <c r="B220" s="48">
        <v>4013</v>
      </c>
      <c r="C220" s="48" t="s">
        <v>470</v>
      </c>
      <c r="D220" s="48" t="s">
        <v>471</v>
      </c>
      <c r="E220" s="50" t="s">
        <v>472</v>
      </c>
      <c r="F220" s="50" t="s">
        <v>472</v>
      </c>
      <c r="G220" s="48">
        <v>4</v>
      </c>
      <c r="H220" s="48">
        <v>3</v>
      </c>
      <c r="I220" s="48"/>
      <c r="J220" s="48"/>
      <c r="K220" s="17"/>
      <c r="L220" s="17"/>
      <c r="M220" s="48">
        <v>5</v>
      </c>
      <c r="N220" s="48">
        <v>9999</v>
      </c>
      <c r="O220" s="48">
        <v>0</v>
      </c>
      <c r="P220" s="48">
        <v>105</v>
      </c>
      <c r="Q220" s="48">
        <v>1</v>
      </c>
      <c r="R220" s="48">
        <v>2</v>
      </c>
      <c r="S220" s="48">
        <v>1250</v>
      </c>
      <c r="T220" s="68"/>
    </row>
    <row r="221" spans="1:20">
      <c r="A221" s="48"/>
      <c r="B221" s="48">
        <v>4014</v>
      </c>
      <c r="C221" s="48" t="s">
        <v>473</v>
      </c>
      <c r="D221" s="48" t="s">
        <v>474</v>
      </c>
      <c r="E221" s="50" t="s">
        <v>475</v>
      </c>
      <c r="F221" s="50" t="s">
        <v>475</v>
      </c>
      <c r="G221" s="48">
        <v>4</v>
      </c>
      <c r="H221" s="48">
        <v>3</v>
      </c>
      <c r="I221" s="48"/>
      <c r="J221" s="48"/>
      <c r="K221" s="17"/>
      <c r="L221" s="17"/>
      <c r="M221" s="48">
        <v>5</v>
      </c>
      <c r="N221" s="48">
        <v>9999</v>
      </c>
      <c r="O221" s="48">
        <v>0</v>
      </c>
      <c r="P221" s="48">
        <v>106</v>
      </c>
      <c r="Q221" s="48">
        <v>1</v>
      </c>
      <c r="R221" s="48">
        <v>2</v>
      </c>
      <c r="S221" s="48">
        <v>2000</v>
      </c>
      <c r="T221" s="68"/>
    </row>
    <row r="222" spans="1:20">
      <c r="A222" s="48" t="s">
        <v>48</v>
      </c>
      <c r="B222" s="48">
        <v>4015</v>
      </c>
      <c r="C222" s="48" t="s">
        <v>476</v>
      </c>
      <c r="D222" s="48" t="s">
        <v>477</v>
      </c>
      <c r="E222" s="50" t="s">
        <v>478</v>
      </c>
      <c r="F222" s="50" t="s">
        <v>478</v>
      </c>
      <c r="G222" s="48">
        <v>4</v>
      </c>
      <c r="H222" s="48">
        <v>3</v>
      </c>
      <c r="I222" s="48"/>
      <c r="J222" s="48"/>
      <c r="K222" s="17"/>
      <c r="L222" s="17"/>
      <c r="M222" s="48">
        <v>7</v>
      </c>
      <c r="N222" s="48">
        <v>9999</v>
      </c>
      <c r="O222" s="48">
        <v>0</v>
      </c>
      <c r="P222" s="48">
        <v>107</v>
      </c>
      <c r="Q222" s="48">
        <v>1</v>
      </c>
      <c r="R222" s="48">
        <v>2</v>
      </c>
      <c r="S222" s="48">
        <v>1</v>
      </c>
      <c r="T222" s="68"/>
    </row>
    <row r="223" spans="1:20">
      <c r="A223" s="48"/>
      <c r="B223" s="48">
        <v>4016</v>
      </c>
      <c r="C223" s="86" t="s">
        <v>22</v>
      </c>
      <c r="D223" s="48" t="s">
        <v>479</v>
      </c>
      <c r="E223" s="50" t="s">
        <v>480</v>
      </c>
      <c r="F223" s="50"/>
      <c r="G223" s="48">
        <v>1</v>
      </c>
      <c r="H223" s="48"/>
      <c r="I223" s="48"/>
      <c r="J223" s="48"/>
      <c r="K223" s="17"/>
      <c r="L223" s="17"/>
      <c r="M223" s="48">
        <v>5</v>
      </c>
      <c r="N223" s="48">
        <v>1</v>
      </c>
      <c r="O223" s="48">
        <v>0</v>
      </c>
      <c r="P223" s="48">
        <v>0</v>
      </c>
      <c r="Q223" s="48">
        <v>0</v>
      </c>
      <c r="R223" s="48"/>
      <c r="S223" s="48">
        <v>0</v>
      </c>
      <c r="T223" s="68"/>
    </row>
    <row r="224" spans="1:20">
      <c r="A224" s="48"/>
      <c r="B224" s="48">
        <v>4017</v>
      </c>
      <c r="C224" s="48" t="s">
        <v>481</v>
      </c>
      <c r="D224" s="48" t="s">
        <v>482</v>
      </c>
      <c r="E224" s="50" t="s">
        <v>483</v>
      </c>
      <c r="F224" s="50" t="s">
        <v>483</v>
      </c>
      <c r="G224" s="48">
        <v>4</v>
      </c>
      <c r="H224" s="48">
        <v>4</v>
      </c>
      <c r="I224" s="48"/>
      <c r="J224" s="48"/>
      <c r="K224" s="17"/>
      <c r="L224" s="17"/>
      <c r="M224" s="48">
        <v>1</v>
      </c>
      <c r="N224" s="48">
        <v>9999</v>
      </c>
      <c r="O224" s="48">
        <v>0</v>
      </c>
      <c r="P224" s="48">
        <v>0</v>
      </c>
      <c r="Q224" s="48">
        <v>1</v>
      </c>
      <c r="R224" s="48">
        <v>2</v>
      </c>
      <c r="S224" s="48">
        <v>2000</v>
      </c>
      <c r="T224" s="68"/>
    </row>
    <row r="225" spans="1:22">
      <c r="A225" s="48"/>
      <c r="B225" s="48">
        <v>4018</v>
      </c>
      <c r="C225" s="48" t="s">
        <v>484</v>
      </c>
      <c r="D225" s="48" t="s">
        <v>485</v>
      </c>
      <c r="E225" s="50" t="s">
        <v>486</v>
      </c>
      <c r="F225" s="50" t="s">
        <v>486</v>
      </c>
      <c r="G225" s="48">
        <v>4</v>
      </c>
      <c r="H225" s="48">
        <v>4</v>
      </c>
      <c r="I225" s="48"/>
      <c r="J225" s="48"/>
      <c r="K225" s="17"/>
      <c r="L225" s="17"/>
      <c r="M225" s="48">
        <v>2</v>
      </c>
      <c r="N225" s="48">
        <v>9999</v>
      </c>
      <c r="O225" s="48">
        <v>0</v>
      </c>
      <c r="P225" s="48">
        <v>0</v>
      </c>
      <c r="Q225" s="48">
        <v>1</v>
      </c>
      <c r="R225" s="48">
        <v>2</v>
      </c>
      <c r="S225" s="48">
        <v>5000</v>
      </c>
      <c r="T225" s="68"/>
    </row>
    <row r="226" spans="1:22">
      <c r="A226" s="48"/>
      <c r="B226" s="48">
        <v>4019</v>
      </c>
      <c r="C226" s="48" t="s">
        <v>487</v>
      </c>
      <c r="D226" s="48" t="s">
        <v>488</v>
      </c>
      <c r="E226" s="50" t="s">
        <v>489</v>
      </c>
      <c r="F226" s="50" t="s">
        <v>489</v>
      </c>
      <c r="G226" s="48">
        <v>4</v>
      </c>
      <c r="H226" s="48">
        <v>4</v>
      </c>
      <c r="I226" s="48"/>
      <c r="J226" s="48"/>
      <c r="K226" s="17"/>
      <c r="L226" s="17"/>
      <c r="M226" s="48">
        <v>3</v>
      </c>
      <c r="N226" s="48">
        <v>9999</v>
      </c>
      <c r="O226" s="48">
        <v>0</v>
      </c>
      <c r="P226" s="48">
        <v>0</v>
      </c>
      <c r="Q226" s="48">
        <v>1</v>
      </c>
      <c r="R226" s="48">
        <v>2</v>
      </c>
      <c r="S226" s="48">
        <v>10000</v>
      </c>
      <c r="T226" s="68"/>
    </row>
    <row r="227" spans="1:22">
      <c r="A227" s="48"/>
      <c r="B227" s="48">
        <v>4020</v>
      </c>
      <c r="C227" s="48" t="s">
        <v>490</v>
      </c>
      <c r="D227" s="48" t="s">
        <v>491</v>
      </c>
      <c r="E227" s="50" t="s">
        <v>492</v>
      </c>
      <c r="F227" s="50" t="s">
        <v>492</v>
      </c>
      <c r="G227" s="48">
        <v>4</v>
      </c>
      <c r="H227" s="48">
        <v>4</v>
      </c>
      <c r="I227" s="48"/>
      <c r="J227" s="48"/>
      <c r="K227" s="17"/>
      <c r="L227" s="17"/>
      <c r="M227" s="48">
        <v>4</v>
      </c>
      <c r="N227" s="48">
        <v>9999</v>
      </c>
      <c r="O227" s="48">
        <v>0</v>
      </c>
      <c r="P227" s="48">
        <v>0</v>
      </c>
      <c r="Q227" s="48">
        <v>1</v>
      </c>
      <c r="R227" s="48">
        <v>2</v>
      </c>
      <c r="S227" s="48">
        <v>20000</v>
      </c>
      <c r="T227" s="68"/>
    </row>
    <row r="228" spans="1:22">
      <c r="A228" s="48"/>
      <c r="B228" s="48">
        <v>4021</v>
      </c>
      <c r="C228" s="48" t="s">
        <v>493</v>
      </c>
      <c r="D228" s="48" t="s">
        <v>494</v>
      </c>
      <c r="E228" s="50" t="s">
        <v>495</v>
      </c>
      <c r="F228" s="50" t="s">
        <v>495</v>
      </c>
      <c r="G228" s="48">
        <v>4</v>
      </c>
      <c r="H228" s="48">
        <v>4</v>
      </c>
      <c r="I228" s="48"/>
      <c r="J228" s="48"/>
      <c r="K228" s="17"/>
      <c r="L228" s="17"/>
      <c r="M228" s="48">
        <v>5</v>
      </c>
      <c r="N228" s="48">
        <v>9999</v>
      </c>
      <c r="O228" s="48">
        <v>0</v>
      </c>
      <c r="P228" s="48">
        <v>0</v>
      </c>
      <c r="Q228" s="48">
        <v>1</v>
      </c>
      <c r="R228" s="48">
        <v>2</v>
      </c>
      <c r="S228" s="48">
        <v>40000</v>
      </c>
      <c r="T228" s="68"/>
      <c r="V228" s="44" t="s">
        <v>54</v>
      </c>
    </row>
    <row r="229" spans="1:22">
      <c r="A229" s="48"/>
      <c r="B229" s="48">
        <v>4022</v>
      </c>
      <c r="C229" s="48" t="s">
        <v>496</v>
      </c>
      <c r="D229" s="48" t="s">
        <v>497</v>
      </c>
      <c r="E229" s="50" t="s">
        <v>498</v>
      </c>
      <c r="F229" s="50" t="s">
        <v>498</v>
      </c>
      <c r="G229" s="48">
        <v>4</v>
      </c>
      <c r="H229" s="48">
        <v>4</v>
      </c>
      <c r="I229" s="48"/>
      <c r="J229" s="48"/>
      <c r="K229" s="17"/>
      <c r="L229" s="17"/>
      <c r="M229" s="48">
        <v>5</v>
      </c>
      <c r="N229" s="48">
        <v>9999</v>
      </c>
      <c r="O229" s="48">
        <v>0</v>
      </c>
      <c r="P229" s="48">
        <v>0</v>
      </c>
      <c r="Q229" s="48">
        <v>1</v>
      </c>
      <c r="R229" s="48">
        <v>2</v>
      </c>
      <c r="S229" s="48">
        <v>80000</v>
      </c>
      <c r="T229" s="68"/>
      <c r="V229" s="44" t="s">
        <v>54</v>
      </c>
    </row>
    <row r="230" spans="1:22">
      <c r="A230" s="48" t="s">
        <v>48</v>
      </c>
      <c r="B230" s="48">
        <v>4023</v>
      </c>
      <c r="C230" s="48" t="s">
        <v>499</v>
      </c>
      <c r="D230" s="48" t="s">
        <v>500</v>
      </c>
      <c r="E230" s="50" t="s">
        <v>501</v>
      </c>
      <c r="F230" s="50" t="s">
        <v>501</v>
      </c>
      <c r="G230" s="48">
        <v>4</v>
      </c>
      <c r="H230" s="48">
        <v>4</v>
      </c>
      <c r="I230" s="48"/>
      <c r="J230" s="48"/>
      <c r="K230" s="17"/>
      <c r="L230" s="17"/>
      <c r="M230" s="48">
        <v>5</v>
      </c>
      <c r="N230" s="48">
        <v>9999</v>
      </c>
      <c r="O230" s="48">
        <v>0</v>
      </c>
      <c r="P230" s="48">
        <v>0</v>
      </c>
      <c r="Q230" s="48">
        <v>1</v>
      </c>
      <c r="R230" s="48">
        <v>2</v>
      </c>
      <c r="S230" s="48">
        <v>320000</v>
      </c>
      <c r="T230" s="68"/>
    </row>
    <row r="231" spans="1:22">
      <c r="A231" s="87" t="s">
        <v>48</v>
      </c>
      <c r="B231" s="88" t="s">
        <v>502</v>
      </c>
      <c r="C231" s="87"/>
      <c r="D231" s="87"/>
      <c r="E231" s="89"/>
      <c r="F231" s="89"/>
      <c r="G231" s="87"/>
      <c r="H231" s="87"/>
      <c r="I231" s="95"/>
      <c r="J231" s="88"/>
      <c r="K231" s="17"/>
      <c r="L231" s="17"/>
      <c r="M231" s="87"/>
      <c r="N231" s="87"/>
      <c r="O231" s="87"/>
      <c r="P231" s="87"/>
      <c r="Q231" s="87"/>
      <c r="R231" s="87"/>
      <c r="S231" s="87"/>
      <c r="T231" s="98"/>
    </row>
    <row r="232" spans="1:22">
      <c r="A232" s="48"/>
      <c r="B232" s="48">
        <v>4024</v>
      </c>
      <c r="C232" s="48" t="s">
        <v>503</v>
      </c>
      <c r="D232" s="48" t="s">
        <v>4000</v>
      </c>
      <c r="E232" s="50" t="s">
        <v>505</v>
      </c>
      <c r="F232" s="50" t="s">
        <v>505</v>
      </c>
      <c r="G232" s="48">
        <v>4</v>
      </c>
      <c r="H232" s="48">
        <v>8</v>
      </c>
      <c r="I232" s="48"/>
      <c r="J232" s="48"/>
      <c r="K232" s="17"/>
      <c r="L232" s="17"/>
      <c r="M232" s="48">
        <v>1</v>
      </c>
      <c r="N232" s="48">
        <v>99999</v>
      </c>
      <c r="O232" s="48">
        <v>0</v>
      </c>
      <c r="P232" s="48">
        <v>0</v>
      </c>
      <c r="Q232" s="48">
        <v>0</v>
      </c>
      <c r="R232" s="48"/>
      <c r="S232" s="48"/>
      <c r="T232" s="68"/>
    </row>
    <row r="233" spans="1:22">
      <c r="A233" s="87" t="s">
        <v>48</v>
      </c>
      <c r="B233" s="88" t="s">
        <v>506</v>
      </c>
      <c r="C233" s="87"/>
      <c r="D233" s="87"/>
      <c r="E233" s="89"/>
      <c r="F233" s="89"/>
      <c r="G233" s="87"/>
      <c r="H233" s="87"/>
      <c r="I233" s="95"/>
      <c r="J233" s="88"/>
      <c r="K233" s="17"/>
      <c r="L233" s="17"/>
      <c r="M233" s="87"/>
      <c r="N233" s="87"/>
      <c r="O233" s="87"/>
      <c r="P233" s="87"/>
      <c r="Q233" s="87"/>
      <c r="R233" s="87"/>
      <c r="S233" s="87"/>
      <c r="T233" s="98"/>
    </row>
    <row r="234" spans="1:22">
      <c r="A234" s="48"/>
      <c r="B234" s="48">
        <v>4025</v>
      </c>
      <c r="C234" s="48" t="s">
        <v>25</v>
      </c>
      <c r="D234" s="48" t="s">
        <v>507</v>
      </c>
      <c r="E234" s="50" t="s">
        <v>508</v>
      </c>
      <c r="F234" s="50"/>
      <c r="G234" s="48">
        <v>1</v>
      </c>
      <c r="H234" s="48">
        <v>2</v>
      </c>
      <c r="I234" s="48"/>
      <c r="J234" s="48"/>
      <c r="K234" s="17"/>
      <c r="L234" s="17"/>
      <c r="M234" s="48">
        <v>5</v>
      </c>
      <c r="N234" s="48">
        <v>1</v>
      </c>
      <c r="O234" s="48">
        <v>0</v>
      </c>
      <c r="P234" s="48">
        <v>0</v>
      </c>
      <c r="Q234" s="48">
        <v>0</v>
      </c>
      <c r="R234" s="48"/>
      <c r="S234" s="48">
        <v>0</v>
      </c>
      <c r="T234" s="68"/>
    </row>
    <row r="235" spans="1:22">
      <c r="A235" s="48" t="s">
        <v>48</v>
      </c>
      <c r="B235" s="48" t="s">
        <v>509</v>
      </c>
      <c r="C235" s="48"/>
      <c r="D235" s="48"/>
      <c r="E235" s="90" t="s">
        <v>510</v>
      </c>
      <c r="F235" s="50"/>
      <c r="G235" s="48"/>
      <c r="H235" s="48"/>
      <c r="I235" s="48"/>
      <c r="J235" s="48"/>
      <c r="K235" s="17"/>
      <c r="L235" s="17"/>
      <c r="M235" s="48"/>
      <c r="N235" s="48"/>
      <c r="O235" s="48"/>
      <c r="P235" s="48"/>
      <c r="Q235" s="48"/>
      <c r="R235" s="48"/>
      <c r="S235" s="48"/>
      <c r="T235" s="68"/>
    </row>
    <row r="236" spans="1:22">
      <c r="A236" s="48"/>
      <c r="B236" s="91">
        <v>8001</v>
      </c>
      <c r="C236" s="92" t="s">
        <v>511</v>
      </c>
      <c r="D236" s="59" t="s">
        <v>512</v>
      </c>
      <c r="E236" s="50" t="s">
        <v>513</v>
      </c>
      <c r="F236" s="50" t="s">
        <v>513</v>
      </c>
      <c r="G236" s="48">
        <v>5</v>
      </c>
      <c r="H236" s="48">
        <v>1</v>
      </c>
      <c r="I236" s="48"/>
      <c r="J236" s="96"/>
      <c r="K236" s="96"/>
      <c r="L236" s="96"/>
      <c r="M236" s="97">
        <v>1</v>
      </c>
      <c r="N236" s="97">
        <v>1</v>
      </c>
      <c r="O236" s="97">
        <v>0</v>
      </c>
      <c r="P236" s="97">
        <v>0</v>
      </c>
      <c r="Q236" s="97">
        <v>1</v>
      </c>
      <c r="R236" s="97">
        <v>2</v>
      </c>
      <c r="S236" s="97">
        <v>100</v>
      </c>
      <c r="T236" s="99"/>
    </row>
    <row r="237" spans="1:22">
      <c r="A237" s="48"/>
      <c r="B237" s="91">
        <v>8002</v>
      </c>
      <c r="C237" s="92" t="s">
        <v>514</v>
      </c>
      <c r="D237" s="59" t="s">
        <v>515</v>
      </c>
      <c r="E237" s="50" t="s">
        <v>516</v>
      </c>
      <c r="F237" s="50" t="s">
        <v>516</v>
      </c>
      <c r="G237" s="48">
        <v>5</v>
      </c>
      <c r="H237" s="48">
        <v>2</v>
      </c>
      <c r="I237" s="48"/>
      <c r="J237" s="96"/>
      <c r="K237" s="96"/>
      <c r="L237" s="96"/>
      <c r="M237" s="97">
        <v>1</v>
      </c>
      <c r="N237" s="97">
        <v>1</v>
      </c>
      <c r="O237" s="97">
        <v>0</v>
      </c>
      <c r="P237" s="97">
        <v>0</v>
      </c>
      <c r="Q237" s="97">
        <v>1</v>
      </c>
      <c r="R237" s="97">
        <v>2</v>
      </c>
      <c r="S237" s="97">
        <v>100</v>
      </c>
      <c r="T237" s="99"/>
    </row>
    <row r="238" spans="1:22">
      <c r="A238" s="48"/>
      <c r="B238" s="91">
        <v>8003</v>
      </c>
      <c r="C238" s="92" t="s">
        <v>517</v>
      </c>
      <c r="D238" s="59" t="s">
        <v>518</v>
      </c>
      <c r="E238" s="50" t="s">
        <v>519</v>
      </c>
      <c r="F238" s="50" t="s">
        <v>519</v>
      </c>
      <c r="G238" s="48">
        <v>5</v>
      </c>
      <c r="H238" s="48">
        <v>3</v>
      </c>
      <c r="I238" s="48"/>
      <c r="J238" s="96"/>
      <c r="K238" s="96"/>
      <c r="L238" s="96"/>
      <c r="M238" s="97">
        <v>1</v>
      </c>
      <c r="N238" s="97">
        <v>1</v>
      </c>
      <c r="O238" s="97">
        <v>0</v>
      </c>
      <c r="P238" s="97">
        <v>0</v>
      </c>
      <c r="Q238" s="97">
        <v>1</v>
      </c>
      <c r="R238" s="97">
        <v>2</v>
      </c>
      <c r="S238" s="97">
        <v>100</v>
      </c>
      <c r="T238" s="99"/>
    </row>
    <row r="239" spans="1:22">
      <c r="A239" s="48"/>
      <c r="B239" s="91">
        <v>8004</v>
      </c>
      <c r="C239" s="92" t="s">
        <v>520</v>
      </c>
      <c r="D239" s="59" t="s">
        <v>521</v>
      </c>
      <c r="E239" s="50" t="s">
        <v>522</v>
      </c>
      <c r="F239" s="50" t="s">
        <v>522</v>
      </c>
      <c r="G239" s="48">
        <v>5</v>
      </c>
      <c r="H239" s="48">
        <v>4</v>
      </c>
      <c r="I239" s="48"/>
      <c r="J239" s="96"/>
      <c r="K239" s="96"/>
      <c r="L239" s="96"/>
      <c r="M239" s="97">
        <v>1</v>
      </c>
      <c r="N239" s="97">
        <v>1</v>
      </c>
      <c r="O239" s="97">
        <v>0</v>
      </c>
      <c r="P239" s="97">
        <v>0</v>
      </c>
      <c r="Q239" s="97">
        <v>1</v>
      </c>
      <c r="R239" s="97">
        <v>2</v>
      </c>
      <c r="S239" s="97">
        <v>100</v>
      </c>
      <c r="T239" s="99"/>
    </row>
    <row r="240" spans="1:22">
      <c r="A240" s="48"/>
      <c r="B240" s="91">
        <v>8005</v>
      </c>
      <c r="C240" s="92" t="s">
        <v>523</v>
      </c>
      <c r="D240" s="59" t="s">
        <v>524</v>
      </c>
      <c r="E240" s="50" t="s">
        <v>525</v>
      </c>
      <c r="F240" s="50" t="s">
        <v>525</v>
      </c>
      <c r="G240" s="48">
        <v>5</v>
      </c>
      <c r="H240" s="48">
        <v>5</v>
      </c>
      <c r="I240" s="48"/>
      <c r="J240" s="96"/>
      <c r="K240" s="96"/>
      <c r="L240" s="96"/>
      <c r="M240" s="97">
        <v>1</v>
      </c>
      <c r="N240" s="97">
        <v>1</v>
      </c>
      <c r="O240" s="97">
        <v>0</v>
      </c>
      <c r="P240" s="97">
        <v>0</v>
      </c>
      <c r="Q240" s="97">
        <v>1</v>
      </c>
      <c r="R240" s="97">
        <v>2</v>
      </c>
      <c r="S240" s="97">
        <v>100</v>
      </c>
      <c r="T240" s="99"/>
    </row>
    <row r="241" spans="1:20">
      <c r="A241" s="48"/>
      <c r="B241" s="91">
        <v>8006</v>
      </c>
      <c r="C241" s="92" t="s">
        <v>526</v>
      </c>
      <c r="D241" s="59" t="s">
        <v>527</v>
      </c>
      <c r="E241" s="93" t="s">
        <v>528</v>
      </c>
      <c r="F241" s="93" t="s">
        <v>528</v>
      </c>
      <c r="G241" s="48">
        <v>5</v>
      </c>
      <c r="H241" s="48">
        <v>1</v>
      </c>
      <c r="I241" s="48"/>
      <c r="J241" s="96"/>
      <c r="K241" s="96"/>
      <c r="L241" s="96"/>
      <c r="M241" s="97">
        <v>2</v>
      </c>
      <c r="N241" s="97">
        <v>1</v>
      </c>
      <c r="O241" s="97">
        <v>0</v>
      </c>
      <c r="P241" s="97">
        <v>0</v>
      </c>
      <c r="Q241" s="97">
        <v>1</v>
      </c>
      <c r="R241" s="97">
        <v>2</v>
      </c>
      <c r="S241" s="97">
        <v>500</v>
      </c>
      <c r="T241" s="99"/>
    </row>
    <row r="242" spans="1:20">
      <c r="A242" s="48"/>
      <c r="B242" s="91">
        <v>8007</v>
      </c>
      <c r="C242" s="92" t="s">
        <v>529</v>
      </c>
      <c r="D242" s="59" t="s">
        <v>530</v>
      </c>
      <c r="E242" s="50" t="s">
        <v>531</v>
      </c>
      <c r="F242" s="50" t="s">
        <v>531</v>
      </c>
      <c r="G242" s="48">
        <v>5</v>
      </c>
      <c r="H242" s="48">
        <v>2</v>
      </c>
      <c r="I242" s="48"/>
      <c r="J242" s="96"/>
      <c r="K242" s="96"/>
      <c r="L242" s="96"/>
      <c r="M242" s="97">
        <v>2</v>
      </c>
      <c r="N242" s="97">
        <v>1</v>
      </c>
      <c r="O242" s="97">
        <v>0</v>
      </c>
      <c r="P242" s="97">
        <v>0</v>
      </c>
      <c r="Q242" s="97">
        <v>1</v>
      </c>
      <c r="R242" s="97">
        <v>2</v>
      </c>
      <c r="S242" s="97">
        <v>500</v>
      </c>
      <c r="T242" s="99"/>
    </row>
    <row r="243" spans="1:20">
      <c r="A243" s="48"/>
      <c r="B243" s="91">
        <v>8008</v>
      </c>
      <c r="C243" s="92" t="s">
        <v>532</v>
      </c>
      <c r="D243" s="59" t="s">
        <v>533</v>
      </c>
      <c r="E243" s="50" t="s">
        <v>534</v>
      </c>
      <c r="F243" s="50" t="s">
        <v>534</v>
      </c>
      <c r="G243" s="48">
        <v>5</v>
      </c>
      <c r="H243" s="48">
        <v>3</v>
      </c>
      <c r="I243" s="48"/>
      <c r="J243" s="96"/>
      <c r="K243" s="96"/>
      <c r="L243" s="96"/>
      <c r="M243" s="97">
        <v>2</v>
      </c>
      <c r="N243" s="97">
        <v>1</v>
      </c>
      <c r="O243" s="97">
        <v>0</v>
      </c>
      <c r="P243" s="97">
        <v>0</v>
      </c>
      <c r="Q243" s="97">
        <v>1</v>
      </c>
      <c r="R243" s="97">
        <v>2</v>
      </c>
      <c r="S243" s="97">
        <v>500</v>
      </c>
      <c r="T243" s="99"/>
    </row>
    <row r="244" spans="1:20">
      <c r="A244" s="48"/>
      <c r="B244" s="91">
        <v>8009</v>
      </c>
      <c r="C244" s="92" t="s">
        <v>535</v>
      </c>
      <c r="D244" s="59" t="s">
        <v>536</v>
      </c>
      <c r="E244" s="50" t="s">
        <v>537</v>
      </c>
      <c r="F244" s="50" t="s">
        <v>537</v>
      </c>
      <c r="G244" s="48">
        <v>5</v>
      </c>
      <c r="H244" s="48">
        <v>4</v>
      </c>
      <c r="I244" s="48"/>
      <c r="J244" s="96"/>
      <c r="K244" s="96"/>
      <c r="L244" s="96"/>
      <c r="M244" s="97">
        <v>2</v>
      </c>
      <c r="N244" s="97">
        <v>1</v>
      </c>
      <c r="O244" s="97">
        <v>0</v>
      </c>
      <c r="P244" s="97">
        <v>0</v>
      </c>
      <c r="Q244" s="97">
        <v>1</v>
      </c>
      <c r="R244" s="97">
        <v>2</v>
      </c>
      <c r="S244" s="97">
        <v>500</v>
      </c>
      <c r="T244" s="99"/>
    </row>
    <row r="245" spans="1:20">
      <c r="A245" s="48"/>
      <c r="B245" s="91">
        <v>8010</v>
      </c>
      <c r="C245" s="92" t="s">
        <v>538</v>
      </c>
      <c r="D245" s="59" t="s">
        <v>539</v>
      </c>
      <c r="E245" s="50" t="s">
        <v>540</v>
      </c>
      <c r="F245" s="50" t="s">
        <v>540</v>
      </c>
      <c r="G245" s="48">
        <v>5</v>
      </c>
      <c r="H245" s="48">
        <v>5</v>
      </c>
      <c r="I245" s="48"/>
      <c r="J245" s="96"/>
      <c r="K245" s="96"/>
      <c r="L245" s="96"/>
      <c r="M245" s="97">
        <v>2</v>
      </c>
      <c r="N245" s="97">
        <v>1</v>
      </c>
      <c r="O245" s="97">
        <v>0</v>
      </c>
      <c r="P245" s="97">
        <v>0</v>
      </c>
      <c r="Q245" s="97">
        <v>1</v>
      </c>
      <c r="R245" s="97">
        <v>2</v>
      </c>
      <c r="S245" s="97">
        <v>500</v>
      </c>
      <c r="T245" s="99"/>
    </row>
    <row r="246" spans="1:20">
      <c r="A246" s="48"/>
      <c r="B246" s="91">
        <v>8011</v>
      </c>
      <c r="C246" s="92" t="s">
        <v>541</v>
      </c>
      <c r="D246" s="59" t="s">
        <v>542</v>
      </c>
      <c r="E246" s="50" t="s">
        <v>543</v>
      </c>
      <c r="F246" s="50" t="s">
        <v>543</v>
      </c>
      <c r="G246" s="48">
        <v>5</v>
      </c>
      <c r="H246" s="48">
        <v>1</v>
      </c>
      <c r="I246" s="48"/>
      <c r="J246" s="96"/>
      <c r="K246" s="96"/>
      <c r="L246" s="96"/>
      <c r="M246" s="97">
        <v>3</v>
      </c>
      <c r="N246" s="97">
        <v>1</v>
      </c>
      <c r="O246" s="97">
        <v>0</v>
      </c>
      <c r="P246" s="97">
        <v>0</v>
      </c>
      <c r="Q246" s="97">
        <v>1</v>
      </c>
      <c r="R246" s="97">
        <v>3</v>
      </c>
      <c r="S246" s="97">
        <v>24</v>
      </c>
      <c r="T246" s="99"/>
    </row>
    <row r="247" spans="1:20">
      <c r="A247" s="48"/>
      <c r="B247" s="91">
        <v>8012</v>
      </c>
      <c r="C247" s="92" t="s">
        <v>544</v>
      </c>
      <c r="D247" s="59" t="s">
        <v>545</v>
      </c>
      <c r="E247" s="93" t="s">
        <v>546</v>
      </c>
      <c r="F247" s="93" t="s">
        <v>546</v>
      </c>
      <c r="G247" s="48">
        <v>5</v>
      </c>
      <c r="H247" s="48">
        <v>2</v>
      </c>
      <c r="I247" s="48"/>
      <c r="J247" s="96"/>
      <c r="K247" s="96"/>
      <c r="L247" s="96"/>
      <c r="M247" s="97">
        <v>3</v>
      </c>
      <c r="N247" s="97">
        <v>1</v>
      </c>
      <c r="O247" s="97">
        <v>0</v>
      </c>
      <c r="P247" s="97">
        <v>0</v>
      </c>
      <c r="Q247" s="97">
        <v>1</v>
      </c>
      <c r="R247" s="97">
        <v>7</v>
      </c>
      <c r="S247" s="97">
        <v>24</v>
      </c>
      <c r="T247" s="99"/>
    </row>
    <row r="248" spans="1:20">
      <c r="A248" s="48"/>
      <c r="B248" s="91">
        <v>8013</v>
      </c>
      <c r="C248" s="92" t="s">
        <v>547</v>
      </c>
      <c r="D248" s="59" t="s">
        <v>548</v>
      </c>
      <c r="E248" s="50" t="s">
        <v>549</v>
      </c>
      <c r="F248" s="50" t="s">
        <v>549</v>
      </c>
      <c r="G248" s="48">
        <v>5</v>
      </c>
      <c r="H248" s="48">
        <v>3</v>
      </c>
      <c r="I248" s="48"/>
      <c r="J248" s="96"/>
      <c r="K248" s="96"/>
      <c r="L248" s="96"/>
      <c r="M248" s="97">
        <v>3</v>
      </c>
      <c r="N248" s="97">
        <v>1</v>
      </c>
      <c r="O248" s="97">
        <v>0</v>
      </c>
      <c r="P248" s="97">
        <v>0</v>
      </c>
      <c r="Q248" s="97">
        <v>1</v>
      </c>
      <c r="R248" s="97">
        <v>3</v>
      </c>
      <c r="S248" s="97">
        <v>24</v>
      </c>
      <c r="T248" s="99"/>
    </row>
    <row r="249" spans="1:20">
      <c r="A249" s="48"/>
      <c r="B249" s="91">
        <v>8014</v>
      </c>
      <c r="C249" s="92" t="s">
        <v>550</v>
      </c>
      <c r="D249" s="59" t="s">
        <v>551</v>
      </c>
      <c r="E249" s="50" t="s">
        <v>552</v>
      </c>
      <c r="F249" s="50" t="s">
        <v>552</v>
      </c>
      <c r="G249" s="48">
        <v>5</v>
      </c>
      <c r="H249" s="48">
        <v>4</v>
      </c>
      <c r="I249" s="48"/>
      <c r="J249" s="96"/>
      <c r="K249" s="96"/>
      <c r="L249" s="96"/>
      <c r="M249" s="97">
        <v>3</v>
      </c>
      <c r="N249" s="97">
        <v>1</v>
      </c>
      <c r="O249" s="97">
        <v>0</v>
      </c>
      <c r="P249" s="97">
        <v>0</v>
      </c>
      <c r="Q249" s="97">
        <v>1</v>
      </c>
      <c r="R249" s="97">
        <v>7</v>
      </c>
      <c r="S249" s="97">
        <v>24</v>
      </c>
      <c r="T249" s="99"/>
    </row>
    <row r="250" spans="1:20">
      <c r="A250" s="48"/>
      <c r="B250" s="91">
        <v>8015</v>
      </c>
      <c r="C250" s="92" t="s">
        <v>553</v>
      </c>
      <c r="D250" s="59" t="s">
        <v>554</v>
      </c>
      <c r="E250" s="50" t="s">
        <v>555</v>
      </c>
      <c r="F250" s="50" t="s">
        <v>555</v>
      </c>
      <c r="G250" s="48">
        <v>5</v>
      </c>
      <c r="H250" s="48">
        <v>5</v>
      </c>
      <c r="I250" s="48"/>
      <c r="J250" s="96"/>
      <c r="K250" s="96"/>
      <c r="L250" s="96"/>
      <c r="M250" s="97">
        <v>3</v>
      </c>
      <c r="N250" s="97">
        <v>1</v>
      </c>
      <c r="O250" s="97">
        <v>0</v>
      </c>
      <c r="P250" s="97">
        <v>0</v>
      </c>
      <c r="Q250" s="97">
        <v>1</v>
      </c>
      <c r="R250" s="97">
        <v>3</v>
      </c>
      <c r="S250" s="97">
        <v>24</v>
      </c>
      <c r="T250" s="99"/>
    </row>
    <row r="251" spans="1:20">
      <c r="A251" s="48"/>
      <c r="B251" s="91">
        <v>8016</v>
      </c>
      <c r="C251" s="92" t="s">
        <v>556</v>
      </c>
      <c r="D251" s="59" t="s">
        <v>557</v>
      </c>
      <c r="E251" s="50" t="s">
        <v>558</v>
      </c>
      <c r="F251" s="50" t="s">
        <v>558</v>
      </c>
      <c r="G251" s="48">
        <v>5</v>
      </c>
      <c r="H251" s="48">
        <v>1</v>
      </c>
      <c r="I251" s="48"/>
      <c r="J251" s="96"/>
      <c r="K251" s="96"/>
      <c r="L251" s="96"/>
      <c r="M251" s="97">
        <v>4</v>
      </c>
      <c r="N251" s="97">
        <v>1</v>
      </c>
      <c r="O251" s="97">
        <v>0</v>
      </c>
      <c r="P251" s="97">
        <v>0</v>
      </c>
      <c r="Q251" s="97">
        <v>1</v>
      </c>
      <c r="R251" s="97">
        <v>8</v>
      </c>
      <c r="S251" s="97">
        <v>32</v>
      </c>
      <c r="T251" s="99"/>
    </row>
    <row r="252" spans="1:20">
      <c r="A252" s="48"/>
      <c r="B252" s="91">
        <v>8017</v>
      </c>
      <c r="C252" s="92" t="s">
        <v>559</v>
      </c>
      <c r="D252" s="59" t="s">
        <v>560</v>
      </c>
      <c r="E252" s="50" t="s">
        <v>561</v>
      </c>
      <c r="F252" s="50" t="s">
        <v>561</v>
      </c>
      <c r="G252" s="48">
        <v>5</v>
      </c>
      <c r="H252" s="48">
        <v>2</v>
      </c>
      <c r="I252" s="48"/>
      <c r="J252" s="96"/>
      <c r="K252" s="96"/>
      <c r="L252" s="96"/>
      <c r="M252" s="97">
        <v>4</v>
      </c>
      <c r="N252" s="97">
        <v>1</v>
      </c>
      <c r="O252" s="97">
        <v>0</v>
      </c>
      <c r="P252" s="97">
        <v>0</v>
      </c>
      <c r="Q252" s="97">
        <v>1</v>
      </c>
      <c r="R252" s="97">
        <v>9</v>
      </c>
      <c r="S252" s="97">
        <v>32</v>
      </c>
      <c r="T252" s="99"/>
    </row>
    <row r="253" spans="1:20">
      <c r="A253" s="48"/>
      <c r="B253" s="91">
        <v>8018</v>
      </c>
      <c r="C253" s="92" t="s">
        <v>562</v>
      </c>
      <c r="D253" s="59" t="s">
        <v>563</v>
      </c>
      <c r="E253" s="50" t="s">
        <v>564</v>
      </c>
      <c r="F253" s="50" t="s">
        <v>564</v>
      </c>
      <c r="G253" s="48">
        <v>5</v>
      </c>
      <c r="H253" s="48">
        <v>3</v>
      </c>
      <c r="I253" s="48"/>
      <c r="J253" s="96"/>
      <c r="K253" s="96"/>
      <c r="L253" s="96"/>
      <c r="M253" s="97">
        <v>4</v>
      </c>
      <c r="N253" s="97">
        <v>1</v>
      </c>
      <c r="O253" s="97">
        <v>0</v>
      </c>
      <c r="P253" s="97">
        <v>0</v>
      </c>
      <c r="Q253" s="97">
        <v>1</v>
      </c>
      <c r="R253" s="97">
        <v>8</v>
      </c>
      <c r="S253" s="97">
        <v>32</v>
      </c>
      <c r="T253" s="99"/>
    </row>
    <row r="254" spans="1:20">
      <c r="A254" s="48"/>
      <c r="B254" s="91">
        <v>8019</v>
      </c>
      <c r="C254" s="92" t="s">
        <v>565</v>
      </c>
      <c r="D254" s="59" t="s">
        <v>566</v>
      </c>
      <c r="E254" s="50" t="s">
        <v>567</v>
      </c>
      <c r="F254" s="50" t="s">
        <v>567</v>
      </c>
      <c r="G254" s="48">
        <v>5</v>
      </c>
      <c r="H254" s="48">
        <v>4</v>
      </c>
      <c r="I254" s="48"/>
      <c r="J254" s="96"/>
      <c r="K254" s="96"/>
      <c r="L254" s="96"/>
      <c r="M254" s="97">
        <v>4</v>
      </c>
      <c r="N254" s="97">
        <v>1</v>
      </c>
      <c r="O254" s="97">
        <v>0</v>
      </c>
      <c r="P254" s="97">
        <v>0</v>
      </c>
      <c r="Q254" s="97">
        <v>1</v>
      </c>
      <c r="R254" s="97">
        <v>9</v>
      </c>
      <c r="S254" s="97">
        <v>32</v>
      </c>
      <c r="T254" s="99"/>
    </row>
    <row r="255" spans="1:20">
      <c r="A255" s="48"/>
      <c r="B255" s="91">
        <v>8020</v>
      </c>
      <c r="C255" s="92" t="s">
        <v>568</v>
      </c>
      <c r="D255" s="59" t="s">
        <v>569</v>
      </c>
      <c r="E255" s="50" t="s">
        <v>570</v>
      </c>
      <c r="F255" s="50" t="s">
        <v>570</v>
      </c>
      <c r="G255" s="48">
        <v>5</v>
      </c>
      <c r="H255" s="48">
        <v>5</v>
      </c>
      <c r="I255" s="48"/>
      <c r="J255" s="96"/>
      <c r="K255" s="96"/>
      <c r="L255" s="96"/>
      <c r="M255" s="97">
        <v>4</v>
      </c>
      <c r="N255" s="97">
        <v>1</v>
      </c>
      <c r="O255" s="97">
        <v>0</v>
      </c>
      <c r="P255" s="97">
        <v>0</v>
      </c>
      <c r="Q255" s="97">
        <v>1</v>
      </c>
      <c r="R255" s="97">
        <v>8</v>
      </c>
      <c r="S255" s="97">
        <v>32</v>
      </c>
      <c r="T255" s="99"/>
    </row>
    <row r="256" spans="1:20">
      <c r="A256" s="48"/>
      <c r="B256" s="91">
        <v>8021</v>
      </c>
      <c r="C256" s="92" t="s">
        <v>571</v>
      </c>
      <c r="D256" s="59" t="s">
        <v>572</v>
      </c>
      <c r="E256" s="50" t="s">
        <v>573</v>
      </c>
      <c r="F256" s="50" t="s">
        <v>573</v>
      </c>
      <c r="G256" s="48">
        <v>5</v>
      </c>
      <c r="H256" s="48">
        <v>1</v>
      </c>
      <c r="I256" s="48"/>
      <c r="J256" s="96">
        <v>1001</v>
      </c>
      <c r="K256" s="96" t="s">
        <v>574</v>
      </c>
      <c r="L256" s="96" t="s">
        <v>575</v>
      </c>
      <c r="M256" s="97">
        <v>3</v>
      </c>
      <c r="N256" s="97">
        <v>1</v>
      </c>
      <c r="O256" s="97">
        <v>0</v>
      </c>
      <c r="P256" s="97">
        <v>0</v>
      </c>
      <c r="Q256" s="97">
        <v>1</v>
      </c>
      <c r="R256" s="97">
        <v>3</v>
      </c>
      <c r="S256" s="97">
        <v>234</v>
      </c>
      <c r="T256" s="99"/>
    </row>
    <row r="257" spans="1:22">
      <c r="A257" s="48"/>
      <c r="B257" s="91">
        <v>8022</v>
      </c>
      <c r="C257" s="92" t="s">
        <v>571</v>
      </c>
      <c r="D257" s="59" t="s">
        <v>576</v>
      </c>
      <c r="E257" s="50" t="s">
        <v>573</v>
      </c>
      <c r="F257" s="50" t="s">
        <v>573</v>
      </c>
      <c r="G257" s="48">
        <v>5</v>
      </c>
      <c r="H257" s="48">
        <v>2</v>
      </c>
      <c r="I257" s="48"/>
      <c r="J257" s="96">
        <v>1001</v>
      </c>
      <c r="K257" s="96" t="s">
        <v>574</v>
      </c>
      <c r="L257" s="96" t="s">
        <v>575</v>
      </c>
      <c r="M257" s="97">
        <v>3</v>
      </c>
      <c r="N257" s="97">
        <v>1</v>
      </c>
      <c r="O257" s="97">
        <v>0</v>
      </c>
      <c r="P257" s="97">
        <v>0</v>
      </c>
      <c r="Q257" s="97">
        <v>1</v>
      </c>
      <c r="R257" s="97">
        <v>7</v>
      </c>
      <c r="S257" s="97">
        <v>234</v>
      </c>
      <c r="T257" s="99"/>
    </row>
    <row r="258" spans="1:22">
      <c r="A258" s="48"/>
      <c r="B258" s="91">
        <v>8023</v>
      </c>
      <c r="C258" s="92" t="s">
        <v>571</v>
      </c>
      <c r="D258" s="59" t="s">
        <v>577</v>
      </c>
      <c r="E258" s="50" t="s">
        <v>573</v>
      </c>
      <c r="F258" s="50" t="s">
        <v>573</v>
      </c>
      <c r="G258" s="48">
        <v>5</v>
      </c>
      <c r="H258" s="48">
        <v>3</v>
      </c>
      <c r="I258" s="48"/>
      <c r="J258" s="96">
        <v>1001</v>
      </c>
      <c r="K258" s="96" t="s">
        <v>574</v>
      </c>
      <c r="L258" s="96" t="s">
        <v>575</v>
      </c>
      <c r="M258" s="97">
        <v>3</v>
      </c>
      <c r="N258" s="97">
        <v>1</v>
      </c>
      <c r="O258" s="97">
        <v>0</v>
      </c>
      <c r="P258" s="97">
        <v>0</v>
      </c>
      <c r="Q258" s="97">
        <v>1</v>
      </c>
      <c r="R258" s="97">
        <v>3</v>
      </c>
      <c r="S258" s="97">
        <v>234</v>
      </c>
      <c r="T258" s="99"/>
    </row>
    <row r="259" spans="1:22">
      <c r="A259" s="48"/>
      <c r="B259" s="91">
        <v>8024</v>
      </c>
      <c r="C259" s="92" t="s">
        <v>571</v>
      </c>
      <c r="D259" s="59" t="s">
        <v>578</v>
      </c>
      <c r="E259" s="50" t="s">
        <v>573</v>
      </c>
      <c r="F259" s="50" t="s">
        <v>573</v>
      </c>
      <c r="G259" s="48">
        <v>5</v>
      </c>
      <c r="H259" s="48">
        <v>4</v>
      </c>
      <c r="I259" s="48"/>
      <c r="J259" s="96">
        <v>1001</v>
      </c>
      <c r="K259" s="96" t="s">
        <v>574</v>
      </c>
      <c r="L259" s="96" t="s">
        <v>575</v>
      </c>
      <c r="M259" s="97">
        <v>3</v>
      </c>
      <c r="N259" s="97">
        <v>1</v>
      </c>
      <c r="O259" s="97">
        <v>0</v>
      </c>
      <c r="P259" s="97">
        <v>0</v>
      </c>
      <c r="Q259" s="97">
        <v>1</v>
      </c>
      <c r="R259" s="97">
        <v>7</v>
      </c>
      <c r="S259" s="97">
        <v>234</v>
      </c>
      <c r="T259" s="99"/>
    </row>
    <row r="260" spans="1:22">
      <c r="A260" s="48"/>
      <c r="B260" s="91">
        <v>8025</v>
      </c>
      <c r="C260" s="92" t="s">
        <v>571</v>
      </c>
      <c r="D260" s="59" t="s">
        <v>579</v>
      </c>
      <c r="E260" s="50" t="s">
        <v>573</v>
      </c>
      <c r="F260" s="50" t="s">
        <v>573</v>
      </c>
      <c r="G260" s="48">
        <v>5</v>
      </c>
      <c r="H260" s="48">
        <v>5</v>
      </c>
      <c r="I260" s="48"/>
      <c r="J260" s="96">
        <v>1001</v>
      </c>
      <c r="K260" s="96" t="s">
        <v>574</v>
      </c>
      <c r="L260" s="96" t="s">
        <v>575</v>
      </c>
      <c r="M260" s="97">
        <v>3</v>
      </c>
      <c r="N260" s="97">
        <v>1</v>
      </c>
      <c r="O260" s="97">
        <v>0</v>
      </c>
      <c r="P260" s="97">
        <v>0</v>
      </c>
      <c r="Q260" s="97">
        <v>1</v>
      </c>
      <c r="R260" s="97">
        <v>3</v>
      </c>
      <c r="S260" s="97">
        <v>234</v>
      </c>
      <c r="T260" s="99"/>
    </row>
    <row r="261" spans="1:22">
      <c r="A261" s="48"/>
      <c r="B261" s="91">
        <v>8026</v>
      </c>
      <c r="C261" s="92" t="s">
        <v>580</v>
      </c>
      <c r="D261" s="59" t="s">
        <v>581</v>
      </c>
      <c r="E261" s="50" t="s">
        <v>582</v>
      </c>
      <c r="F261" s="50" t="s">
        <v>582</v>
      </c>
      <c r="G261" s="48">
        <v>5</v>
      </c>
      <c r="H261" s="48">
        <v>1</v>
      </c>
      <c r="I261" s="48"/>
      <c r="J261" s="96">
        <v>1002</v>
      </c>
      <c r="K261" s="96" t="s">
        <v>583</v>
      </c>
      <c r="L261" s="96" t="s">
        <v>584</v>
      </c>
      <c r="M261" s="97">
        <v>4</v>
      </c>
      <c r="N261" s="97">
        <v>1</v>
      </c>
      <c r="O261" s="97">
        <v>0</v>
      </c>
      <c r="P261" s="97">
        <v>0</v>
      </c>
      <c r="Q261" s="97">
        <v>1</v>
      </c>
      <c r="R261" s="97">
        <v>8</v>
      </c>
      <c r="S261" s="97">
        <v>1080</v>
      </c>
      <c r="T261" s="99"/>
      <c r="V261" s="44" t="s">
        <v>54</v>
      </c>
    </row>
    <row r="262" spans="1:22">
      <c r="A262" s="48"/>
      <c r="B262" s="91">
        <v>8027</v>
      </c>
      <c r="C262" s="92" t="s">
        <v>580</v>
      </c>
      <c r="D262" s="59" t="s">
        <v>585</v>
      </c>
      <c r="E262" s="50" t="s">
        <v>582</v>
      </c>
      <c r="F262" s="50" t="s">
        <v>582</v>
      </c>
      <c r="G262" s="48">
        <v>5</v>
      </c>
      <c r="H262" s="48">
        <v>2</v>
      </c>
      <c r="I262" s="48"/>
      <c r="J262" s="96">
        <v>1002</v>
      </c>
      <c r="K262" s="96" t="s">
        <v>583</v>
      </c>
      <c r="L262" s="96" t="s">
        <v>584</v>
      </c>
      <c r="M262" s="97">
        <v>4</v>
      </c>
      <c r="N262" s="97">
        <v>1</v>
      </c>
      <c r="O262" s="97">
        <v>0</v>
      </c>
      <c r="P262" s="97">
        <v>0</v>
      </c>
      <c r="Q262" s="97">
        <v>1</v>
      </c>
      <c r="R262" s="97">
        <v>9</v>
      </c>
      <c r="S262" s="97">
        <v>1080</v>
      </c>
      <c r="T262" s="99"/>
      <c r="V262" s="44" t="s">
        <v>54</v>
      </c>
    </row>
    <row r="263" spans="1:22">
      <c r="A263" s="48"/>
      <c r="B263" s="91">
        <v>8028</v>
      </c>
      <c r="C263" s="92" t="s">
        <v>580</v>
      </c>
      <c r="D263" s="59" t="s">
        <v>586</v>
      </c>
      <c r="E263" s="50" t="s">
        <v>582</v>
      </c>
      <c r="F263" s="50" t="s">
        <v>582</v>
      </c>
      <c r="G263" s="48">
        <v>5</v>
      </c>
      <c r="H263" s="48">
        <v>3</v>
      </c>
      <c r="I263" s="48"/>
      <c r="J263" s="96">
        <v>1002</v>
      </c>
      <c r="K263" s="96" t="s">
        <v>583</v>
      </c>
      <c r="L263" s="96" t="s">
        <v>584</v>
      </c>
      <c r="M263" s="97">
        <v>4</v>
      </c>
      <c r="N263" s="97">
        <v>1</v>
      </c>
      <c r="O263" s="97">
        <v>0</v>
      </c>
      <c r="P263" s="97">
        <v>0</v>
      </c>
      <c r="Q263" s="97">
        <v>1</v>
      </c>
      <c r="R263" s="97">
        <v>8</v>
      </c>
      <c r="S263" s="97">
        <v>1080</v>
      </c>
      <c r="T263" s="99"/>
      <c r="V263" s="44" t="s">
        <v>54</v>
      </c>
    </row>
    <row r="264" spans="1:22">
      <c r="A264" s="48"/>
      <c r="B264" s="91">
        <v>8029</v>
      </c>
      <c r="C264" s="92" t="s">
        <v>580</v>
      </c>
      <c r="D264" s="59" t="s">
        <v>587</v>
      </c>
      <c r="E264" s="50" t="s">
        <v>582</v>
      </c>
      <c r="F264" s="50" t="s">
        <v>582</v>
      </c>
      <c r="G264" s="48">
        <v>5</v>
      </c>
      <c r="H264" s="48">
        <v>4</v>
      </c>
      <c r="I264" s="48"/>
      <c r="J264" s="96">
        <v>1002</v>
      </c>
      <c r="K264" s="96" t="s">
        <v>583</v>
      </c>
      <c r="L264" s="96" t="s">
        <v>584</v>
      </c>
      <c r="M264" s="97">
        <v>4</v>
      </c>
      <c r="N264" s="97">
        <v>1</v>
      </c>
      <c r="O264" s="97">
        <v>0</v>
      </c>
      <c r="P264" s="97">
        <v>0</v>
      </c>
      <c r="Q264" s="97">
        <v>1</v>
      </c>
      <c r="R264" s="97">
        <v>9</v>
      </c>
      <c r="S264" s="97">
        <v>1080</v>
      </c>
      <c r="T264" s="99"/>
      <c r="V264" s="44" t="s">
        <v>54</v>
      </c>
    </row>
    <row r="265" spans="1:22">
      <c r="A265" s="48"/>
      <c r="B265" s="91">
        <v>8030</v>
      </c>
      <c r="C265" s="92" t="s">
        <v>580</v>
      </c>
      <c r="D265" s="59" t="s">
        <v>588</v>
      </c>
      <c r="E265" s="50" t="s">
        <v>582</v>
      </c>
      <c r="F265" s="50" t="s">
        <v>582</v>
      </c>
      <c r="G265" s="48">
        <v>5</v>
      </c>
      <c r="H265" s="48">
        <v>5</v>
      </c>
      <c r="I265" s="48"/>
      <c r="J265" s="96">
        <v>1002</v>
      </c>
      <c r="K265" s="96" t="s">
        <v>583</v>
      </c>
      <c r="L265" s="96" t="s">
        <v>584</v>
      </c>
      <c r="M265" s="97">
        <v>4</v>
      </c>
      <c r="N265" s="97">
        <v>1</v>
      </c>
      <c r="O265" s="97">
        <v>0</v>
      </c>
      <c r="P265" s="97">
        <v>0</v>
      </c>
      <c r="Q265" s="97">
        <v>1</v>
      </c>
      <c r="R265" s="97">
        <v>8</v>
      </c>
      <c r="S265" s="97">
        <v>1080</v>
      </c>
      <c r="T265" s="99"/>
      <c r="V265" s="44" t="s">
        <v>54</v>
      </c>
    </row>
    <row r="266" spans="1:22">
      <c r="A266" s="48" t="s">
        <v>48</v>
      </c>
      <c r="B266" s="91" t="s">
        <v>589</v>
      </c>
      <c r="C266" s="92"/>
      <c r="D266" s="59"/>
      <c r="E266" s="50"/>
      <c r="F266" s="50"/>
      <c r="G266" s="48"/>
      <c r="H266" s="48"/>
      <c r="I266" s="48"/>
      <c r="J266" s="91"/>
      <c r="K266" s="96"/>
      <c r="L266" s="96"/>
      <c r="M266" s="48"/>
      <c r="N266" s="48"/>
      <c r="O266" s="48"/>
      <c r="P266" s="48"/>
      <c r="Q266" s="48"/>
      <c r="R266" s="48"/>
      <c r="S266" s="48"/>
      <c r="T266" s="68"/>
    </row>
    <row r="267" spans="1:22">
      <c r="A267" s="48"/>
      <c r="B267" s="91">
        <v>7006</v>
      </c>
      <c r="C267" s="94" t="s">
        <v>590</v>
      </c>
      <c r="D267" s="59" t="s">
        <v>527</v>
      </c>
      <c r="E267" s="50" t="s">
        <v>591</v>
      </c>
      <c r="F267" s="50" t="s">
        <v>591</v>
      </c>
      <c r="G267" s="48">
        <v>5</v>
      </c>
      <c r="H267" s="48">
        <v>6</v>
      </c>
      <c r="I267" s="48"/>
      <c r="J267" s="91"/>
      <c r="K267" s="96"/>
      <c r="L267" s="96"/>
      <c r="M267" s="48">
        <v>2</v>
      </c>
      <c r="N267" s="48">
        <v>9999</v>
      </c>
      <c r="O267" s="48">
        <v>0</v>
      </c>
      <c r="P267" s="48">
        <v>0</v>
      </c>
      <c r="Q267" s="48">
        <v>1</v>
      </c>
      <c r="R267" s="48">
        <v>2</v>
      </c>
      <c r="S267" s="100">
        <f t="shared" ref="S267:S271" si="0">500/4</f>
        <v>125</v>
      </c>
      <c r="T267" s="101"/>
    </row>
    <row r="268" spans="1:22">
      <c r="A268" s="48"/>
      <c r="B268" s="91">
        <v>7007</v>
      </c>
      <c r="C268" s="92" t="s">
        <v>592</v>
      </c>
      <c r="D268" s="59" t="s">
        <v>530</v>
      </c>
      <c r="E268" s="50" t="s">
        <v>593</v>
      </c>
      <c r="F268" s="50" t="s">
        <v>593</v>
      </c>
      <c r="G268" s="48">
        <v>5</v>
      </c>
      <c r="H268" s="48">
        <v>6</v>
      </c>
      <c r="I268" s="48"/>
      <c r="J268" s="91"/>
      <c r="K268" s="96"/>
      <c r="L268" s="96"/>
      <c r="M268" s="48">
        <v>2</v>
      </c>
      <c r="N268" s="48">
        <v>9999</v>
      </c>
      <c r="O268" s="48">
        <v>0</v>
      </c>
      <c r="P268" s="48">
        <v>0</v>
      </c>
      <c r="Q268" s="48">
        <v>1</v>
      </c>
      <c r="R268" s="48">
        <v>2</v>
      </c>
      <c r="S268" s="100">
        <f t="shared" si="0"/>
        <v>125</v>
      </c>
      <c r="T268" s="101"/>
    </row>
    <row r="269" spans="1:22">
      <c r="A269" s="48"/>
      <c r="B269" s="91">
        <v>7008</v>
      </c>
      <c r="C269" s="92" t="s">
        <v>594</v>
      </c>
      <c r="D269" s="59" t="s">
        <v>533</v>
      </c>
      <c r="E269" s="50" t="s">
        <v>595</v>
      </c>
      <c r="F269" s="50" t="s">
        <v>595</v>
      </c>
      <c r="G269" s="48">
        <v>5</v>
      </c>
      <c r="H269" s="48">
        <v>6</v>
      </c>
      <c r="I269" s="48"/>
      <c r="J269" s="91"/>
      <c r="K269" s="96"/>
      <c r="L269" s="96"/>
      <c r="M269" s="48">
        <v>2</v>
      </c>
      <c r="N269" s="48">
        <v>9999</v>
      </c>
      <c r="O269" s="48">
        <v>0</v>
      </c>
      <c r="P269" s="48">
        <v>0</v>
      </c>
      <c r="Q269" s="48">
        <v>1</v>
      </c>
      <c r="R269" s="48">
        <v>2</v>
      </c>
      <c r="S269" s="100">
        <f t="shared" si="0"/>
        <v>125</v>
      </c>
      <c r="T269" s="101"/>
    </row>
    <row r="270" spans="1:22">
      <c r="A270" s="48"/>
      <c r="B270" s="91">
        <v>7009</v>
      </c>
      <c r="C270" s="92" t="s">
        <v>596</v>
      </c>
      <c r="D270" s="59" t="s">
        <v>536</v>
      </c>
      <c r="E270" s="50" t="s">
        <v>597</v>
      </c>
      <c r="F270" s="50" t="s">
        <v>597</v>
      </c>
      <c r="G270" s="48">
        <v>5</v>
      </c>
      <c r="H270" s="48">
        <v>6</v>
      </c>
      <c r="I270" s="48"/>
      <c r="J270" s="91"/>
      <c r="K270" s="96"/>
      <c r="L270" s="96"/>
      <c r="M270" s="48">
        <v>2</v>
      </c>
      <c r="N270" s="48">
        <v>9999</v>
      </c>
      <c r="O270" s="48">
        <v>0</v>
      </c>
      <c r="P270" s="48">
        <v>0</v>
      </c>
      <c r="Q270" s="48">
        <v>1</v>
      </c>
      <c r="R270" s="48">
        <v>2</v>
      </c>
      <c r="S270" s="100">
        <f t="shared" si="0"/>
        <v>125</v>
      </c>
      <c r="T270" s="101"/>
    </row>
    <row r="271" spans="1:22">
      <c r="A271" s="48"/>
      <c r="B271" s="91">
        <v>7010</v>
      </c>
      <c r="C271" s="92" t="s">
        <v>598</v>
      </c>
      <c r="D271" s="59" t="s">
        <v>539</v>
      </c>
      <c r="E271" s="50" t="s">
        <v>599</v>
      </c>
      <c r="F271" s="50" t="s">
        <v>599</v>
      </c>
      <c r="G271" s="48">
        <v>5</v>
      </c>
      <c r="H271" s="48">
        <v>6</v>
      </c>
      <c r="I271" s="48"/>
      <c r="J271" s="91"/>
      <c r="K271" s="96"/>
      <c r="L271" s="96"/>
      <c r="M271" s="48">
        <v>2</v>
      </c>
      <c r="N271" s="48">
        <v>9999</v>
      </c>
      <c r="O271" s="48">
        <v>0</v>
      </c>
      <c r="P271" s="48">
        <v>0</v>
      </c>
      <c r="Q271" s="48">
        <v>1</v>
      </c>
      <c r="R271" s="48">
        <v>2</v>
      </c>
      <c r="S271" s="100">
        <f t="shared" si="0"/>
        <v>125</v>
      </c>
      <c r="T271" s="101"/>
    </row>
    <row r="272" spans="1:22">
      <c r="A272" s="48"/>
      <c r="B272" s="91">
        <v>7011</v>
      </c>
      <c r="C272" s="94" t="s">
        <v>600</v>
      </c>
      <c r="D272" s="59" t="s">
        <v>542</v>
      </c>
      <c r="E272" s="50" t="s">
        <v>601</v>
      </c>
      <c r="F272" s="50" t="s">
        <v>601</v>
      </c>
      <c r="G272" s="48">
        <v>5</v>
      </c>
      <c r="H272" s="48">
        <v>6</v>
      </c>
      <c r="I272" s="48"/>
      <c r="J272" s="91"/>
      <c r="K272" s="96"/>
      <c r="L272" s="96"/>
      <c r="M272" s="48">
        <v>3</v>
      </c>
      <c r="N272" s="48">
        <v>9999</v>
      </c>
      <c r="O272" s="48">
        <v>0</v>
      </c>
      <c r="P272" s="48">
        <v>0</v>
      </c>
      <c r="Q272" s="48">
        <v>1</v>
      </c>
      <c r="R272" s="48">
        <v>2</v>
      </c>
      <c r="S272" s="109">
        <f t="shared" ref="S272:S276" si="1">INT(5000/16)</f>
        <v>312</v>
      </c>
      <c r="T272" s="110"/>
    </row>
    <row r="273" spans="1:22">
      <c r="A273" s="48"/>
      <c r="B273" s="91">
        <v>7012</v>
      </c>
      <c r="C273" s="92" t="s">
        <v>602</v>
      </c>
      <c r="D273" s="59" t="s">
        <v>545</v>
      </c>
      <c r="E273" s="50" t="s">
        <v>603</v>
      </c>
      <c r="F273" s="50" t="s">
        <v>603</v>
      </c>
      <c r="G273" s="48">
        <v>5</v>
      </c>
      <c r="H273" s="48">
        <v>6</v>
      </c>
      <c r="I273" s="48"/>
      <c r="J273" s="91"/>
      <c r="K273" s="96"/>
      <c r="L273" s="96"/>
      <c r="M273" s="48">
        <v>3</v>
      </c>
      <c r="N273" s="48">
        <v>9999</v>
      </c>
      <c r="O273" s="48">
        <v>0</v>
      </c>
      <c r="P273" s="48">
        <v>0</v>
      </c>
      <c r="Q273" s="48">
        <v>1</v>
      </c>
      <c r="R273" s="48">
        <v>2</v>
      </c>
      <c r="S273" s="109">
        <f t="shared" si="1"/>
        <v>312</v>
      </c>
      <c r="T273" s="110"/>
    </row>
    <row r="274" spans="1:22">
      <c r="A274" s="48"/>
      <c r="B274" s="91">
        <v>7013</v>
      </c>
      <c r="C274" s="92" t="s">
        <v>604</v>
      </c>
      <c r="D274" s="59" t="s">
        <v>548</v>
      </c>
      <c r="E274" s="50" t="s">
        <v>605</v>
      </c>
      <c r="F274" s="50" t="s">
        <v>605</v>
      </c>
      <c r="G274" s="48">
        <v>5</v>
      </c>
      <c r="H274" s="48">
        <v>6</v>
      </c>
      <c r="I274" s="48"/>
      <c r="J274" s="91"/>
      <c r="K274" s="96"/>
      <c r="L274" s="96"/>
      <c r="M274" s="48">
        <v>3</v>
      </c>
      <c r="N274" s="48">
        <v>9999</v>
      </c>
      <c r="O274" s="48">
        <v>0</v>
      </c>
      <c r="P274" s="48">
        <v>0</v>
      </c>
      <c r="Q274" s="48">
        <v>1</v>
      </c>
      <c r="R274" s="48">
        <v>2</v>
      </c>
      <c r="S274" s="109">
        <f t="shared" si="1"/>
        <v>312</v>
      </c>
      <c r="T274" s="110"/>
    </row>
    <row r="275" spans="1:22">
      <c r="A275" s="48"/>
      <c r="B275" s="91">
        <v>7014</v>
      </c>
      <c r="C275" s="102" t="s">
        <v>606</v>
      </c>
      <c r="D275" s="59" t="s">
        <v>551</v>
      </c>
      <c r="E275" s="50" t="s">
        <v>607</v>
      </c>
      <c r="F275" s="50" t="s">
        <v>607</v>
      </c>
      <c r="G275" s="48">
        <v>5</v>
      </c>
      <c r="H275" s="48">
        <v>6</v>
      </c>
      <c r="I275" s="48"/>
      <c r="J275" s="91"/>
      <c r="K275" s="96"/>
      <c r="L275" s="96"/>
      <c r="M275" s="48">
        <v>3</v>
      </c>
      <c r="N275" s="48">
        <v>9999</v>
      </c>
      <c r="O275" s="48">
        <v>0</v>
      </c>
      <c r="P275" s="48">
        <v>0</v>
      </c>
      <c r="Q275" s="48">
        <v>1</v>
      </c>
      <c r="R275" s="48">
        <v>2</v>
      </c>
      <c r="S275" s="109">
        <f t="shared" si="1"/>
        <v>312</v>
      </c>
      <c r="T275" s="110"/>
    </row>
    <row r="276" spans="1:22">
      <c r="A276" s="48"/>
      <c r="B276" s="91">
        <v>7015</v>
      </c>
      <c r="C276" s="92" t="s">
        <v>608</v>
      </c>
      <c r="D276" s="59" t="s">
        <v>554</v>
      </c>
      <c r="E276" s="50" t="s">
        <v>609</v>
      </c>
      <c r="F276" s="50" t="s">
        <v>609</v>
      </c>
      <c r="G276" s="48">
        <v>5</v>
      </c>
      <c r="H276" s="48">
        <v>6</v>
      </c>
      <c r="I276" s="48"/>
      <c r="J276" s="91"/>
      <c r="K276" s="96"/>
      <c r="L276" s="96"/>
      <c r="M276" s="48">
        <v>3</v>
      </c>
      <c r="N276" s="48">
        <v>9999</v>
      </c>
      <c r="O276" s="48">
        <v>0</v>
      </c>
      <c r="P276" s="48">
        <v>0</v>
      </c>
      <c r="Q276" s="48">
        <v>1</v>
      </c>
      <c r="R276" s="48">
        <v>2</v>
      </c>
      <c r="S276" s="109">
        <f t="shared" si="1"/>
        <v>312</v>
      </c>
      <c r="T276" s="110"/>
    </row>
    <row r="277" spans="1:22">
      <c r="A277" s="48"/>
      <c r="B277" s="91">
        <v>7016</v>
      </c>
      <c r="C277" s="94" t="s">
        <v>610</v>
      </c>
      <c r="D277" s="59" t="s">
        <v>557</v>
      </c>
      <c r="E277" s="50" t="s">
        <v>611</v>
      </c>
      <c r="F277" s="50" t="s">
        <v>611</v>
      </c>
      <c r="G277" s="48">
        <v>5</v>
      </c>
      <c r="H277" s="48">
        <v>6</v>
      </c>
      <c r="I277" s="48"/>
      <c r="J277" s="91"/>
      <c r="K277" s="96"/>
      <c r="L277" s="96"/>
      <c r="M277" s="48">
        <v>4</v>
      </c>
      <c r="N277" s="48">
        <v>9999</v>
      </c>
      <c r="O277" s="48">
        <v>0</v>
      </c>
      <c r="P277" s="48">
        <v>0</v>
      </c>
      <c r="Q277" s="48">
        <v>1</v>
      </c>
      <c r="R277" s="48">
        <v>2</v>
      </c>
      <c r="S277" s="51">
        <f t="shared" ref="S277:S281" si="2">INT(38000/70)</f>
        <v>542</v>
      </c>
      <c r="T277" s="69"/>
    </row>
    <row r="278" spans="1:22">
      <c r="A278" s="48"/>
      <c r="B278" s="91">
        <v>7017</v>
      </c>
      <c r="C278" s="92" t="s">
        <v>612</v>
      </c>
      <c r="D278" s="59" t="s">
        <v>560</v>
      </c>
      <c r="E278" s="50" t="s">
        <v>613</v>
      </c>
      <c r="F278" s="50" t="s">
        <v>613</v>
      </c>
      <c r="G278" s="48">
        <v>5</v>
      </c>
      <c r="H278" s="48">
        <v>6</v>
      </c>
      <c r="I278" s="48"/>
      <c r="J278" s="91"/>
      <c r="K278" s="96"/>
      <c r="L278" s="96"/>
      <c r="M278" s="48">
        <v>4</v>
      </c>
      <c r="N278" s="48">
        <v>9999</v>
      </c>
      <c r="O278" s="48">
        <v>0</v>
      </c>
      <c r="P278" s="48">
        <v>0</v>
      </c>
      <c r="Q278" s="48">
        <v>1</v>
      </c>
      <c r="R278" s="48">
        <v>2</v>
      </c>
      <c r="S278" s="51">
        <f t="shared" si="2"/>
        <v>542</v>
      </c>
      <c r="T278" s="69"/>
    </row>
    <row r="279" spans="1:22">
      <c r="A279" s="48"/>
      <c r="B279" s="91">
        <v>7018</v>
      </c>
      <c r="C279" s="92" t="s">
        <v>614</v>
      </c>
      <c r="D279" s="59" t="s">
        <v>563</v>
      </c>
      <c r="E279" s="50" t="s">
        <v>615</v>
      </c>
      <c r="F279" s="50" t="s">
        <v>615</v>
      </c>
      <c r="G279" s="48">
        <v>5</v>
      </c>
      <c r="H279" s="48">
        <v>6</v>
      </c>
      <c r="I279" s="48"/>
      <c r="J279" s="91"/>
      <c r="K279" s="96"/>
      <c r="L279" s="96"/>
      <c r="M279" s="48">
        <v>4</v>
      </c>
      <c r="N279" s="48">
        <v>9999</v>
      </c>
      <c r="O279" s="48">
        <v>0</v>
      </c>
      <c r="P279" s="48">
        <v>0</v>
      </c>
      <c r="Q279" s="48">
        <v>1</v>
      </c>
      <c r="R279" s="48">
        <v>2</v>
      </c>
      <c r="S279" s="51">
        <f t="shared" si="2"/>
        <v>542</v>
      </c>
      <c r="T279" s="69"/>
    </row>
    <row r="280" spans="1:22">
      <c r="A280" s="48"/>
      <c r="B280" s="91">
        <v>7019</v>
      </c>
      <c r="C280" s="92" t="s">
        <v>616</v>
      </c>
      <c r="D280" s="59" t="s">
        <v>566</v>
      </c>
      <c r="E280" s="50" t="s">
        <v>617</v>
      </c>
      <c r="F280" s="50" t="s">
        <v>617</v>
      </c>
      <c r="G280" s="48">
        <v>5</v>
      </c>
      <c r="H280" s="48">
        <v>6</v>
      </c>
      <c r="I280" s="48"/>
      <c r="J280" s="91"/>
      <c r="K280" s="96"/>
      <c r="L280" s="96"/>
      <c r="M280" s="48">
        <v>4</v>
      </c>
      <c r="N280" s="48">
        <v>9999</v>
      </c>
      <c r="O280" s="48">
        <v>0</v>
      </c>
      <c r="P280" s="48">
        <v>0</v>
      </c>
      <c r="Q280" s="48">
        <v>1</v>
      </c>
      <c r="R280" s="48">
        <v>2</v>
      </c>
      <c r="S280" s="51">
        <f t="shared" si="2"/>
        <v>542</v>
      </c>
      <c r="T280" s="69"/>
    </row>
    <row r="281" spans="1:22">
      <c r="A281" s="48"/>
      <c r="B281" s="91">
        <v>7020</v>
      </c>
      <c r="C281" s="92" t="s">
        <v>618</v>
      </c>
      <c r="D281" s="59" t="s">
        <v>569</v>
      </c>
      <c r="E281" s="50" t="s">
        <v>619</v>
      </c>
      <c r="F281" s="50" t="s">
        <v>619</v>
      </c>
      <c r="G281" s="48">
        <v>5</v>
      </c>
      <c r="H281" s="48">
        <v>6</v>
      </c>
      <c r="I281" s="48"/>
      <c r="J281" s="91"/>
      <c r="K281" s="96"/>
      <c r="L281" s="96"/>
      <c r="M281" s="48">
        <v>4</v>
      </c>
      <c r="N281" s="48">
        <v>9999</v>
      </c>
      <c r="O281" s="48">
        <v>0</v>
      </c>
      <c r="P281" s="48">
        <v>0</v>
      </c>
      <c r="Q281" s="48">
        <v>1</v>
      </c>
      <c r="R281" s="48">
        <v>2</v>
      </c>
      <c r="S281" s="51">
        <f t="shared" si="2"/>
        <v>542</v>
      </c>
      <c r="T281" s="69"/>
    </row>
    <row r="282" spans="1:22">
      <c r="A282" s="48"/>
      <c r="B282" s="91">
        <v>7021</v>
      </c>
      <c r="C282" s="92" t="s">
        <v>620</v>
      </c>
      <c r="D282" s="59" t="s">
        <v>572</v>
      </c>
      <c r="E282" s="50" t="s">
        <v>621</v>
      </c>
      <c r="F282" s="50" t="s">
        <v>621</v>
      </c>
      <c r="G282" s="48">
        <v>5</v>
      </c>
      <c r="H282" s="48">
        <v>6</v>
      </c>
      <c r="I282" s="48"/>
      <c r="J282" s="91"/>
      <c r="K282" s="96"/>
      <c r="L282" s="96"/>
      <c r="M282" s="48">
        <v>3</v>
      </c>
      <c r="N282" s="48">
        <v>9999</v>
      </c>
      <c r="O282" s="48">
        <v>0</v>
      </c>
      <c r="P282" s="48">
        <v>0</v>
      </c>
      <c r="Q282" s="48">
        <v>1</v>
      </c>
      <c r="R282" s="48">
        <v>3</v>
      </c>
      <c r="S282" s="48">
        <v>12</v>
      </c>
      <c r="T282" s="68"/>
    </row>
    <row r="283" spans="1:22">
      <c r="A283" s="48"/>
      <c r="B283" s="91">
        <v>7022</v>
      </c>
      <c r="C283" s="92" t="s">
        <v>622</v>
      </c>
      <c r="D283" s="59" t="s">
        <v>576</v>
      </c>
      <c r="E283" s="50" t="s">
        <v>623</v>
      </c>
      <c r="F283" s="50" t="s">
        <v>623</v>
      </c>
      <c r="G283" s="48">
        <v>5</v>
      </c>
      <c r="H283" s="48">
        <v>6</v>
      </c>
      <c r="I283" s="48"/>
      <c r="J283" s="91"/>
      <c r="K283" s="96"/>
      <c r="L283" s="96"/>
      <c r="M283" s="48">
        <v>3</v>
      </c>
      <c r="N283" s="48">
        <v>9999</v>
      </c>
      <c r="O283" s="48">
        <v>0</v>
      </c>
      <c r="P283" s="48">
        <v>0</v>
      </c>
      <c r="Q283" s="48">
        <v>1</v>
      </c>
      <c r="R283" s="48">
        <v>7</v>
      </c>
      <c r="S283" s="48">
        <v>9</v>
      </c>
      <c r="T283" s="68"/>
    </row>
    <row r="284" spans="1:22">
      <c r="A284" s="48"/>
      <c r="B284" s="91">
        <v>7023</v>
      </c>
      <c r="C284" s="92" t="s">
        <v>624</v>
      </c>
      <c r="D284" s="59" t="s">
        <v>577</v>
      </c>
      <c r="E284" s="50" t="s">
        <v>625</v>
      </c>
      <c r="F284" s="50" t="s">
        <v>625</v>
      </c>
      <c r="G284" s="48">
        <v>5</v>
      </c>
      <c r="H284" s="48">
        <v>6</v>
      </c>
      <c r="I284" s="48"/>
      <c r="J284" s="91"/>
      <c r="K284" s="96"/>
      <c r="L284" s="96"/>
      <c r="M284" s="48">
        <v>3</v>
      </c>
      <c r="N284" s="48">
        <v>9999</v>
      </c>
      <c r="O284" s="48">
        <v>0</v>
      </c>
      <c r="P284" s="48">
        <v>0</v>
      </c>
      <c r="Q284" s="48">
        <v>1</v>
      </c>
      <c r="R284" s="48">
        <v>3</v>
      </c>
      <c r="S284" s="48">
        <v>12</v>
      </c>
      <c r="T284" s="68"/>
    </row>
    <row r="285" spans="1:22">
      <c r="A285" s="48"/>
      <c r="B285" s="91">
        <v>7024</v>
      </c>
      <c r="C285" s="92" t="s">
        <v>626</v>
      </c>
      <c r="D285" s="59" t="s">
        <v>578</v>
      </c>
      <c r="E285" s="50" t="s">
        <v>627</v>
      </c>
      <c r="F285" s="50" t="s">
        <v>627</v>
      </c>
      <c r="G285" s="48">
        <v>5</v>
      </c>
      <c r="H285" s="48">
        <v>6</v>
      </c>
      <c r="I285" s="48"/>
      <c r="J285" s="91"/>
      <c r="K285" s="96"/>
      <c r="L285" s="96"/>
      <c r="M285" s="48">
        <v>3</v>
      </c>
      <c r="N285" s="48">
        <v>9999</v>
      </c>
      <c r="O285" s="48">
        <v>0</v>
      </c>
      <c r="P285" s="48">
        <v>0</v>
      </c>
      <c r="Q285" s="48">
        <v>1</v>
      </c>
      <c r="R285" s="48">
        <v>7</v>
      </c>
      <c r="S285" s="48">
        <v>9</v>
      </c>
      <c r="T285" s="68"/>
    </row>
    <row r="286" spans="1:22">
      <c r="A286" s="48"/>
      <c r="B286" s="91">
        <v>7025</v>
      </c>
      <c r="C286" s="92" t="s">
        <v>628</v>
      </c>
      <c r="D286" s="59" t="s">
        <v>579</v>
      </c>
      <c r="E286" s="50" t="s">
        <v>629</v>
      </c>
      <c r="F286" s="50" t="s">
        <v>629</v>
      </c>
      <c r="G286" s="48">
        <v>5</v>
      </c>
      <c r="H286" s="48">
        <v>6</v>
      </c>
      <c r="I286" s="48"/>
      <c r="J286" s="91"/>
      <c r="K286" s="96"/>
      <c r="L286" s="96"/>
      <c r="M286" s="48">
        <v>3</v>
      </c>
      <c r="N286" s="48">
        <v>9999</v>
      </c>
      <c r="O286" s="48">
        <v>0</v>
      </c>
      <c r="P286" s="48">
        <v>0</v>
      </c>
      <c r="Q286" s="48">
        <v>1</v>
      </c>
      <c r="R286" s="48">
        <v>3</v>
      </c>
      <c r="S286" s="48">
        <v>12</v>
      </c>
      <c r="T286" s="68"/>
    </row>
    <row r="287" spans="1:22">
      <c r="A287" s="48"/>
      <c r="B287" s="91">
        <v>7026</v>
      </c>
      <c r="C287" s="92" t="s">
        <v>630</v>
      </c>
      <c r="D287" s="59" t="s">
        <v>581</v>
      </c>
      <c r="E287" s="50" t="s">
        <v>631</v>
      </c>
      <c r="F287" s="50" t="s">
        <v>631</v>
      </c>
      <c r="G287" s="48">
        <v>5</v>
      </c>
      <c r="H287" s="48">
        <v>6</v>
      </c>
      <c r="I287" s="48"/>
      <c r="J287" s="91"/>
      <c r="K287" s="96"/>
      <c r="L287" s="96"/>
      <c r="M287" s="48">
        <v>4</v>
      </c>
      <c r="N287" s="48">
        <v>9999</v>
      </c>
      <c r="O287" s="48">
        <v>0</v>
      </c>
      <c r="P287" s="48">
        <v>0</v>
      </c>
      <c r="Q287" s="48">
        <v>1</v>
      </c>
      <c r="R287" s="48">
        <v>8</v>
      </c>
      <c r="S287" s="48">
        <v>7</v>
      </c>
      <c r="T287" s="68"/>
      <c r="V287" s="44" t="s">
        <v>54</v>
      </c>
    </row>
    <row r="288" spans="1:22">
      <c r="A288" s="48"/>
      <c r="B288" s="91">
        <v>7027</v>
      </c>
      <c r="C288" s="92" t="s">
        <v>632</v>
      </c>
      <c r="D288" s="59" t="s">
        <v>585</v>
      </c>
      <c r="E288" s="50" t="s">
        <v>633</v>
      </c>
      <c r="F288" s="50" t="s">
        <v>633</v>
      </c>
      <c r="G288" s="48">
        <v>5</v>
      </c>
      <c r="H288" s="48">
        <v>6</v>
      </c>
      <c r="I288" s="48"/>
      <c r="J288" s="91"/>
      <c r="K288" s="96"/>
      <c r="L288" s="96"/>
      <c r="M288" s="48">
        <v>4</v>
      </c>
      <c r="N288" s="48">
        <v>9999</v>
      </c>
      <c r="O288" s="48">
        <v>0</v>
      </c>
      <c r="P288" s="48">
        <v>0</v>
      </c>
      <c r="Q288" s="48">
        <v>1</v>
      </c>
      <c r="R288" s="48">
        <v>9</v>
      </c>
      <c r="S288" s="48">
        <v>12</v>
      </c>
      <c r="T288" s="68"/>
      <c r="V288" s="44" t="s">
        <v>54</v>
      </c>
    </row>
    <row r="289" spans="1:25">
      <c r="A289" s="48"/>
      <c r="B289" s="91">
        <v>7028</v>
      </c>
      <c r="C289" s="92" t="s">
        <v>634</v>
      </c>
      <c r="D289" s="59" t="s">
        <v>586</v>
      </c>
      <c r="E289" s="50" t="s">
        <v>635</v>
      </c>
      <c r="F289" s="50" t="s">
        <v>635</v>
      </c>
      <c r="G289" s="48">
        <v>5</v>
      </c>
      <c r="H289" s="48">
        <v>6</v>
      </c>
      <c r="I289" s="48"/>
      <c r="J289" s="91"/>
      <c r="K289" s="96"/>
      <c r="L289" s="96"/>
      <c r="M289" s="48">
        <v>4</v>
      </c>
      <c r="N289" s="48">
        <v>9999</v>
      </c>
      <c r="O289" s="48">
        <v>0</v>
      </c>
      <c r="P289" s="48">
        <v>0</v>
      </c>
      <c r="Q289" s="48">
        <v>1</v>
      </c>
      <c r="R289" s="48">
        <v>8</v>
      </c>
      <c r="S289" s="48">
        <v>7</v>
      </c>
      <c r="T289" s="68"/>
      <c r="V289" s="44" t="s">
        <v>54</v>
      </c>
    </row>
    <row r="290" spans="1:25">
      <c r="A290" s="48"/>
      <c r="B290" s="91">
        <v>7029</v>
      </c>
      <c r="C290" s="92" t="s">
        <v>636</v>
      </c>
      <c r="D290" s="59" t="s">
        <v>587</v>
      </c>
      <c r="E290" s="50" t="s">
        <v>637</v>
      </c>
      <c r="F290" s="50" t="s">
        <v>637</v>
      </c>
      <c r="G290" s="48">
        <v>5</v>
      </c>
      <c r="H290" s="48">
        <v>6</v>
      </c>
      <c r="I290" s="48"/>
      <c r="J290" s="91"/>
      <c r="K290" s="96"/>
      <c r="L290" s="96"/>
      <c r="M290" s="48">
        <v>4</v>
      </c>
      <c r="N290" s="48">
        <v>9999</v>
      </c>
      <c r="O290" s="48">
        <v>0</v>
      </c>
      <c r="P290" s="48">
        <v>0</v>
      </c>
      <c r="Q290" s="48">
        <v>1</v>
      </c>
      <c r="R290" s="48">
        <v>9</v>
      </c>
      <c r="S290" s="48">
        <v>12</v>
      </c>
      <c r="T290" s="68"/>
      <c r="V290" s="44" t="s">
        <v>54</v>
      </c>
    </row>
    <row r="291" spans="1:25">
      <c r="A291" s="48"/>
      <c r="B291" s="91">
        <v>7030</v>
      </c>
      <c r="C291" s="92" t="s">
        <v>638</v>
      </c>
      <c r="D291" s="59" t="s">
        <v>588</v>
      </c>
      <c r="E291" s="50" t="s">
        <v>639</v>
      </c>
      <c r="F291" s="50" t="s">
        <v>639</v>
      </c>
      <c r="G291" s="48">
        <v>5</v>
      </c>
      <c r="H291" s="48">
        <v>6</v>
      </c>
      <c r="I291" s="48"/>
      <c r="J291" s="91"/>
      <c r="K291" s="96"/>
      <c r="L291" s="96"/>
      <c r="M291" s="48">
        <v>4</v>
      </c>
      <c r="N291" s="48">
        <v>9999</v>
      </c>
      <c r="O291" s="48">
        <v>0</v>
      </c>
      <c r="P291" s="48">
        <v>0</v>
      </c>
      <c r="Q291" s="48">
        <v>1</v>
      </c>
      <c r="R291" s="48">
        <v>8</v>
      </c>
      <c r="S291" s="48">
        <v>7</v>
      </c>
      <c r="T291" s="68"/>
      <c r="V291" s="44" t="s">
        <v>54</v>
      </c>
    </row>
    <row r="292" spans="1:25">
      <c r="A292" s="87" t="s">
        <v>48</v>
      </c>
      <c r="B292" s="88" t="s">
        <v>640</v>
      </c>
      <c r="C292" s="87"/>
      <c r="D292" s="103"/>
      <c r="E292" s="104"/>
      <c r="F292" s="104"/>
      <c r="G292" s="103"/>
      <c r="H292" s="103"/>
      <c r="I292" s="103"/>
      <c r="J292" s="88"/>
      <c r="K292" s="17"/>
      <c r="L292" s="17"/>
      <c r="M292" s="103"/>
      <c r="N292" s="103"/>
      <c r="O292" s="103"/>
      <c r="P292" s="103"/>
      <c r="Q292" s="103"/>
      <c r="R292" s="103"/>
      <c r="S292" s="103"/>
      <c r="T292" s="111"/>
    </row>
    <row r="293" spans="1:25">
      <c r="A293" s="87" t="s">
        <v>48</v>
      </c>
      <c r="B293" s="88" t="s">
        <v>641</v>
      </c>
      <c r="C293" s="87"/>
      <c r="D293" s="103"/>
      <c r="E293" s="104"/>
      <c r="F293" s="104"/>
      <c r="G293" s="103"/>
      <c r="H293" s="103"/>
      <c r="I293" s="103"/>
      <c r="J293" s="88"/>
      <c r="K293" s="17"/>
      <c r="L293" s="17"/>
      <c r="M293" s="103"/>
      <c r="N293" s="103"/>
      <c r="O293" s="103"/>
      <c r="P293" s="103"/>
      <c r="Q293" s="103"/>
      <c r="R293" s="103"/>
      <c r="S293" s="103"/>
      <c r="T293" s="111"/>
    </row>
    <row r="294" spans="1:25">
      <c r="A294" s="49"/>
      <c r="B294" s="105">
        <v>1100281</v>
      </c>
      <c r="C294" s="184" t="s">
        <v>642</v>
      </c>
      <c r="D294" s="185" t="s">
        <v>4041</v>
      </c>
      <c r="E294" s="84"/>
      <c r="F294" s="56"/>
      <c r="G294" s="54">
        <v>6</v>
      </c>
      <c r="H294" s="49">
        <v>1</v>
      </c>
      <c r="I294" s="96">
        <v>1</v>
      </c>
      <c r="J294" s="96"/>
      <c r="K294" s="17"/>
      <c r="L294" s="17"/>
      <c r="M294" s="54">
        <v>3</v>
      </c>
      <c r="N294" s="54">
        <v>1</v>
      </c>
      <c r="O294" s="54">
        <v>0</v>
      </c>
      <c r="P294" s="54">
        <v>0</v>
      </c>
      <c r="Q294" s="54">
        <v>0</v>
      </c>
      <c r="R294" s="54"/>
      <c r="S294" s="54">
        <v>0</v>
      </c>
      <c r="T294" s="70"/>
      <c r="Y294" s="112"/>
    </row>
    <row r="295" spans="1:25">
      <c r="A295" s="49"/>
      <c r="B295" s="105">
        <v>1100371</v>
      </c>
      <c r="C295" s="186" t="s">
        <v>4003</v>
      </c>
      <c r="D295" s="185" t="s">
        <v>4041</v>
      </c>
      <c r="E295" s="84"/>
      <c r="F295" s="56"/>
      <c r="G295" s="54">
        <v>6</v>
      </c>
      <c r="H295" s="49">
        <v>1</v>
      </c>
      <c r="I295" s="96">
        <v>1</v>
      </c>
      <c r="J295" s="96"/>
      <c r="K295" s="17"/>
      <c r="L295" s="17"/>
      <c r="M295" s="54">
        <v>3</v>
      </c>
      <c r="N295" s="54">
        <v>1</v>
      </c>
      <c r="O295" s="54">
        <v>0</v>
      </c>
      <c r="P295" s="54">
        <v>0</v>
      </c>
      <c r="Q295" s="54">
        <v>0</v>
      </c>
      <c r="R295" s="54"/>
      <c r="S295" s="54">
        <v>0</v>
      </c>
      <c r="T295" s="70"/>
      <c r="Y295" s="112"/>
    </row>
    <row r="296" spans="1:25">
      <c r="A296" s="49"/>
      <c r="B296" s="105">
        <v>1100451</v>
      </c>
      <c r="C296" s="187" t="s">
        <v>643</v>
      </c>
      <c r="D296" s="185" t="s">
        <v>4041</v>
      </c>
      <c r="E296" s="84"/>
      <c r="F296" s="84"/>
      <c r="G296" s="49">
        <v>6</v>
      </c>
      <c r="H296" s="49">
        <v>1</v>
      </c>
      <c r="I296" s="96">
        <v>1</v>
      </c>
      <c r="J296" s="96"/>
      <c r="K296" s="17"/>
      <c r="L296" s="17"/>
      <c r="M296" s="49">
        <v>3</v>
      </c>
      <c r="N296" s="49">
        <v>1</v>
      </c>
      <c r="O296" s="54">
        <v>0</v>
      </c>
      <c r="P296" s="54">
        <v>0</v>
      </c>
      <c r="Q296" s="54">
        <v>0</v>
      </c>
      <c r="R296" s="54"/>
      <c r="S296" s="54">
        <v>0</v>
      </c>
      <c r="T296" s="70"/>
      <c r="Y296" s="112"/>
    </row>
    <row r="297" spans="1:25">
      <c r="A297" s="49"/>
      <c r="B297" s="105">
        <v>1100321</v>
      </c>
      <c r="C297" s="187" t="s">
        <v>644</v>
      </c>
      <c r="D297" s="185" t="s">
        <v>4041</v>
      </c>
      <c r="E297" s="84"/>
      <c r="F297" s="84"/>
      <c r="G297" s="49">
        <v>6</v>
      </c>
      <c r="H297" s="49">
        <v>1</v>
      </c>
      <c r="I297" s="96">
        <v>1</v>
      </c>
      <c r="J297" s="96"/>
      <c r="K297" s="17"/>
      <c r="L297" s="17"/>
      <c r="M297" s="49">
        <v>2</v>
      </c>
      <c r="N297" s="49">
        <v>1</v>
      </c>
      <c r="O297" s="54">
        <v>0</v>
      </c>
      <c r="P297" s="54">
        <v>0</v>
      </c>
      <c r="Q297" s="54">
        <v>0</v>
      </c>
      <c r="R297" s="54"/>
      <c r="S297" s="54">
        <v>0</v>
      </c>
      <c r="T297" s="70"/>
      <c r="Y297" s="112"/>
    </row>
    <row r="298" spans="1:25">
      <c r="A298" s="49"/>
      <c r="B298" s="105">
        <v>1100491</v>
      </c>
      <c r="C298" s="187" t="s">
        <v>645</v>
      </c>
      <c r="D298" s="185" t="s">
        <v>4041</v>
      </c>
      <c r="E298" s="84"/>
      <c r="F298" s="84"/>
      <c r="G298" s="49">
        <v>6</v>
      </c>
      <c r="H298" s="49">
        <v>1</v>
      </c>
      <c r="I298" s="96">
        <v>1</v>
      </c>
      <c r="J298" s="96"/>
      <c r="K298" s="17"/>
      <c r="L298" s="17"/>
      <c r="M298" s="49">
        <v>3</v>
      </c>
      <c r="N298" s="49">
        <v>1</v>
      </c>
      <c r="O298" s="49">
        <v>0</v>
      </c>
      <c r="P298" s="49">
        <v>0</v>
      </c>
      <c r="Q298" s="49">
        <v>0</v>
      </c>
      <c r="R298" s="49"/>
      <c r="S298" s="49">
        <v>0</v>
      </c>
      <c r="T298" s="42"/>
      <c r="Y298" s="112"/>
    </row>
    <row r="299" spans="1:25">
      <c r="A299" s="49"/>
      <c r="B299" s="105">
        <v>1100261</v>
      </c>
      <c r="C299" s="219" t="s">
        <v>646</v>
      </c>
      <c r="D299" s="188" t="s">
        <v>647</v>
      </c>
      <c r="E299" s="84"/>
      <c r="F299" s="84"/>
      <c r="G299" s="49">
        <v>6</v>
      </c>
      <c r="H299" s="49">
        <v>1</v>
      </c>
      <c r="I299" s="96">
        <v>1</v>
      </c>
      <c r="J299" s="96"/>
      <c r="K299" s="17"/>
      <c r="L299" s="17"/>
      <c r="M299" s="49">
        <v>3</v>
      </c>
      <c r="N299" s="49">
        <v>1</v>
      </c>
      <c r="O299" s="49">
        <v>0</v>
      </c>
      <c r="P299" s="49">
        <v>0</v>
      </c>
      <c r="Q299" s="49">
        <v>0</v>
      </c>
      <c r="R299" s="49"/>
      <c r="S299" s="49">
        <v>0</v>
      </c>
      <c r="T299" s="42"/>
      <c r="Y299" s="112"/>
    </row>
    <row r="300" spans="1:25">
      <c r="A300" s="49"/>
      <c r="B300" s="105">
        <v>1100301</v>
      </c>
      <c r="C300" s="187" t="s">
        <v>648</v>
      </c>
      <c r="D300" s="185" t="s">
        <v>4041</v>
      </c>
      <c r="E300" s="84"/>
      <c r="F300" s="84"/>
      <c r="G300" s="49">
        <v>6</v>
      </c>
      <c r="H300" s="49">
        <v>1</v>
      </c>
      <c r="I300" s="96">
        <v>1</v>
      </c>
      <c r="J300" s="96"/>
      <c r="K300" s="17"/>
      <c r="L300" s="17"/>
      <c r="M300" s="49">
        <v>3</v>
      </c>
      <c r="N300" s="49">
        <v>1</v>
      </c>
      <c r="O300" s="49">
        <v>0</v>
      </c>
      <c r="P300" s="49">
        <v>0</v>
      </c>
      <c r="Q300" s="49">
        <v>0</v>
      </c>
      <c r="R300" s="49"/>
      <c r="S300" s="49">
        <v>0</v>
      </c>
      <c r="T300" s="42"/>
      <c r="Y300" s="112"/>
    </row>
    <row r="301" spans="1:25">
      <c r="A301" s="49"/>
      <c r="B301" s="105">
        <v>1100391</v>
      </c>
      <c r="C301" s="187" t="s">
        <v>649</v>
      </c>
      <c r="D301" s="185" t="s">
        <v>4041</v>
      </c>
      <c r="E301" s="84"/>
      <c r="F301" s="84"/>
      <c r="G301" s="49">
        <v>6</v>
      </c>
      <c r="H301" s="49">
        <v>1</v>
      </c>
      <c r="I301" s="96">
        <v>1</v>
      </c>
      <c r="J301" s="96"/>
      <c r="K301" s="17"/>
      <c r="L301" s="17"/>
      <c r="M301" s="49">
        <v>3</v>
      </c>
      <c r="N301" s="49">
        <v>1</v>
      </c>
      <c r="O301" s="49">
        <v>0</v>
      </c>
      <c r="P301" s="49">
        <v>0</v>
      </c>
      <c r="Q301" s="49">
        <v>0</v>
      </c>
      <c r="R301" s="49"/>
      <c r="S301" s="49">
        <v>0</v>
      </c>
      <c r="T301" s="42"/>
      <c r="Y301" s="112"/>
    </row>
    <row r="302" spans="1:25">
      <c r="A302" s="49"/>
      <c r="B302" s="105">
        <v>1100471</v>
      </c>
      <c r="C302" s="186" t="s">
        <v>4004</v>
      </c>
      <c r="D302" s="185" t="s">
        <v>4041</v>
      </c>
      <c r="E302" s="84"/>
      <c r="F302" s="84"/>
      <c r="G302" s="54">
        <v>6</v>
      </c>
      <c r="H302" s="49">
        <v>1</v>
      </c>
      <c r="I302" s="96">
        <v>1</v>
      </c>
      <c r="J302" s="96"/>
      <c r="K302" s="17"/>
      <c r="L302" s="17"/>
      <c r="M302" s="49">
        <v>2</v>
      </c>
      <c r="N302" s="49">
        <v>1</v>
      </c>
      <c r="O302" s="54">
        <v>0</v>
      </c>
      <c r="P302" s="54">
        <v>0</v>
      </c>
      <c r="Q302" s="54">
        <v>0</v>
      </c>
      <c r="R302" s="54"/>
      <c r="S302" s="54">
        <v>0</v>
      </c>
      <c r="T302" s="70"/>
      <c r="Y302" s="112"/>
    </row>
    <row r="303" spans="1:25">
      <c r="A303" s="49"/>
      <c r="B303" s="105">
        <v>1100351</v>
      </c>
      <c r="C303" s="187" t="s">
        <v>650</v>
      </c>
      <c r="D303" s="185" t="s">
        <v>4041</v>
      </c>
      <c r="E303" s="84"/>
      <c r="F303" s="84"/>
      <c r="G303" s="54">
        <v>6</v>
      </c>
      <c r="H303" s="49">
        <v>1</v>
      </c>
      <c r="I303" s="96">
        <v>1</v>
      </c>
      <c r="J303" s="96"/>
      <c r="K303" s="17"/>
      <c r="L303" s="17"/>
      <c r="M303" s="49">
        <v>3</v>
      </c>
      <c r="N303" s="49">
        <v>1</v>
      </c>
      <c r="O303" s="49">
        <v>0</v>
      </c>
      <c r="P303" s="49">
        <v>0</v>
      </c>
      <c r="Q303" s="49">
        <v>0</v>
      </c>
      <c r="R303" s="49"/>
      <c r="S303" s="49">
        <v>0</v>
      </c>
      <c r="T303" s="42"/>
      <c r="Y303" s="112"/>
    </row>
    <row r="304" spans="1:25">
      <c r="A304" s="49"/>
      <c r="B304" s="105">
        <v>1200431</v>
      </c>
      <c r="C304" s="187" t="s">
        <v>649</v>
      </c>
      <c r="D304" s="185" t="s">
        <v>4041</v>
      </c>
      <c r="E304" s="84"/>
      <c r="F304" s="84"/>
      <c r="G304" s="49">
        <v>6</v>
      </c>
      <c r="H304" s="49">
        <v>1</v>
      </c>
      <c r="I304" s="96">
        <v>2</v>
      </c>
      <c r="J304" s="96"/>
      <c r="K304" s="17"/>
      <c r="L304" s="17"/>
      <c r="M304" s="49">
        <v>3</v>
      </c>
      <c r="N304" s="49">
        <v>1</v>
      </c>
      <c r="O304" s="49">
        <v>0</v>
      </c>
      <c r="P304" s="49">
        <v>0</v>
      </c>
      <c r="Q304" s="49">
        <v>0</v>
      </c>
      <c r="R304" s="49"/>
      <c r="S304" s="49">
        <v>0</v>
      </c>
      <c r="T304" s="42"/>
      <c r="Y304" s="112"/>
    </row>
    <row r="305" spans="1:25">
      <c r="A305" s="49"/>
      <c r="B305" s="105">
        <v>1200541</v>
      </c>
      <c r="C305" s="187" t="s">
        <v>651</v>
      </c>
      <c r="D305" s="185" t="s">
        <v>4041</v>
      </c>
      <c r="E305" s="84"/>
      <c r="F305" s="84"/>
      <c r="G305" s="49">
        <v>6</v>
      </c>
      <c r="H305" s="49">
        <v>1</v>
      </c>
      <c r="I305" s="96">
        <v>2</v>
      </c>
      <c r="J305" s="96"/>
      <c r="K305" s="17"/>
      <c r="L305" s="17"/>
      <c r="M305" s="49">
        <v>3</v>
      </c>
      <c r="N305" s="49">
        <v>1</v>
      </c>
      <c r="O305" s="49">
        <v>0</v>
      </c>
      <c r="P305" s="49">
        <v>0</v>
      </c>
      <c r="Q305" s="49">
        <v>0</v>
      </c>
      <c r="R305" s="49"/>
      <c r="S305" s="49">
        <v>0</v>
      </c>
      <c r="T305" s="42"/>
      <c r="Y305" s="112"/>
    </row>
    <row r="306" spans="1:25">
      <c r="A306" s="49"/>
      <c r="B306" s="105">
        <v>1200291</v>
      </c>
      <c r="C306" s="187" t="s">
        <v>652</v>
      </c>
      <c r="D306" s="185" t="s">
        <v>4041</v>
      </c>
      <c r="E306" s="84"/>
      <c r="F306" s="84"/>
      <c r="G306" s="49">
        <v>6</v>
      </c>
      <c r="H306" s="49">
        <v>1</v>
      </c>
      <c r="I306" s="96">
        <v>2</v>
      </c>
      <c r="J306" s="96"/>
      <c r="K306" s="17"/>
      <c r="L306" s="17"/>
      <c r="M306" s="49">
        <v>3</v>
      </c>
      <c r="N306" s="49">
        <v>1</v>
      </c>
      <c r="O306" s="49">
        <v>0</v>
      </c>
      <c r="P306" s="49">
        <v>0</v>
      </c>
      <c r="Q306" s="49">
        <v>0</v>
      </c>
      <c r="R306" s="49"/>
      <c r="S306" s="49">
        <v>0</v>
      </c>
      <c r="T306" s="42"/>
      <c r="Y306" s="112"/>
    </row>
    <row r="307" spans="1:25">
      <c r="A307" s="49"/>
      <c r="B307" s="105">
        <v>1200381</v>
      </c>
      <c r="C307" s="187" t="s">
        <v>653</v>
      </c>
      <c r="D307" s="189" t="s">
        <v>4041</v>
      </c>
      <c r="E307" s="84"/>
      <c r="F307" s="84"/>
      <c r="G307" s="49">
        <v>6</v>
      </c>
      <c r="H307" s="49">
        <v>1</v>
      </c>
      <c r="I307" s="96">
        <v>2</v>
      </c>
      <c r="J307" s="96"/>
      <c r="K307" s="17"/>
      <c r="L307" s="17"/>
      <c r="M307" s="49">
        <v>3</v>
      </c>
      <c r="N307" s="49">
        <v>1</v>
      </c>
      <c r="O307" s="49">
        <v>0</v>
      </c>
      <c r="P307" s="49">
        <v>0</v>
      </c>
      <c r="Q307" s="49">
        <v>0</v>
      </c>
      <c r="R307" s="49"/>
      <c r="S307" s="49">
        <v>0</v>
      </c>
      <c r="T307" s="42"/>
      <c r="Y307" s="112"/>
    </row>
    <row r="308" spans="1:25">
      <c r="A308" s="49"/>
      <c r="B308" s="105">
        <v>1200461</v>
      </c>
      <c r="C308" s="187" t="s">
        <v>654</v>
      </c>
      <c r="D308" s="185" t="s">
        <v>4041</v>
      </c>
      <c r="E308" s="84"/>
      <c r="F308" s="84"/>
      <c r="G308" s="49">
        <v>6</v>
      </c>
      <c r="H308" s="49">
        <v>1</v>
      </c>
      <c r="I308" s="96">
        <v>2</v>
      </c>
      <c r="J308" s="96"/>
      <c r="K308" s="17"/>
      <c r="L308" s="17"/>
      <c r="M308" s="49">
        <v>3</v>
      </c>
      <c r="N308" s="49">
        <v>1</v>
      </c>
      <c r="O308" s="49">
        <v>0</v>
      </c>
      <c r="P308" s="49">
        <v>0</v>
      </c>
      <c r="Q308" s="49">
        <v>0</v>
      </c>
      <c r="R308" s="49"/>
      <c r="S308" s="49">
        <v>0</v>
      </c>
      <c r="T308" s="42"/>
      <c r="Y308" s="112"/>
    </row>
    <row r="309" spans="1:25">
      <c r="A309" s="49"/>
      <c r="B309" s="105">
        <v>1200331</v>
      </c>
      <c r="C309" s="219" t="s">
        <v>655</v>
      </c>
      <c r="D309" s="188" t="s">
        <v>656</v>
      </c>
      <c r="E309" s="84"/>
      <c r="F309" s="84"/>
      <c r="G309" s="49">
        <v>6</v>
      </c>
      <c r="H309" s="49">
        <v>1</v>
      </c>
      <c r="I309" s="96">
        <v>2</v>
      </c>
      <c r="J309" s="96"/>
      <c r="K309" s="17"/>
      <c r="L309" s="17"/>
      <c r="M309" s="49">
        <v>3</v>
      </c>
      <c r="N309" s="49">
        <v>1</v>
      </c>
      <c r="O309" s="49">
        <v>0</v>
      </c>
      <c r="P309" s="49">
        <v>0</v>
      </c>
      <c r="Q309" s="49">
        <v>0</v>
      </c>
      <c r="R309" s="49"/>
      <c r="S309" s="49">
        <v>0</v>
      </c>
      <c r="T309" s="42"/>
      <c r="Y309" s="112"/>
    </row>
    <row r="310" spans="1:25">
      <c r="A310" s="49"/>
      <c r="B310" s="105">
        <v>1200421</v>
      </c>
      <c r="C310" s="187" t="s">
        <v>657</v>
      </c>
      <c r="D310" s="185" t="s">
        <v>4041</v>
      </c>
      <c r="E310" s="84"/>
      <c r="F310" s="84"/>
      <c r="G310" s="49">
        <v>6</v>
      </c>
      <c r="H310" s="49">
        <v>1</v>
      </c>
      <c r="I310" s="96">
        <v>2</v>
      </c>
      <c r="J310" s="96"/>
      <c r="K310" s="17"/>
      <c r="L310" s="17"/>
      <c r="M310" s="49">
        <v>3</v>
      </c>
      <c r="N310" s="49">
        <v>1</v>
      </c>
      <c r="O310" s="49">
        <v>0</v>
      </c>
      <c r="P310" s="49">
        <v>0</v>
      </c>
      <c r="Q310" s="49">
        <v>0</v>
      </c>
      <c r="R310" s="49"/>
      <c r="S310" s="49">
        <v>0</v>
      </c>
      <c r="T310" s="42"/>
      <c r="Y310" s="112"/>
    </row>
    <row r="311" spans="1:25">
      <c r="A311" s="49"/>
      <c r="B311" s="105">
        <v>1200501</v>
      </c>
      <c r="C311" s="219" t="s">
        <v>658</v>
      </c>
      <c r="D311" s="188" t="s">
        <v>659</v>
      </c>
      <c r="E311" s="84"/>
      <c r="F311" s="84"/>
      <c r="G311" s="54">
        <v>6</v>
      </c>
      <c r="H311" s="49">
        <v>1</v>
      </c>
      <c r="I311" s="96">
        <v>2</v>
      </c>
      <c r="J311" s="96"/>
      <c r="K311" s="17"/>
      <c r="L311" s="17"/>
      <c r="M311" s="49">
        <v>3</v>
      </c>
      <c r="N311" s="49">
        <v>1</v>
      </c>
      <c r="O311" s="49">
        <v>0</v>
      </c>
      <c r="P311" s="49">
        <v>0</v>
      </c>
      <c r="Q311" s="49">
        <v>0</v>
      </c>
      <c r="R311" s="49"/>
      <c r="S311" s="49">
        <v>0</v>
      </c>
      <c r="T311" s="42"/>
      <c r="Y311" s="112"/>
    </row>
    <row r="312" spans="1:25">
      <c r="A312" s="49"/>
      <c r="B312" s="105">
        <v>1200401</v>
      </c>
      <c r="C312" s="219" t="s">
        <v>660</v>
      </c>
      <c r="D312" s="188" t="s">
        <v>661</v>
      </c>
      <c r="E312" s="84"/>
      <c r="F312" s="84"/>
      <c r="G312" s="54">
        <v>6</v>
      </c>
      <c r="H312" s="49">
        <v>1</v>
      </c>
      <c r="I312" s="96" t="s">
        <v>662</v>
      </c>
      <c r="J312" s="96"/>
      <c r="K312" s="17"/>
      <c r="L312" s="17"/>
      <c r="M312" s="49">
        <v>3</v>
      </c>
      <c r="N312" s="49">
        <v>1</v>
      </c>
      <c r="O312" s="49">
        <v>0</v>
      </c>
      <c r="P312" s="49">
        <v>0</v>
      </c>
      <c r="Q312" s="49">
        <v>0</v>
      </c>
      <c r="R312" s="49"/>
      <c r="S312" s="49">
        <v>0</v>
      </c>
      <c r="T312" s="42"/>
      <c r="Y312" s="112"/>
    </row>
    <row r="313" spans="1:25">
      <c r="A313" s="49"/>
      <c r="B313" s="105">
        <v>1000741</v>
      </c>
      <c r="C313" s="190" t="s">
        <v>4005</v>
      </c>
      <c r="D313" s="191" t="s">
        <v>4111</v>
      </c>
      <c r="E313" s="84"/>
      <c r="F313" s="84"/>
      <c r="G313" s="49">
        <v>6</v>
      </c>
      <c r="H313" s="49">
        <v>1</v>
      </c>
      <c r="I313" s="96">
        <v>0</v>
      </c>
      <c r="J313" s="96"/>
      <c r="K313" s="17"/>
      <c r="L313" s="17"/>
      <c r="M313" s="49">
        <v>3</v>
      </c>
      <c r="N313" s="49">
        <v>1</v>
      </c>
      <c r="O313" s="49">
        <v>0</v>
      </c>
      <c r="P313" s="49">
        <v>0</v>
      </c>
      <c r="Q313" s="49">
        <v>0</v>
      </c>
      <c r="R313" s="49"/>
      <c r="S313" s="49">
        <v>0</v>
      </c>
      <c r="T313" s="42"/>
      <c r="Y313" s="112"/>
    </row>
    <row r="314" spans="1:25">
      <c r="A314" s="49"/>
      <c r="B314" s="105">
        <v>1200201</v>
      </c>
      <c r="C314" s="188" t="s">
        <v>663</v>
      </c>
      <c r="D314" s="188" t="s">
        <v>664</v>
      </c>
      <c r="E314" s="84"/>
      <c r="F314" s="84"/>
      <c r="G314" s="49">
        <v>6</v>
      </c>
      <c r="H314" s="49">
        <v>1</v>
      </c>
      <c r="I314" s="91">
        <v>2</v>
      </c>
      <c r="J314" s="96"/>
      <c r="K314" s="17"/>
      <c r="L314" s="17"/>
      <c r="M314" s="49">
        <v>3</v>
      </c>
      <c r="N314" s="49">
        <v>1</v>
      </c>
      <c r="O314" s="49">
        <v>0</v>
      </c>
      <c r="P314" s="49">
        <v>0</v>
      </c>
      <c r="Q314" s="49">
        <v>0</v>
      </c>
      <c r="R314" s="49"/>
      <c r="S314" s="49">
        <v>0</v>
      </c>
      <c r="T314" s="42"/>
      <c r="Y314" s="112"/>
    </row>
    <row r="315" spans="1:25">
      <c r="A315" s="49"/>
      <c r="B315" s="105">
        <v>1100201</v>
      </c>
      <c r="C315" s="188" t="s">
        <v>665</v>
      </c>
      <c r="D315" s="188" t="s">
        <v>666</v>
      </c>
      <c r="E315" s="84"/>
      <c r="F315" s="84"/>
      <c r="G315" s="49">
        <v>6</v>
      </c>
      <c r="H315" s="49">
        <v>1</v>
      </c>
      <c r="I315" s="96">
        <v>1</v>
      </c>
      <c r="J315" s="96"/>
      <c r="K315" s="17"/>
      <c r="L315" s="17"/>
      <c r="M315" s="49">
        <v>3</v>
      </c>
      <c r="N315" s="49">
        <v>1</v>
      </c>
      <c r="O315" s="49">
        <v>0</v>
      </c>
      <c r="P315" s="49">
        <v>0</v>
      </c>
      <c r="Q315" s="49">
        <v>0</v>
      </c>
      <c r="R315" s="49"/>
      <c r="S315" s="49">
        <v>0</v>
      </c>
      <c r="T315" s="42"/>
      <c r="Y315" s="112"/>
    </row>
    <row r="316" spans="1:25">
      <c r="A316" s="49"/>
      <c r="B316" s="105">
        <v>1000091</v>
      </c>
      <c r="C316" s="188" t="s">
        <v>667</v>
      </c>
      <c r="D316" s="188" t="s">
        <v>668</v>
      </c>
      <c r="E316" s="84"/>
      <c r="F316" s="84"/>
      <c r="G316" s="49">
        <v>6</v>
      </c>
      <c r="H316" s="49">
        <v>1</v>
      </c>
      <c r="I316" s="96">
        <v>0</v>
      </c>
      <c r="J316" s="96"/>
      <c r="K316" s="17"/>
      <c r="L316" s="17"/>
      <c r="M316" s="49">
        <v>3</v>
      </c>
      <c r="N316" s="49">
        <v>1</v>
      </c>
      <c r="O316" s="49">
        <v>0</v>
      </c>
      <c r="P316" s="49">
        <v>0</v>
      </c>
      <c r="Q316" s="49">
        <v>0</v>
      </c>
      <c r="R316" s="49"/>
      <c r="S316" s="49">
        <v>0</v>
      </c>
      <c r="T316" s="42"/>
      <c r="Y316" s="112"/>
    </row>
    <row r="317" spans="1:25">
      <c r="A317" s="49"/>
      <c r="B317" s="105">
        <v>1200181</v>
      </c>
      <c r="C317" s="188" t="s">
        <v>669</v>
      </c>
      <c r="D317" s="188" t="s">
        <v>670</v>
      </c>
      <c r="E317" s="84"/>
      <c r="F317" s="84"/>
      <c r="G317" s="49">
        <v>6</v>
      </c>
      <c r="H317" s="49">
        <v>1</v>
      </c>
      <c r="I317" s="91">
        <v>2</v>
      </c>
      <c r="J317" s="106"/>
      <c r="K317" s="17"/>
      <c r="L317" s="17"/>
      <c r="M317" s="49">
        <v>3</v>
      </c>
      <c r="N317" s="49">
        <v>1</v>
      </c>
      <c r="O317" s="49">
        <v>0</v>
      </c>
      <c r="P317" s="49">
        <v>0</v>
      </c>
      <c r="Q317" s="49">
        <v>0</v>
      </c>
      <c r="R317" s="49"/>
      <c r="S317" s="49">
        <v>0</v>
      </c>
      <c r="T317" s="42"/>
      <c r="Y317" s="112"/>
    </row>
    <row r="318" spans="1:25">
      <c r="A318" s="49"/>
      <c r="B318" s="105">
        <v>1100181</v>
      </c>
      <c r="C318" s="188" t="s">
        <v>671</v>
      </c>
      <c r="D318" s="188" t="s">
        <v>672</v>
      </c>
      <c r="E318" s="84"/>
      <c r="F318" s="84"/>
      <c r="G318" s="49">
        <v>6</v>
      </c>
      <c r="H318" s="49">
        <v>1</v>
      </c>
      <c r="I318" s="91">
        <v>1</v>
      </c>
      <c r="J318" s="106"/>
      <c r="K318" s="17"/>
      <c r="L318" s="17"/>
      <c r="M318" s="49">
        <v>3</v>
      </c>
      <c r="N318" s="49">
        <v>1</v>
      </c>
      <c r="O318" s="49">
        <v>0</v>
      </c>
      <c r="P318" s="49">
        <v>0</v>
      </c>
      <c r="Q318" s="49">
        <v>0</v>
      </c>
      <c r="R318" s="49"/>
      <c r="S318" s="49">
        <v>0</v>
      </c>
      <c r="T318" s="42"/>
      <c r="Y318" s="112"/>
    </row>
    <row r="319" spans="1:25">
      <c r="A319" s="49"/>
      <c r="B319" s="105">
        <v>1200691</v>
      </c>
      <c r="C319" s="192" t="s">
        <v>673</v>
      </c>
      <c r="D319" s="192" t="s">
        <v>674</v>
      </c>
      <c r="E319" s="84"/>
      <c r="F319" s="84"/>
      <c r="G319" s="49">
        <v>6</v>
      </c>
      <c r="H319" s="49">
        <v>1</v>
      </c>
      <c r="I319" s="91">
        <v>2</v>
      </c>
      <c r="J319" s="96"/>
      <c r="K319" s="17"/>
      <c r="L319" s="17"/>
      <c r="M319" s="49">
        <v>3</v>
      </c>
      <c r="N319" s="49">
        <v>1</v>
      </c>
      <c r="O319" s="49">
        <v>0</v>
      </c>
      <c r="P319" s="49">
        <v>0</v>
      </c>
      <c r="Q319" s="49">
        <v>0</v>
      </c>
      <c r="R319" s="49"/>
      <c r="S319" s="49">
        <v>0</v>
      </c>
      <c r="T319" s="42"/>
      <c r="Y319" s="112"/>
    </row>
    <row r="320" spans="1:25">
      <c r="A320" s="49"/>
      <c r="B320" s="105">
        <v>1200641</v>
      </c>
      <c r="C320" s="192" t="s">
        <v>675</v>
      </c>
      <c r="D320" s="192" t="s">
        <v>676</v>
      </c>
      <c r="E320" s="84"/>
      <c r="F320" s="84"/>
      <c r="G320" s="49">
        <v>6</v>
      </c>
      <c r="H320" s="49">
        <v>1</v>
      </c>
      <c r="I320" s="91">
        <v>2</v>
      </c>
      <c r="J320" s="96"/>
      <c r="K320" s="17"/>
      <c r="L320" s="17"/>
      <c r="M320" s="49">
        <v>3</v>
      </c>
      <c r="N320" s="49">
        <v>1</v>
      </c>
      <c r="O320" s="49">
        <v>0</v>
      </c>
      <c r="P320" s="49">
        <v>0</v>
      </c>
      <c r="Q320" s="49">
        <v>0</v>
      </c>
      <c r="R320" s="49"/>
      <c r="S320" s="49">
        <v>0</v>
      </c>
      <c r="T320" s="42"/>
      <c r="Y320" s="112"/>
    </row>
    <row r="321" spans="1:25">
      <c r="A321" s="49"/>
      <c r="B321" s="105">
        <v>1100641</v>
      </c>
      <c r="C321" s="192" t="s">
        <v>677</v>
      </c>
      <c r="D321" s="192" t="s">
        <v>678</v>
      </c>
      <c r="E321" s="84"/>
      <c r="F321" s="84"/>
      <c r="G321" s="49">
        <v>6</v>
      </c>
      <c r="H321" s="49">
        <v>1</v>
      </c>
      <c r="I321" s="91">
        <v>1</v>
      </c>
      <c r="J321" s="96"/>
      <c r="K321" s="17"/>
      <c r="L321" s="17"/>
      <c r="M321" s="49">
        <v>3</v>
      </c>
      <c r="N321" s="49">
        <v>1</v>
      </c>
      <c r="O321" s="49">
        <v>0</v>
      </c>
      <c r="P321" s="49">
        <v>0</v>
      </c>
      <c r="Q321" s="49">
        <v>0</v>
      </c>
      <c r="R321" s="49"/>
      <c r="S321" s="49">
        <v>0</v>
      </c>
      <c r="T321" s="42"/>
      <c r="Y321" s="112"/>
    </row>
    <row r="322" spans="1:25">
      <c r="A322" s="49"/>
      <c r="B322" s="105">
        <v>1200031</v>
      </c>
      <c r="C322" s="192" t="s">
        <v>679</v>
      </c>
      <c r="D322" s="192" t="s">
        <v>680</v>
      </c>
      <c r="E322" s="84"/>
      <c r="F322" s="84"/>
      <c r="G322" s="49">
        <v>6</v>
      </c>
      <c r="H322" s="49">
        <v>1</v>
      </c>
      <c r="I322" s="91">
        <v>2</v>
      </c>
      <c r="J322" s="107"/>
      <c r="K322" s="17"/>
      <c r="L322" s="17"/>
      <c r="M322" s="49">
        <v>3</v>
      </c>
      <c r="N322" s="49">
        <v>1</v>
      </c>
      <c r="O322" s="49">
        <v>0</v>
      </c>
      <c r="P322" s="49">
        <v>0</v>
      </c>
      <c r="Q322" s="49">
        <v>0</v>
      </c>
      <c r="R322" s="49"/>
      <c r="S322" s="49">
        <v>0</v>
      </c>
      <c r="T322" s="42"/>
      <c r="Y322" s="112"/>
    </row>
    <row r="323" spans="1:25">
      <c r="A323" s="49"/>
      <c r="B323" s="105">
        <v>1200101</v>
      </c>
      <c r="C323" s="192" t="s">
        <v>681</v>
      </c>
      <c r="D323" s="192" t="s">
        <v>682</v>
      </c>
      <c r="E323" s="84"/>
      <c r="F323" s="84"/>
      <c r="G323" s="49">
        <v>6</v>
      </c>
      <c r="H323" s="49">
        <v>1</v>
      </c>
      <c r="I323" s="91">
        <v>2</v>
      </c>
      <c r="J323" s="107"/>
      <c r="K323" s="17"/>
      <c r="L323" s="17"/>
      <c r="M323" s="49">
        <v>3</v>
      </c>
      <c r="N323" s="49">
        <v>1</v>
      </c>
      <c r="O323" s="49">
        <v>0</v>
      </c>
      <c r="P323" s="49">
        <v>0</v>
      </c>
      <c r="Q323" s="49">
        <v>0</v>
      </c>
      <c r="R323" s="49"/>
      <c r="S323" s="49">
        <v>0</v>
      </c>
      <c r="T323" s="42"/>
      <c r="Y323" s="112"/>
    </row>
    <row r="324" spans="1:25">
      <c r="A324" s="49"/>
      <c r="B324" s="105">
        <v>1100031</v>
      </c>
      <c r="C324" s="192" t="s">
        <v>683</v>
      </c>
      <c r="D324" s="192" t="s">
        <v>684</v>
      </c>
      <c r="E324" s="84"/>
      <c r="F324" s="84"/>
      <c r="G324" s="49">
        <v>6</v>
      </c>
      <c r="H324" s="49">
        <v>1</v>
      </c>
      <c r="I324" s="91">
        <v>1</v>
      </c>
      <c r="J324" s="107"/>
      <c r="K324" s="17"/>
      <c r="L324" s="17"/>
      <c r="M324" s="49">
        <v>3</v>
      </c>
      <c r="N324" s="49">
        <v>1</v>
      </c>
      <c r="O324" s="49">
        <v>0</v>
      </c>
      <c r="P324" s="49">
        <v>0</v>
      </c>
      <c r="Q324" s="49">
        <v>0</v>
      </c>
      <c r="R324" s="49"/>
      <c r="S324" s="49">
        <v>0</v>
      </c>
      <c r="T324" s="42"/>
      <c r="Y324" s="112"/>
    </row>
    <row r="325" spans="1:25">
      <c r="A325" s="49"/>
      <c r="B325" s="105">
        <v>1100101</v>
      </c>
      <c r="C325" s="193" t="s">
        <v>4006</v>
      </c>
      <c r="D325" s="192" t="s">
        <v>685</v>
      </c>
      <c r="E325" s="84"/>
      <c r="F325" s="84"/>
      <c r="G325" s="49">
        <v>6</v>
      </c>
      <c r="H325" s="49">
        <v>1</v>
      </c>
      <c r="I325" s="91">
        <v>1</v>
      </c>
      <c r="J325" s="107"/>
      <c r="K325" s="17"/>
      <c r="L325" s="17"/>
      <c r="M325" s="49">
        <v>3</v>
      </c>
      <c r="N325" s="49">
        <v>1</v>
      </c>
      <c r="O325" s="49">
        <v>0</v>
      </c>
      <c r="P325" s="49">
        <v>0</v>
      </c>
      <c r="Q325" s="49">
        <v>0</v>
      </c>
      <c r="R325" s="49"/>
      <c r="S325" s="49">
        <v>0</v>
      </c>
      <c r="T325" s="42"/>
      <c r="Y325" s="112"/>
    </row>
    <row r="326" spans="1:25">
      <c r="A326" s="49"/>
      <c r="B326" s="105">
        <v>1100681</v>
      </c>
      <c r="C326" s="192" t="s">
        <v>686</v>
      </c>
      <c r="D326" s="192" t="s">
        <v>687</v>
      </c>
      <c r="E326" s="84"/>
      <c r="F326" s="84"/>
      <c r="G326" s="49">
        <v>6</v>
      </c>
      <c r="H326" s="49">
        <v>1</v>
      </c>
      <c r="I326" s="91">
        <v>1</v>
      </c>
      <c r="J326" s="108"/>
      <c r="K326" s="17"/>
      <c r="L326" s="17"/>
      <c r="M326" s="49">
        <v>3</v>
      </c>
      <c r="N326" s="49">
        <v>1</v>
      </c>
      <c r="O326" s="49">
        <v>0</v>
      </c>
      <c r="P326" s="49">
        <v>0</v>
      </c>
      <c r="Q326" s="49">
        <v>0</v>
      </c>
      <c r="R326" s="49"/>
      <c r="S326" s="49">
        <v>0</v>
      </c>
      <c r="T326" s="42"/>
      <c r="Y326" s="112"/>
    </row>
    <row r="327" spans="1:25">
      <c r="A327" s="49"/>
      <c r="B327" s="105">
        <v>1100241</v>
      </c>
      <c r="C327" s="192" t="s">
        <v>688</v>
      </c>
      <c r="D327" s="192" t="s">
        <v>4042</v>
      </c>
      <c r="E327" s="84"/>
      <c r="F327" s="84"/>
      <c r="G327" s="49">
        <v>6</v>
      </c>
      <c r="H327" s="49">
        <v>1</v>
      </c>
      <c r="I327" s="91">
        <v>1</v>
      </c>
      <c r="J327" s="108"/>
      <c r="K327" s="17"/>
      <c r="L327" s="17"/>
      <c r="M327" s="49">
        <v>3</v>
      </c>
      <c r="N327" s="49">
        <v>1</v>
      </c>
      <c r="O327" s="49">
        <v>0</v>
      </c>
      <c r="P327" s="49">
        <v>0</v>
      </c>
      <c r="Q327" s="49">
        <v>0</v>
      </c>
      <c r="R327" s="49"/>
      <c r="S327" s="49">
        <v>0</v>
      </c>
      <c r="T327" s="42"/>
      <c r="Y327" s="112"/>
    </row>
    <row r="328" spans="1:25">
      <c r="A328" s="49"/>
      <c r="B328" s="105">
        <v>1200631</v>
      </c>
      <c r="C328" s="192" t="s">
        <v>4007</v>
      </c>
      <c r="D328" s="191" t="s">
        <v>4093</v>
      </c>
      <c r="E328" s="84"/>
      <c r="F328" s="84"/>
      <c r="G328" s="49">
        <v>6</v>
      </c>
      <c r="H328" s="49">
        <v>1</v>
      </c>
      <c r="I328" s="91">
        <v>2</v>
      </c>
      <c r="J328" s="108"/>
      <c r="K328" s="17"/>
      <c r="L328" s="17"/>
      <c r="M328" s="49">
        <v>3</v>
      </c>
      <c r="N328" s="49">
        <v>1</v>
      </c>
      <c r="O328" s="49">
        <v>0</v>
      </c>
      <c r="P328" s="49">
        <v>0</v>
      </c>
      <c r="Q328" s="49">
        <v>0</v>
      </c>
      <c r="R328" s="49"/>
      <c r="S328" s="49">
        <v>0</v>
      </c>
      <c r="T328" s="42"/>
      <c r="Y328" s="112"/>
    </row>
    <row r="329" spans="1:25">
      <c r="A329" s="49"/>
      <c r="B329" s="105">
        <v>1100041</v>
      </c>
      <c r="C329" s="192" t="s">
        <v>690</v>
      </c>
      <c r="D329" s="192" t="s">
        <v>4043</v>
      </c>
      <c r="E329" s="84"/>
      <c r="F329" s="84"/>
      <c r="G329" s="49">
        <v>6</v>
      </c>
      <c r="H329" s="49">
        <v>1</v>
      </c>
      <c r="I329" s="91">
        <v>1</v>
      </c>
      <c r="J329" s="108"/>
      <c r="K329" s="17"/>
      <c r="L329" s="17"/>
      <c r="M329" s="49">
        <v>3</v>
      </c>
      <c r="N329" s="49">
        <v>1</v>
      </c>
      <c r="O329" s="49">
        <v>0</v>
      </c>
      <c r="P329" s="49">
        <v>0</v>
      </c>
      <c r="Q329" s="49">
        <v>0</v>
      </c>
      <c r="R329" s="49"/>
      <c r="S329" s="49">
        <v>0</v>
      </c>
      <c r="T329" s="42"/>
      <c r="Y329" s="112"/>
    </row>
    <row r="330" spans="1:25">
      <c r="A330" s="49"/>
      <c r="B330" s="105">
        <v>1100631</v>
      </c>
      <c r="C330" s="192" t="s">
        <v>4007</v>
      </c>
      <c r="D330" s="191" t="s">
        <v>4094</v>
      </c>
      <c r="E330" s="84"/>
      <c r="F330" s="84"/>
      <c r="G330" s="49">
        <v>6</v>
      </c>
      <c r="H330" s="49">
        <v>1</v>
      </c>
      <c r="I330" s="91">
        <v>1</v>
      </c>
      <c r="J330" s="108"/>
      <c r="K330" s="17"/>
      <c r="L330" s="17"/>
      <c r="M330" s="49">
        <v>3</v>
      </c>
      <c r="N330" s="49">
        <v>1</v>
      </c>
      <c r="O330" s="49">
        <v>0</v>
      </c>
      <c r="P330" s="49">
        <v>0</v>
      </c>
      <c r="Q330" s="49">
        <v>0</v>
      </c>
      <c r="R330" s="49"/>
      <c r="S330" s="49">
        <v>0</v>
      </c>
      <c r="T330" s="42"/>
      <c r="Y330" s="112"/>
    </row>
    <row r="331" spans="1:25">
      <c r="A331" s="49"/>
      <c r="B331" s="105">
        <v>1200041</v>
      </c>
      <c r="C331" s="192" t="s">
        <v>690</v>
      </c>
      <c r="D331" s="192" t="s">
        <v>4044</v>
      </c>
      <c r="E331" s="84"/>
      <c r="F331" s="84"/>
      <c r="G331" s="49">
        <v>6</v>
      </c>
      <c r="H331" s="49">
        <v>1</v>
      </c>
      <c r="I331" s="91">
        <v>2</v>
      </c>
      <c r="J331" s="108"/>
      <c r="K331" s="17"/>
      <c r="L331" s="17"/>
      <c r="M331" s="49">
        <v>3</v>
      </c>
      <c r="N331" s="49">
        <v>1</v>
      </c>
      <c r="O331" s="49">
        <v>0</v>
      </c>
      <c r="P331" s="49">
        <v>0</v>
      </c>
      <c r="Q331" s="49">
        <v>0</v>
      </c>
      <c r="R331" s="49"/>
      <c r="S331" s="49">
        <v>0</v>
      </c>
      <c r="T331" s="42"/>
      <c r="Y331" s="112"/>
    </row>
    <row r="332" spans="1:25">
      <c r="A332" s="49"/>
      <c r="B332" s="105">
        <v>1200801</v>
      </c>
      <c r="C332" s="192" t="s">
        <v>691</v>
      </c>
      <c r="D332" s="192" t="s">
        <v>4045</v>
      </c>
      <c r="E332" s="84"/>
      <c r="F332" s="84"/>
      <c r="G332" s="49">
        <v>6</v>
      </c>
      <c r="H332" s="49">
        <v>1</v>
      </c>
      <c r="I332" s="91">
        <v>2</v>
      </c>
      <c r="J332" s="108"/>
      <c r="K332" s="17"/>
      <c r="L332" s="17"/>
      <c r="M332" s="49">
        <v>3</v>
      </c>
      <c r="N332" s="49">
        <v>1</v>
      </c>
      <c r="O332" s="49">
        <v>0</v>
      </c>
      <c r="P332" s="49">
        <v>0</v>
      </c>
      <c r="Q332" s="49">
        <v>0</v>
      </c>
      <c r="R332" s="49"/>
      <c r="S332" s="49">
        <v>0</v>
      </c>
      <c r="T332" s="42"/>
      <c r="Y332" s="112"/>
    </row>
    <row r="333" spans="1:25">
      <c r="A333" s="49"/>
      <c r="B333" s="105">
        <v>1200011</v>
      </c>
      <c r="C333" s="192" t="s">
        <v>692</v>
      </c>
      <c r="D333" s="192" t="s">
        <v>4046</v>
      </c>
      <c r="E333" s="84"/>
      <c r="F333" s="84"/>
      <c r="G333" s="49">
        <v>6</v>
      </c>
      <c r="H333" s="49">
        <v>1</v>
      </c>
      <c r="I333" s="91">
        <v>2</v>
      </c>
      <c r="J333" s="108"/>
      <c r="K333" s="17"/>
      <c r="L333" s="17"/>
      <c r="M333" s="49">
        <v>3</v>
      </c>
      <c r="N333" s="49">
        <v>1</v>
      </c>
      <c r="O333" s="49">
        <v>0</v>
      </c>
      <c r="P333" s="49">
        <v>0</v>
      </c>
      <c r="Q333" s="49">
        <v>0</v>
      </c>
      <c r="R333" s="49"/>
      <c r="S333" s="49">
        <v>0</v>
      </c>
      <c r="T333" s="42"/>
      <c r="Y333" s="112"/>
    </row>
    <row r="334" spans="1:25">
      <c r="A334" s="49"/>
      <c r="B334" s="105">
        <v>1100801</v>
      </c>
      <c r="C334" s="192" t="s">
        <v>691</v>
      </c>
      <c r="D334" s="192" t="s">
        <v>4047</v>
      </c>
      <c r="E334" s="84"/>
      <c r="F334" s="84"/>
      <c r="G334" s="49">
        <v>6</v>
      </c>
      <c r="H334" s="49">
        <v>1</v>
      </c>
      <c r="I334" s="91">
        <v>1</v>
      </c>
      <c r="J334" s="108"/>
      <c r="K334" s="17"/>
      <c r="L334" s="17"/>
      <c r="M334" s="49">
        <v>3</v>
      </c>
      <c r="N334" s="49">
        <v>1</v>
      </c>
      <c r="O334" s="49">
        <v>0</v>
      </c>
      <c r="P334" s="49">
        <v>0</v>
      </c>
      <c r="Q334" s="49">
        <v>0</v>
      </c>
      <c r="R334" s="49"/>
      <c r="S334" s="49">
        <v>0</v>
      </c>
      <c r="T334" s="42"/>
      <c r="Y334" s="112"/>
    </row>
    <row r="335" spans="1:25">
      <c r="A335" s="49"/>
      <c r="B335" s="105">
        <v>1100011</v>
      </c>
      <c r="C335" s="192" t="s">
        <v>692</v>
      </c>
      <c r="D335" s="192" t="s">
        <v>4048</v>
      </c>
      <c r="E335" s="84"/>
      <c r="F335" s="84"/>
      <c r="G335" s="49">
        <v>6</v>
      </c>
      <c r="H335" s="49">
        <v>1</v>
      </c>
      <c r="I335" s="91">
        <v>1</v>
      </c>
      <c r="J335" s="108"/>
      <c r="K335" s="17"/>
      <c r="L335" s="17"/>
      <c r="M335" s="49">
        <v>3</v>
      </c>
      <c r="N335" s="49">
        <v>1</v>
      </c>
      <c r="O335" s="49">
        <v>0</v>
      </c>
      <c r="P335" s="49">
        <v>0</v>
      </c>
      <c r="Q335" s="49">
        <v>0</v>
      </c>
      <c r="R335" s="49"/>
      <c r="S335" s="49">
        <v>0</v>
      </c>
      <c r="T335" s="42"/>
      <c r="Y335" s="112"/>
    </row>
    <row r="336" spans="1:25">
      <c r="A336" s="49"/>
      <c r="B336" s="105">
        <v>1200701</v>
      </c>
      <c r="C336" s="192" t="s">
        <v>693</v>
      </c>
      <c r="D336" s="192" t="s">
        <v>4049</v>
      </c>
      <c r="E336" s="84"/>
      <c r="F336" s="84"/>
      <c r="G336" s="49">
        <v>6</v>
      </c>
      <c r="H336" s="49">
        <v>1</v>
      </c>
      <c r="I336" s="91">
        <v>2</v>
      </c>
      <c r="J336" s="108"/>
      <c r="K336" s="17"/>
      <c r="L336" s="17"/>
      <c r="M336" s="49">
        <v>3</v>
      </c>
      <c r="N336" s="49">
        <v>1</v>
      </c>
      <c r="O336" s="49">
        <v>0</v>
      </c>
      <c r="P336" s="49">
        <v>0</v>
      </c>
      <c r="Q336" s="49">
        <v>0</v>
      </c>
      <c r="R336" s="49"/>
      <c r="S336" s="49">
        <v>0</v>
      </c>
      <c r="T336" s="42"/>
      <c r="Y336" s="112"/>
    </row>
    <row r="337" spans="1:25">
      <c r="A337" s="49"/>
      <c r="B337" s="105">
        <v>1200731</v>
      </c>
      <c r="C337" s="193" t="s">
        <v>4008</v>
      </c>
      <c r="D337" s="188" t="s">
        <v>694</v>
      </c>
      <c r="E337" s="84"/>
      <c r="F337" s="84"/>
      <c r="G337" s="49">
        <v>6</v>
      </c>
      <c r="H337" s="49">
        <v>1</v>
      </c>
      <c r="I337" s="91">
        <v>2</v>
      </c>
      <c r="J337" s="108"/>
      <c r="K337" s="17"/>
      <c r="L337" s="17"/>
      <c r="M337" s="49">
        <v>3</v>
      </c>
      <c r="N337" s="49">
        <v>1</v>
      </c>
      <c r="O337" s="49">
        <v>0</v>
      </c>
      <c r="P337" s="49">
        <v>0</v>
      </c>
      <c r="Q337" s="49">
        <v>0</v>
      </c>
      <c r="R337" s="49"/>
      <c r="S337" s="49">
        <v>0</v>
      </c>
      <c r="T337" s="42"/>
      <c r="Y337" s="112"/>
    </row>
    <row r="338" spans="1:25">
      <c r="A338" s="49"/>
      <c r="B338" s="105">
        <v>1100731</v>
      </c>
      <c r="C338" s="193" t="s">
        <v>4008</v>
      </c>
      <c r="D338" s="188" t="s">
        <v>694</v>
      </c>
      <c r="E338" s="84"/>
      <c r="F338" s="84"/>
      <c r="G338" s="49">
        <v>6</v>
      </c>
      <c r="H338" s="49">
        <v>1</v>
      </c>
      <c r="I338" s="91">
        <v>1</v>
      </c>
      <c r="J338" s="108"/>
      <c r="K338" s="17"/>
      <c r="L338" s="17"/>
      <c r="M338" s="49">
        <v>3</v>
      </c>
      <c r="N338" s="49">
        <v>1</v>
      </c>
      <c r="O338" s="49">
        <v>0</v>
      </c>
      <c r="P338" s="49">
        <v>0</v>
      </c>
      <c r="Q338" s="49">
        <v>0</v>
      </c>
      <c r="R338" s="49"/>
      <c r="S338" s="49">
        <v>0</v>
      </c>
      <c r="T338" s="42"/>
      <c r="Y338" s="112"/>
    </row>
    <row r="339" spans="1:25">
      <c r="A339" s="49"/>
      <c r="B339" s="105">
        <v>1100061</v>
      </c>
      <c r="C339" s="192" t="s">
        <v>556</v>
      </c>
      <c r="D339" s="191" t="s">
        <v>4050</v>
      </c>
      <c r="E339" s="84"/>
      <c r="F339" s="84"/>
      <c r="G339" s="49">
        <v>6</v>
      </c>
      <c r="H339" s="49">
        <v>1</v>
      </c>
      <c r="I339" s="91">
        <v>1</v>
      </c>
      <c r="J339" s="108"/>
      <c r="K339" s="17"/>
      <c r="L339" s="17"/>
      <c r="M339" s="49">
        <v>3</v>
      </c>
      <c r="N339" s="49">
        <v>1</v>
      </c>
      <c r="O339" s="49">
        <v>0</v>
      </c>
      <c r="P339" s="49">
        <v>0</v>
      </c>
      <c r="Q339" s="49">
        <v>0</v>
      </c>
      <c r="R339" s="49"/>
      <c r="S339" s="49">
        <v>0</v>
      </c>
      <c r="T339" s="42"/>
      <c r="Y339" s="112"/>
    </row>
    <row r="340" spans="1:25">
      <c r="A340" s="49"/>
      <c r="B340" s="105">
        <v>1100021</v>
      </c>
      <c r="C340" s="192" t="s">
        <v>4009</v>
      </c>
      <c r="D340" s="188" t="s">
        <v>4051</v>
      </c>
      <c r="E340" s="84"/>
      <c r="F340" s="84"/>
      <c r="G340" s="49">
        <v>6</v>
      </c>
      <c r="H340" s="49">
        <v>1</v>
      </c>
      <c r="I340" s="91">
        <v>1</v>
      </c>
      <c r="J340" s="108"/>
      <c r="K340" s="17"/>
      <c r="L340" s="17"/>
      <c r="M340" s="49">
        <v>3</v>
      </c>
      <c r="N340" s="49">
        <v>1</v>
      </c>
      <c r="O340" s="49">
        <v>0</v>
      </c>
      <c r="P340" s="49">
        <v>0</v>
      </c>
      <c r="Q340" s="49">
        <v>0</v>
      </c>
      <c r="R340" s="49"/>
      <c r="S340" s="49">
        <v>0</v>
      </c>
      <c r="T340" s="42"/>
      <c r="Y340" s="112"/>
    </row>
    <row r="341" spans="1:25">
      <c r="A341" s="49"/>
      <c r="B341" s="105">
        <v>1100251</v>
      </c>
      <c r="C341" s="192" t="s">
        <v>695</v>
      </c>
      <c r="D341" s="188" t="s">
        <v>4052</v>
      </c>
      <c r="E341" s="84"/>
      <c r="F341" s="84"/>
      <c r="G341" s="49">
        <v>6</v>
      </c>
      <c r="H341" s="49">
        <v>1</v>
      </c>
      <c r="I341" s="91">
        <v>1</v>
      </c>
      <c r="J341" s="108"/>
      <c r="K341" s="17"/>
      <c r="L341" s="17"/>
      <c r="M341" s="49">
        <v>3</v>
      </c>
      <c r="N341" s="49">
        <v>1</v>
      </c>
      <c r="O341" s="49">
        <v>0</v>
      </c>
      <c r="P341" s="49">
        <v>0</v>
      </c>
      <c r="Q341" s="49">
        <v>0</v>
      </c>
      <c r="R341" s="49"/>
      <c r="S341" s="49">
        <v>0</v>
      </c>
      <c r="T341" s="42"/>
      <c r="Y341" s="112"/>
    </row>
    <row r="342" spans="1:25">
      <c r="A342" s="49"/>
      <c r="B342" s="105">
        <v>1200061</v>
      </c>
      <c r="C342" s="192" t="s">
        <v>556</v>
      </c>
      <c r="D342" s="188" t="s">
        <v>4053</v>
      </c>
      <c r="E342" s="84"/>
      <c r="F342" s="84"/>
      <c r="G342" s="49">
        <v>6</v>
      </c>
      <c r="H342" s="49">
        <v>1</v>
      </c>
      <c r="I342" s="91">
        <v>2</v>
      </c>
      <c r="J342" s="108"/>
      <c r="K342" s="17"/>
      <c r="L342" s="17"/>
      <c r="M342" s="49">
        <v>3</v>
      </c>
      <c r="N342" s="49">
        <v>1</v>
      </c>
      <c r="O342" s="49">
        <v>0</v>
      </c>
      <c r="P342" s="49">
        <v>0</v>
      </c>
      <c r="Q342" s="49">
        <v>0</v>
      </c>
      <c r="R342" s="49"/>
      <c r="S342" s="49">
        <v>0</v>
      </c>
      <c r="T342" s="42"/>
      <c r="Y342" s="112"/>
    </row>
    <row r="343" spans="1:25">
      <c r="A343" s="49"/>
      <c r="B343" s="105">
        <v>1200021</v>
      </c>
      <c r="C343" s="192" t="s">
        <v>696</v>
      </c>
      <c r="D343" s="188" t="s">
        <v>4054</v>
      </c>
      <c r="E343" s="84"/>
      <c r="F343" s="84"/>
      <c r="G343" s="49">
        <v>6</v>
      </c>
      <c r="H343" s="49">
        <v>1</v>
      </c>
      <c r="I343" s="91">
        <v>2</v>
      </c>
      <c r="J343" s="108"/>
      <c r="K343" s="17"/>
      <c r="L343" s="17"/>
      <c r="M343" s="49">
        <v>3</v>
      </c>
      <c r="N343" s="49">
        <v>1</v>
      </c>
      <c r="O343" s="49">
        <v>0</v>
      </c>
      <c r="P343" s="49">
        <v>0</v>
      </c>
      <c r="Q343" s="49">
        <v>0</v>
      </c>
      <c r="R343" s="49"/>
      <c r="S343" s="49">
        <v>0</v>
      </c>
      <c r="T343" s="42"/>
      <c r="Y343" s="112"/>
    </row>
    <row r="344" spans="1:25">
      <c r="A344" s="113"/>
      <c r="B344" s="105">
        <v>1200241</v>
      </c>
      <c r="C344" s="192" t="s">
        <v>697</v>
      </c>
      <c r="D344" s="188" t="s">
        <v>4055</v>
      </c>
      <c r="E344" s="114"/>
      <c r="F344" s="114"/>
      <c r="G344" s="113">
        <v>6</v>
      </c>
      <c r="H344" s="113">
        <v>1</v>
      </c>
      <c r="I344" s="127">
        <v>2</v>
      </c>
      <c r="J344" s="128"/>
      <c r="K344" s="129"/>
      <c r="L344" s="129"/>
      <c r="M344" s="113">
        <v>3</v>
      </c>
      <c r="N344" s="113">
        <v>1</v>
      </c>
      <c r="O344" s="113">
        <v>0</v>
      </c>
      <c r="P344" s="113">
        <v>0</v>
      </c>
      <c r="Q344" s="113">
        <v>0</v>
      </c>
      <c r="R344" s="113"/>
      <c r="S344" s="113">
        <v>0</v>
      </c>
      <c r="T344" s="42"/>
      <c r="Y344" s="112"/>
    </row>
    <row r="345" spans="1:25" s="42" customFormat="1">
      <c r="A345" s="49"/>
      <c r="B345" s="105">
        <v>1001121</v>
      </c>
      <c r="C345" s="188" t="s">
        <v>698</v>
      </c>
      <c r="D345" s="188" t="s">
        <v>699</v>
      </c>
      <c r="E345" s="84"/>
      <c r="F345" s="84"/>
      <c r="G345" s="49">
        <v>6</v>
      </c>
      <c r="H345" s="49">
        <v>1</v>
      </c>
      <c r="I345" s="91">
        <v>0</v>
      </c>
      <c r="J345" s="91"/>
      <c r="K345" s="17"/>
      <c r="L345" s="17"/>
      <c r="M345" s="49">
        <v>3</v>
      </c>
      <c r="N345" s="49">
        <v>1</v>
      </c>
      <c r="O345" s="49">
        <v>0</v>
      </c>
      <c r="P345" s="49">
        <v>0</v>
      </c>
      <c r="Q345" s="49">
        <v>0</v>
      </c>
      <c r="R345" s="49"/>
      <c r="S345" s="49">
        <v>0</v>
      </c>
      <c r="X345" s="44"/>
      <c r="Y345" s="112"/>
    </row>
    <row r="346" spans="1:25" s="42" customFormat="1">
      <c r="A346" s="115"/>
      <c r="B346" s="105">
        <v>1100311</v>
      </c>
      <c r="C346" s="185" t="s">
        <v>700</v>
      </c>
      <c r="D346" s="188" t="s">
        <v>4041</v>
      </c>
      <c r="E346" s="116"/>
      <c r="F346" s="116"/>
      <c r="G346" s="115">
        <v>6</v>
      </c>
      <c r="H346" s="115">
        <v>1</v>
      </c>
      <c r="I346" s="108">
        <v>1</v>
      </c>
      <c r="J346" s="108"/>
      <c r="K346" s="130"/>
      <c r="L346" s="130"/>
      <c r="M346" s="49">
        <v>3</v>
      </c>
      <c r="N346" s="49">
        <v>1</v>
      </c>
      <c r="O346" s="49">
        <v>0</v>
      </c>
      <c r="P346" s="49">
        <v>0</v>
      </c>
      <c r="Q346" s="49">
        <v>0</v>
      </c>
      <c r="R346" s="49"/>
      <c r="S346" s="49">
        <v>0</v>
      </c>
      <c r="X346" s="44"/>
      <c r="Y346" s="112"/>
    </row>
    <row r="347" spans="1:25" s="42" customFormat="1">
      <c r="A347" s="115"/>
      <c r="B347" s="105">
        <v>1100361</v>
      </c>
      <c r="C347" s="185" t="s">
        <v>701</v>
      </c>
      <c r="D347" s="188" t="s">
        <v>4041</v>
      </c>
      <c r="E347" s="116"/>
      <c r="F347" s="116"/>
      <c r="G347" s="115">
        <v>6</v>
      </c>
      <c r="H347" s="115">
        <v>1</v>
      </c>
      <c r="I347" s="108">
        <v>1</v>
      </c>
      <c r="J347" s="108"/>
      <c r="K347" s="130"/>
      <c r="L347" s="130"/>
      <c r="M347" s="49">
        <v>3</v>
      </c>
      <c r="N347" s="49">
        <v>1</v>
      </c>
      <c r="O347" s="49">
        <v>0</v>
      </c>
      <c r="P347" s="49">
        <v>0</v>
      </c>
      <c r="Q347" s="49">
        <v>0</v>
      </c>
      <c r="R347" s="49"/>
      <c r="S347" s="49">
        <v>0</v>
      </c>
      <c r="X347" s="44"/>
      <c r="Y347" s="112"/>
    </row>
    <row r="348" spans="1:25" s="42" customFormat="1">
      <c r="A348" s="115"/>
      <c r="B348" s="105">
        <v>1100441</v>
      </c>
      <c r="C348" s="185" t="s">
        <v>702</v>
      </c>
      <c r="D348" s="188" t="s">
        <v>4041</v>
      </c>
      <c r="E348" s="116"/>
      <c r="F348" s="116"/>
      <c r="G348" s="115">
        <v>6</v>
      </c>
      <c r="H348" s="115">
        <v>1</v>
      </c>
      <c r="I348" s="108">
        <v>1</v>
      </c>
      <c r="J348" s="108"/>
      <c r="K348" s="130"/>
      <c r="L348" s="130"/>
      <c r="M348" s="113">
        <v>3</v>
      </c>
      <c r="N348" s="113">
        <v>1</v>
      </c>
      <c r="O348" s="113">
        <v>0</v>
      </c>
      <c r="P348" s="113">
        <v>0</v>
      </c>
      <c r="Q348" s="113">
        <v>0</v>
      </c>
      <c r="R348" s="113"/>
      <c r="S348" s="113">
        <v>0</v>
      </c>
      <c r="X348" s="44"/>
      <c r="Y348" s="112"/>
    </row>
    <row r="349" spans="1:25" s="42" customFormat="1">
      <c r="A349" s="115"/>
      <c r="B349" s="105">
        <v>1100521</v>
      </c>
      <c r="C349" s="185" t="s">
        <v>703</v>
      </c>
      <c r="D349" s="188" t="s">
        <v>4041</v>
      </c>
      <c r="E349" s="116"/>
      <c r="F349" s="116"/>
      <c r="G349" s="115">
        <v>6</v>
      </c>
      <c r="H349" s="115">
        <v>1</v>
      </c>
      <c r="I349" s="108">
        <v>1</v>
      </c>
      <c r="J349" s="108"/>
      <c r="K349" s="130"/>
      <c r="L349" s="130"/>
      <c r="M349" s="49">
        <v>3</v>
      </c>
      <c r="N349" s="49">
        <v>1</v>
      </c>
      <c r="O349" s="49">
        <v>0</v>
      </c>
      <c r="P349" s="49">
        <v>0</v>
      </c>
      <c r="Q349" s="49">
        <v>0</v>
      </c>
      <c r="R349" s="49"/>
      <c r="S349" s="49">
        <v>0</v>
      </c>
      <c r="X349" s="44"/>
      <c r="Y349" s="112"/>
    </row>
    <row r="350" spans="1:25" s="43" customFormat="1">
      <c r="A350" s="117"/>
      <c r="B350" s="216">
        <v>1100751</v>
      </c>
      <c r="C350" s="218" t="s">
        <v>704</v>
      </c>
      <c r="D350" s="191" t="s">
        <v>4110</v>
      </c>
      <c r="E350" s="119"/>
      <c r="F350" s="119"/>
      <c r="G350" s="117">
        <v>6</v>
      </c>
      <c r="H350" s="117">
        <v>1</v>
      </c>
      <c r="I350" s="131">
        <v>1</v>
      </c>
      <c r="J350" s="131"/>
      <c r="K350" s="132"/>
      <c r="L350" s="132"/>
      <c r="M350" s="55">
        <v>3</v>
      </c>
      <c r="N350" s="55">
        <v>1</v>
      </c>
      <c r="O350" s="55">
        <v>0</v>
      </c>
      <c r="P350" s="55">
        <v>0</v>
      </c>
      <c r="Q350" s="55">
        <v>0</v>
      </c>
      <c r="R350" s="55"/>
      <c r="S350" s="55">
        <v>0</v>
      </c>
      <c r="X350" s="41"/>
      <c r="Y350" s="112"/>
    </row>
    <row r="351" spans="1:25" s="43" customFormat="1">
      <c r="A351" s="117"/>
      <c r="B351" s="216">
        <v>1100761</v>
      </c>
      <c r="C351" s="218" t="s">
        <v>4108</v>
      </c>
      <c r="D351" s="191" t="s">
        <v>4109</v>
      </c>
      <c r="E351" s="119"/>
      <c r="F351" s="119"/>
      <c r="G351" s="117">
        <v>6</v>
      </c>
      <c r="H351" s="117">
        <v>1</v>
      </c>
      <c r="I351" s="131">
        <v>1</v>
      </c>
      <c r="J351" s="131"/>
      <c r="K351" s="132"/>
      <c r="L351" s="132"/>
      <c r="M351" s="55">
        <v>3</v>
      </c>
      <c r="N351" s="55">
        <v>1</v>
      </c>
      <c r="O351" s="55">
        <v>0</v>
      </c>
      <c r="P351" s="55">
        <v>0</v>
      </c>
      <c r="Q351" s="55">
        <v>0</v>
      </c>
      <c r="R351" s="55"/>
      <c r="S351" s="55">
        <v>0</v>
      </c>
      <c r="X351" s="41"/>
      <c r="Y351" s="112"/>
    </row>
    <row r="352" spans="1:25" s="43" customFormat="1">
      <c r="A352" s="117"/>
      <c r="B352" s="112">
        <v>1200481</v>
      </c>
      <c r="C352" s="194" t="s">
        <v>706</v>
      </c>
      <c r="D352" s="195"/>
      <c r="E352" s="119"/>
      <c r="F352" s="119"/>
      <c r="G352" s="117">
        <v>6</v>
      </c>
      <c r="H352" s="117">
        <v>1</v>
      </c>
      <c r="I352" s="131">
        <v>2</v>
      </c>
      <c r="J352" s="131"/>
      <c r="K352" s="132"/>
      <c r="L352" s="132"/>
      <c r="M352" s="133">
        <v>3</v>
      </c>
      <c r="N352" s="133">
        <v>1</v>
      </c>
      <c r="O352" s="133">
        <v>0</v>
      </c>
      <c r="P352" s="133">
        <v>0</v>
      </c>
      <c r="Q352" s="133">
        <v>0</v>
      </c>
      <c r="R352" s="133"/>
      <c r="S352" s="133">
        <v>0</v>
      </c>
      <c r="X352" s="41"/>
      <c r="Y352" s="112"/>
    </row>
    <row r="353" spans="1:25" s="43" customFormat="1">
      <c r="A353" s="117" t="s">
        <v>48</v>
      </c>
      <c r="B353" s="112">
        <v>1200551</v>
      </c>
      <c r="C353" s="194" t="s">
        <v>4010</v>
      </c>
      <c r="D353" s="195"/>
      <c r="E353" s="119"/>
      <c r="F353" s="119"/>
      <c r="G353" s="117">
        <v>6</v>
      </c>
      <c r="H353" s="117">
        <v>1</v>
      </c>
      <c r="I353" s="131">
        <v>2</v>
      </c>
      <c r="J353" s="131"/>
      <c r="K353" s="132"/>
      <c r="L353" s="132"/>
      <c r="M353" s="55">
        <v>3</v>
      </c>
      <c r="N353" s="55">
        <v>1</v>
      </c>
      <c r="O353" s="55">
        <v>0</v>
      </c>
      <c r="P353" s="55">
        <v>0</v>
      </c>
      <c r="Q353" s="55">
        <v>0</v>
      </c>
      <c r="R353" s="55"/>
      <c r="S353" s="55">
        <v>0</v>
      </c>
      <c r="X353" s="41"/>
      <c r="Y353" s="112"/>
    </row>
    <row r="354" spans="1:25" s="43" customFormat="1">
      <c r="A354" s="117" t="s">
        <v>48</v>
      </c>
      <c r="B354" s="112">
        <v>1200561</v>
      </c>
      <c r="C354" s="194" t="s">
        <v>707</v>
      </c>
      <c r="D354" s="195"/>
      <c r="E354" s="119"/>
      <c r="F354" s="119"/>
      <c r="G354" s="117">
        <v>6</v>
      </c>
      <c r="H354" s="117">
        <v>1</v>
      </c>
      <c r="I354" s="131">
        <v>2</v>
      </c>
      <c r="J354" s="131"/>
      <c r="K354" s="132"/>
      <c r="L354" s="132"/>
      <c r="M354" s="55">
        <v>3</v>
      </c>
      <c r="N354" s="55">
        <v>1</v>
      </c>
      <c r="O354" s="55">
        <v>0</v>
      </c>
      <c r="P354" s="55">
        <v>0</v>
      </c>
      <c r="Q354" s="55">
        <v>0</v>
      </c>
      <c r="R354" s="55"/>
      <c r="S354" s="55">
        <v>0</v>
      </c>
      <c r="X354" s="41"/>
      <c r="Y354" s="112"/>
    </row>
    <row r="355" spans="1:25" s="43" customFormat="1">
      <c r="A355" s="117" t="s">
        <v>48</v>
      </c>
      <c r="B355" s="112">
        <v>1200571</v>
      </c>
      <c r="C355" s="196" t="s">
        <v>708</v>
      </c>
      <c r="D355" s="195"/>
      <c r="E355" s="119"/>
      <c r="F355" s="119"/>
      <c r="G355" s="117">
        <v>6</v>
      </c>
      <c r="H355" s="117">
        <v>1</v>
      </c>
      <c r="I355" s="131">
        <v>2</v>
      </c>
      <c r="J355" s="131"/>
      <c r="K355" s="132"/>
      <c r="L355" s="132"/>
      <c r="M355" s="55">
        <v>3</v>
      </c>
      <c r="N355" s="55">
        <v>1</v>
      </c>
      <c r="O355" s="55">
        <v>0</v>
      </c>
      <c r="P355" s="55">
        <v>0</v>
      </c>
      <c r="Q355" s="55">
        <v>0</v>
      </c>
      <c r="R355" s="55"/>
      <c r="S355" s="55">
        <v>0</v>
      </c>
      <c r="X355" s="41"/>
      <c r="Y355" s="112"/>
    </row>
    <row r="356" spans="1:25" s="43" customFormat="1">
      <c r="A356" s="117" t="s">
        <v>48</v>
      </c>
      <c r="B356" s="112">
        <v>1200581</v>
      </c>
      <c r="C356" s="194" t="s">
        <v>709</v>
      </c>
      <c r="D356" s="195"/>
      <c r="E356" s="119"/>
      <c r="F356" s="119"/>
      <c r="G356" s="117">
        <v>6</v>
      </c>
      <c r="H356" s="117">
        <v>1</v>
      </c>
      <c r="I356" s="131">
        <v>2</v>
      </c>
      <c r="J356" s="131"/>
      <c r="K356" s="132"/>
      <c r="L356" s="132"/>
      <c r="M356" s="133">
        <v>3</v>
      </c>
      <c r="N356" s="133">
        <v>1</v>
      </c>
      <c r="O356" s="133">
        <v>0</v>
      </c>
      <c r="P356" s="133">
        <v>0</v>
      </c>
      <c r="Q356" s="133">
        <v>0</v>
      </c>
      <c r="R356" s="133"/>
      <c r="S356" s="133">
        <v>0</v>
      </c>
      <c r="X356" s="41"/>
      <c r="Y356" s="112"/>
    </row>
    <row r="357" spans="1:25" s="43" customFormat="1">
      <c r="A357" s="117"/>
      <c r="B357" s="112">
        <v>1200601</v>
      </c>
      <c r="C357" s="194" t="s">
        <v>710</v>
      </c>
      <c r="D357" s="195"/>
      <c r="E357" s="119"/>
      <c r="F357" s="119"/>
      <c r="G357" s="117">
        <v>6</v>
      </c>
      <c r="H357" s="117">
        <v>1</v>
      </c>
      <c r="I357" s="131">
        <v>2</v>
      </c>
      <c r="J357" s="131"/>
      <c r="K357" s="132"/>
      <c r="L357" s="132"/>
      <c r="M357" s="55">
        <v>3</v>
      </c>
      <c r="N357" s="55">
        <v>1</v>
      </c>
      <c r="O357" s="55">
        <v>0</v>
      </c>
      <c r="P357" s="55">
        <v>0</v>
      </c>
      <c r="Q357" s="55">
        <v>0</v>
      </c>
      <c r="R357" s="55"/>
      <c r="S357" s="55">
        <v>0</v>
      </c>
      <c r="X357" s="41"/>
      <c r="Y357" s="112"/>
    </row>
    <row r="358" spans="1:25" s="43" customFormat="1">
      <c r="A358" s="117"/>
      <c r="B358" s="112">
        <v>1200711</v>
      </c>
      <c r="C358" s="196" t="s">
        <v>4011</v>
      </c>
      <c r="D358" s="189" t="s">
        <v>4041</v>
      </c>
      <c r="E358" s="119"/>
      <c r="F358" s="119"/>
      <c r="G358" s="117">
        <v>6</v>
      </c>
      <c r="H358" s="117">
        <v>1</v>
      </c>
      <c r="I358" s="131">
        <v>2</v>
      </c>
      <c r="J358" s="131"/>
      <c r="K358" s="132"/>
      <c r="L358" s="132"/>
      <c r="M358" s="55">
        <v>3</v>
      </c>
      <c r="N358" s="55">
        <v>1</v>
      </c>
      <c r="O358" s="55">
        <v>0</v>
      </c>
      <c r="P358" s="55">
        <v>0</v>
      </c>
      <c r="Q358" s="55">
        <v>0</v>
      </c>
      <c r="R358" s="55"/>
      <c r="S358" s="55">
        <v>0</v>
      </c>
      <c r="X358" s="41"/>
      <c r="Y358" s="112"/>
    </row>
    <row r="359" spans="1:25" s="43" customFormat="1">
      <c r="A359" s="117"/>
      <c r="B359" s="216">
        <v>1200751</v>
      </c>
      <c r="C359" s="218" t="s">
        <v>4104</v>
      </c>
      <c r="D359" s="191" t="s">
        <v>4105</v>
      </c>
      <c r="E359" s="119"/>
      <c r="F359" s="119"/>
      <c r="G359" s="117">
        <v>6</v>
      </c>
      <c r="H359" s="117">
        <v>1</v>
      </c>
      <c r="I359" s="131">
        <v>2</v>
      </c>
      <c r="J359" s="131"/>
      <c r="K359" s="132"/>
      <c r="L359" s="132"/>
      <c r="M359" s="133">
        <v>3</v>
      </c>
      <c r="N359" s="133">
        <v>1</v>
      </c>
      <c r="O359" s="133">
        <v>0</v>
      </c>
      <c r="P359" s="133">
        <v>0</v>
      </c>
      <c r="Q359" s="133">
        <v>0</v>
      </c>
      <c r="R359" s="133"/>
      <c r="S359" s="133">
        <v>0</v>
      </c>
      <c r="X359" s="41"/>
      <c r="Y359" s="112"/>
    </row>
    <row r="360" spans="1:25" s="43" customFormat="1">
      <c r="A360" s="117"/>
      <c r="B360" s="216">
        <v>1200761</v>
      </c>
      <c r="C360" s="218" t="s">
        <v>705</v>
      </c>
      <c r="D360" s="191" t="s">
        <v>4106</v>
      </c>
      <c r="E360" s="119"/>
      <c r="F360" s="119"/>
      <c r="G360" s="117">
        <v>6</v>
      </c>
      <c r="H360" s="117">
        <v>1</v>
      </c>
      <c r="I360" s="131">
        <v>2</v>
      </c>
      <c r="J360" s="131"/>
      <c r="K360" s="132"/>
      <c r="L360" s="132"/>
      <c r="M360" s="55">
        <v>3</v>
      </c>
      <c r="N360" s="55">
        <v>1</v>
      </c>
      <c r="O360" s="55">
        <v>0</v>
      </c>
      <c r="P360" s="55">
        <v>0</v>
      </c>
      <c r="Q360" s="55">
        <v>0</v>
      </c>
      <c r="R360" s="55"/>
      <c r="S360" s="55">
        <v>0</v>
      </c>
      <c r="X360" s="41"/>
      <c r="Y360" s="112"/>
    </row>
    <row r="361" spans="1:25">
      <c r="A361" s="120"/>
      <c r="B361" s="121">
        <v>1100291</v>
      </c>
      <c r="C361" s="197" t="s">
        <v>711</v>
      </c>
      <c r="D361" s="197" t="s">
        <v>689</v>
      </c>
      <c r="E361" s="84"/>
      <c r="F361" s="84"/>
      <c r="G361" s="49">
        <v>6</v>
      </c>
      <c r="H361" s="49">
        <v>1</v>
      </c>
      <c r="I361" s="91">
        <v>1</v>
      </c>
      <c r="J361" s="108"/>
      <c r="K361" s="17"/>
      <c r="L361" s="17"/>
      <c r="M361" s="49">
        <v>3</v>
      </c>
      <c r="N361" s="49">
        <v>1</v>
      </c>
      <c r="O361" s="49">
        <v>0</v>
      </c>
      <c r="P361" s="49">
        <v>0</v>
      </c>
      <c r="Q361" s="49">
        <v>0</v>
      </c>
      <c r="R361" s="49"/>
      <c r="S361" s="49">
        <v>0</v>
      </c>
      <c r="T361" s="42"/>
      <c r="Y361" s="112"/>
    </row>
    <row r="362" spans="1:25">
      <c r="A362" s="120"/>
      <c r="B362" s="121">
        <v>1100331</v>
      </c>
      <c r="C362" s="197" t="s">
        <v>712</v>
      </c>
      <c r="D362" s="197" t="s">
        <v>689</v>
      </c>
      <c r="E362" s="84"/>
      <c r="F362" s="84"/>
      <c r="G362" s="49">
        <v>6</v>
      </c>
      <c r="H362" s="49">
        <v>1</v>
      </c>
      <c r="I362" s="91">
        <v>1</v>
      </c>
      <c r="J362" s="108"/>
      <c r="K362" s="17"/>
      <c r="L362" s="17"/>
      <c r="M362" s="49">
        <v>3</v>
      </c>
      <c r="N362" s="49">
        <v>1</v>
      </c>
      <c r="O362" s="49">
        <v>0</v>
      </c>
      <c r="P362" s="49">
        <v>0</v>
      </c>
      <c r="Q362" s="49">
        <v>0</v>
      </c>
      <c r="R362" s="49"/>
      <c r="S362" s="49">
        <v>0</v>
      </c>
      <c r="T362" s="42"/>
      <c r="Y362" s="112"/>
    </row>
    <row r="363" spans="1:25" s="43" customFormat="1">
      <c r="A363" s="117"/>
      <c r="B363" s="112">
        <v>1200281</v>
      </c>
      <c r="C363" s="194" t="s">
        <v>713</v>
      </c>
      <c r="D363" s="195"/>
      <c r="E363" s="119"/>
      <c r="F363" s="119"/>
      <c r="G363" s="117">
        <v>6</v>
      </c>
      <c r="H363" s="117">
        <v>1</v>
      </c>
      <c r="I363" s="131">
        <v>2</v>
      </c>
      <c r="J363" s="131"/>
      <c r="K363" s="132"/>
      <c r="L363" s="132"/>
      <c r="M363" s="133">
        <v>3</v>
      </c>
      <c r="N363" s="133">
        <v>1</v>
      </c>
      <c r="O363" s="133">
        <v>0</v>
      </c>
      <c r="P363" s="133">
        <v>0</v>
      </c>
      <c r="Q363" s="133">
        <v>0</v>
      </c>
      <c r="R363" s="133"/>
      <c r="S363" s="133">
        <v>0</v>
      </c>
      <c r="X363" s="41"/>
      <c r="Y363" s="112"/>
    </row>
    <row r="364" spans="1:25">
      <c r="A364" s="120"/>
      <c r="B364" s="121">
        <v>1100541</v>
      </c>
      <c r="C364" s="197" t="s">
        <v>714</v>
      </c>
      <c r="D364" s="197"/>
      <c r="E364" s="84"/>
      <c r="F364" s="84"/>
      <c r="G364" s="49">
        <v>6</v>
      </c>
      <c r="H364" s="49">
        <v>1</v>
      </c>
      <c r="I364" s="91">
        <v>1</v>
      </c>
      <c r="J364" s="108"/>
      <c r="K364" s="17"/>
      <c r="L364" s="17"/>
      <c r="M364" s="49">
        <v>3</v>
      </c>
      <c r="N364" s="49">
        <v>1</v>
      </c>
      <c r="O364" s="49">
        <v>0</v>
      </c>
      <c r="P364" s="49">
        <v>0</v>
      </c>
      <c r="Q364" s="49">
        <v>0</v>
      </c>
      <c r="R364" s="49"/>
      <c r="S364" s="49">
        <v>0</v>
      </c>
      <c r="T364" s="42"/>
      <c r="Y364" s="112"/>
    </row>
    <row r="365" spans="1:25">
      <c r="A365" s="120"/>
      <c r="B365" s="121">
        <v>1100551</v>
      </c>
      <c r="C365" s="197" t="s">
        <v>715</v>
      </c>
      <c r="D365" s="197"/>
      <c r="E365" s="84"/>
      <c r="F365" s="84"/>
      <c r="G365" s="49">
        <v>6</v>
      </c>
      <c r="H365" s="49">
        <v>1</v>
      </c>
      <c r="I365" s="91">
        <v>1</v>
      </c>
      <c r="J365" s="108"/>
      <c r="K365" s="17"/>
      <c r="L365" s="17"/>
      <c r="M365" s="49">
        <v>3</v>
      </c>
      <c r="N365" s="49">
        <v>1</v>
      </c>
      <c r="O365" s="49">
        <v>0</v>
      </c>
      <c r="P365" s="49">
        <v>0</v>
      </c>
      <c r="Q365" s="49">
        <v>0</v>
      </c>
      <c r="R365" s="49"/>
      <c r="S365" s="49">
        <v>0</v>
      </c>
      <c r="T365" s="42"/>
      <c r="Y365" s="112"/>
    </row>
    <row r="366" spans="1:25">
      <c r="A366" s="120"/>
      <c r="B366" s="121">
        <v>1100421</v>
      </c>
      <c r="C366" s="197" t="s">
        <v>716</v>
      </c>
      <c r="D366" s="197" t="s">
        <v>689</v>
      </c>
      <c r="E366" s="84"/>
      <c r="F366" s="84"/>
      <c r="G366" s="49">
        <v>6</v>
      </c>
      <c r="H366" s="49">
        <v>1</v>
      </c>
      <c r="I366" s="91">
        <v>1</v>
      </c>
      <c r="J366" s="108"/>
      <c r="K366" s="17"/>
      <c r="L366" s="17"/>
      <c r="M366" s="49">
        <v>3</v>
      </c>
      <c r="N366" s="49">
        <v>1</v>
      </c>
      <c r="O366" s="49">
        <v>0</v>
      </c>
      <c r="P366" s="49">
        <v>0</v>
      </c>
      <c r="Q366" s="49">
        <v>0</v>
      </c>
      <c r="R366" s="49"/>
      <c r="S366" s="49">
        <v>0</v>
      </c>
      <c r="T366" s="42"/>
      <c r="Y366" s="112"/>
    </row>
    <row r="367" spans="1:25">
      <c r="A367" s="120"/>
      <c r="B367" s="121">
        <v>1100431</v>
      </c>
      <c r="C367" s="197" t="s">
        <v>717</v>
      </c>
      <c r="D367" s="197" t="s">
        <v>689</v>
      </c>
      <c r="E367" s="84"/>
      <c r="F367" s="84"/>
      <c r="G367" s="49">
        <v>6</v>
      </c>
      <c r="H367" s="49">
        <v>1</v>
      </c>
      <c r="I367" s="91">
        <v>1</v>
      </c>
      <c r="J367" s="108"/>
      <c r="K367" s="17"/>
      <c r="L367" s="17"/>
      <c r="M367" s="49">
        <v>3</v>
      </c>
      <c r="N367" s="49">
        <v>1</v>
      </c>
      <c r="O367" s="49">
        <v>0</v>
      </c>
      <c r="P367" s="49">
        <v>0</v>
      </c>
      <c r="Q367" s="49">
        <v>0</v>
      </c>
      <c r="R367" s="49"/>
      <c r="S367" s="49">
        <v>0</v>
      </c>
      <c r="T367" s="42"/>
      <c r="Y367" s="112"/>
    </row>
    <row r="368" spans="1:25" s="43" customFormat="1">
      <c r="A368" s="117"/>
      <c r="B368" s="122">
        <v>1200301</v>
      </c>
      <c r="C368" s="198" t="s">
        <v>718</v>
      </c>
      <c r="D368" s="195"/>
      <c r="E368" s="119"/>
      <c r="F368" s="119"/>
      <c r="G368" s="117">
        <v>6</v>
      </c>
      <c r="H368" s="117">
        <v>1</v>
      </c>
      <c r="I368" s="131">
        <v>2</v>
      </c>
      <c r="J368" s="131"/>
      <c r="K368" s="132"/>
      <c r="L368" s="132"/>
      <c r="M368" s="133">
        <v>3</v>
      </c>
      <c r="N368" s="133">
        <v>1</v>
      </c>
      <c r="O368" s="133">
        <v>0</v>
      </c>
      <c r="P368" s="133">
        <v>0</v>
      </c>
      <c r="Q368" s="133">
        <v>0</v>
      </c>
      <c r="R368" s="133"/>
      <c r="S368" s="133">
        <v>0</v>
      </c>
      <c r="X368" s="41"/>
      <c r="Y368" s="112"/>
    </row>
    <row r="369" spans="1:25" s="43" customFormat="1">
      <c r="A369" s="117"/>
      <c r="B369" s="122">
        <v>1200321</v>
      </c>
      <c r="C369" s="198" t="s">
        <v>719</v>
      </c>
      <c r="D369" s="195"/>
      <c r="E369" s="119"/>
      <c r="F369" s="119"/>
      <c r="G369" s="117">
        <v>6</v>
      </c>
      <c r="H369" s="117">
        <v>1</v>
      </c>
      <c r="I369" s="131">
        <v>2</v>
      </c>
      <c r="J369" s="131"/>
      <c r="K369" s="132"/>
      <c r="L369" s="132"/>
      <c r="M369" s="133">
        <v>3</v>
      </c>
      <c r="N369" s="133">
        <v>1</v>
      </c>
      <c r="O369" s="133">
        <v>0</v>
      </c>
      <c r="P369" s="133">
        <v>0</v>
      </c>
      <c r="Q369" s="133">
        <v>0</v>
      </c>
      <c r="R369" s="133"/>
      <c r="S369" s="133">
        <v>0</v>
      </c>
      <c r="X369" s="41"/>
      <c r="Y369" s="112"/>
    </row>
    <row r="370" spans="1:25" s="43" customFormat="1">
      <c r="A370" s="117"/>
      <c r="B370" s="216">
        <v>1100831</v>
      </c>
      <c r="C370" s="217" t="s">
        <v>4090</v>
      </c>
      <c r="D370" s="214" t="s">
        <v>4113</v>
      </c>
      <c r="E370" s="119"/>
      <c r="F370" s="119"/>
      <c r="G370" s="49">
        <v>6</v>
      </c>
      <c r="H370" s="49">
        <v>1</v>
      </c>
      <c r="I370" s="91">
        <v>1</v>
      </c>
      <c r="J370" s="108"/>
      <c r="K370" s="17"/>
      <c r="L370" s="17"/>
      <c r="M370" s="49">
        <v>3</v>
      </c>
      <c r="N370" s="49">
        <v>1</v>
      </c>
      <c r="O370" s="49">
        <v>0</v>
      </c>
      <c r="P370" s="49">
        <v>0</v>
      </c>
      <c r="Q370" s="49">
        <v>0</v>
      </c>
      <c r="R370" s="49"/>
      <c r="S370" s="49">
        <v>0</v>
      </c>
      <c r="X370" s="41"/>
      <c r="Y370" s="112"/>
    </row>
    <row r="371" spans="1:25" s="43" customFormat="1">
      <c r="A371" s="117"/>
      <c r="B371" s="216">
        <v>1100811</v>
      </c>
      <c r="C371" s="217" t="s">
        <v>4101</v>
      </c>
      <c r="D371" s="214"/>
      <c r="E371" s="119"/>
      <c r="F371" s="119"/>
      <c r="G371" s="49">
        <v>6</v>
      </c>
      <c r="H371" s="49">
        <v>1</v>
      </c>
      <c r="I371" s="91">
        <v>1</v>
      </c>
      <c r="J371" s="108"/>
      <c r="K371" s="17"/>
      <c r="L371" s="17"/>
      <c r="M371" s="49">
        <v>3</v>
      </c>
      <c r="N371" s="49">
        <v>1</v>
      </c>
      <c r="O371" s="49">
        <v>0</v>
      </c>
      <c r="P371" s="49">
        <v>0</v>
      </c>
      <c r="Q371" s="49">
        <v>0</v>
      </c>
      <c r="R371" s="49"/>
      <c r="S371" s="49">
        <v>0</v>
      </c>
      <c r="X371" s="41"/>
      <c r="Y371" s="112"/>
    </row>
    <row r="372" spans="1:25" s="43" customFormat="1">
      <c r="A372" s="117"/>
      <c r="B372" s="216">
        <v>1200811</v>
      </c>
      <c r="C372" s="217" t="s">
        <v>4102</v>
      </c>
      <c r="D372" s="214" t="s">
        <v>4114</v>
      </c>
      <c r="E372" s="119"/>
      <c r="F372" s="119"/>
      <c r="G372" s="117">
        <v>6</v>
      </c>
      <c r="H372" s="117">
        <v>1</v>
      </c>
      <c r="I372" s="131">
        <v>2</v>
      </c>
      <c r="J372" s="131"/>
      <c r="K372" s="132"/>
      <c r="L372" s="132"/>
      <c r="M372" s="133">
        <v>3</v>
      </c>
      <c r="N372" s="133">
        <v>1</v>
      </c>
      <c r="O372" s="133">
        <v>0</v>
      </c>
      <c r="P372" s="133">
        <v>0</v>
      </c>
      <c r="Q372" s="133">
        <v>0</v>
      </c>
      <c r="R372" s="133"/>
      <c r="S372" s="133">
        <v>0</v>
      </c>
      <c r="X372" s="41"/>
      <c r="Y372" s="112"/>
    </row>
    <row r="373" spans="1:25" s="43" customFormat="1">
      <c r="A373" s="117"/>
      <c r="B373" s="216">
        <v>1200831</v>
      </c>
      <c r="C373" s="217" t="s">
        <v>4103</v>
      </c>
      <c r="D373" s="214" t="s">
        <v>4115</v>
      </c>
      <c r="E373" s="119"/>
      <c r="F373" s="119"/>
      <c r="G373" s="117">
        <v>6</v>
      </c>
      <c r="H373" s="117">
        <v>1</v>
      </c>
      <c r="I373" s="131">
        <v>2</v>
      </c>
      <c r="J373" s="131"/>
      <c r="K373" s="132"/>
      <c r="L373" s="132"/>
      <c r="M373" s="133">
        <v>3</v>
      </c>
      <c r="N373" s="133">
        <v>1</v>
      </c>
      <c r="O373" s="133">
        <v>0</v>
      </c>
      <c r="P373" s="133">
        <v>0</v>
      </c>
      <c r="Q373" s="133">
        <v>0</v>
      </c>
      <c r="R373" s="133"/>
      <c r="S373" s="133">
        <v>0</v>
      </c>
      <c r="X373" s="41"/>
      <c r="Y373" s="112"/>
    </row>
    <row r="374" spans="1:25" s="43" customFormat="1">
      <c r="A374" s="117"/>
      <c r="B374" s="194">
        <v>1200851</v>
      </c>
      <c r="C374" s="112" t="s">
        <v>4185</v>
      </c>
      <c r="D374" s="112"/>
      <c r="E374" s="119"/>
      <c r="F374" s="119"/>
      <c r="G374" s="117">
        <v>6</v>
      </c>
      <c r="H374" s="117">
        <v>1</v>
      </c>
      <c r="I374" s="131">
        <v>2</v>
      </c>
      <c r="J374" s="131"/>
      <c r="K374" s="132"/>
      <c r="L374" s="132"/>
      <c r="M374" s="55">
        <v>3</v>
      </c>
      <c r="N374" s="55">
        <v>1</v>
      </c>
      <c r="O374" s="55">
        <v>0</v>
      </c>
      <c r="P374" s="55">
        <v>0</v>
      </c>
      <c r="Q374" s="55">
        <v>0</v>
      </c>
      <c r="R374" s="55"/>
      <c r="S374" s="55">
        <v>0</v>
      </c>
      <c r="X374" s="41"/>
      <c r="Y374" s="112"/>
    </row>
    <row r="375" spans="1:25" s="43" customFormat="1">
      <c r="A375" s="117"/>
      <c r="B375" s="194">
        <v>1200861</v>
      </c>
      <c r="C375" s="112" t="s">
        <v>4186</v>
      </c>
      <c r="D375" s="112"/>
      <c r="E375" s="119"/>
      <c r="F375" s="119"/>
      <c r="G375" s="117">
        <v>6</v>
      </c>
      <c r="H375" s="117">
        <v>1</v>
      </c>
      <c r="I375" s="131">
        <v>2</v>
      </c>
      <c r="J375" s="131"/>
      <c r="K375" s="132"/>
      <c r="L375" s="132"/>
      <c r="M375" s="55">
        <v>3</v>
      </c>
      <c r="N375" s="55">
        <v>1</v>
      </c>
      <c r="O375" s="55">
        <v>0</v>
      </c>
      <c r="P375" s="55">
        <v>0</v>
      </c>
      <c r="Q375" s="55">
        <v>0</v>
      </c>
      <c r="R375" s="55"/>
      <c r="S375" s="55">
        <v>0</v>
      </c>
      <c r="X375" s="41"/>
      <c r="Y375" s="112"/>
    </row>
    <row r="376" spans="1:25" s="43" customFormat="1">
      <c r="A376" s="117"/>
      <c r="B376" s="218">
        <v>1200921</v>
      </c>
      <c r="C376" s="216" t="s">
        <v>4187</v>
      </c>
      <c r="D376" s="216"/>
      <c r="E376" s="119"/>
      <c r="F376" s="119"/>
      <c r="G376" s="117">
        <v>6</v>
      </c>
      <c r="H376" s="117">
        <v>1</v>
      </c>
      <c r="I376" s="131">
        <v>2</v>
      </c>
      <c r="J376" s="131"/>
      <c r="K376" s="132"/>
      <c r="L376" s="132"/>
      <c r="M376" s="133">
        <v>3</v>
      </c>
      <c r="N376" s="133">
        <v>1</v>
      </c>
      <c r="O376" s="133">
        <v>0</v>
      </c>
      <c r="P376" s="133">
        <v>0</v>
      </c>
      <c r="Q376" s="133">
        <v>0</v>
      </c>
      <c r="R376" s="133"/>
      <c r="S376" s="133">
        <v>0</v>
      </c>
      <c r="X376" s="41"/>
      <c r="Y376" s="112"/>
    </row>
    <row r="377" spans="1:25">
      <c r="A377" s="123" t="s">
        <v>48</v>
      </c>
      <c r="B377" s="124" t="s">
        <v>720</v>
      </c>
      <c r="C377" s="123"/>
      <c r="D377" s="123"/>
      <c r="E377" s="125"/>
      <c r="F377" s="125"/>
      <c r="G377" s="126"/>
      <c r="H377" s="123"/>
      <c r="I377" s="134"/>
      <c r="J377" s="124"/>
      <c r="K377" s="130"/>
      <c r="L377" s="130"/>
      <c r="M377" s="123"/>
      <c r="N377" s="123"/>
      <c r="O377" s="123"/>
      <c r="P377" s="123"/>
      <c r="Q377" s="123"/>
      <c r="R377" s="123"/>
      <c r="S377" s="123"/>
      <c r="T377" s="98"/>
      <c r="Y377" s="136"/>
    </row>
    <row r="378" spans="1:25">
      <c r="A378" s="49"/>
      <c r="B378" s="105">
        <v>1100282</v>
      </c>
      <c r="C378" s="187" t="s">
        <v>721</v>
      </c>
      <c r="D378" s="188" t="s">
        <v>722</v>
      </c>
      <c r="E378" s="84"/>
      <c r="F378" s="84"/>
      <c r="G378" s="49">
        <v>6</v>
      </c>
      <c r="H378" s="49">
        <v>2</v>
      </c>
      <c r="I378" s="96">
        <v>1</v>
      </c>
      <c r="J378" s="96"/>
      <c r="K378" s="17"/>
      <c r="L378" s="17"/>
      <c r="M378" s="49">
        <v>3</v>
      </c>
      <c r="N378" s="49">
        <v>1</v>
      </c>
      <c r="O378" s="49">
        <v>0</v>
      </c>
      <c r="P378" s="49">
        <v>0</v>
      </c>
      <c r="Q378" s="49">
        <v>0</v>
      </c>
      <c r="R378" s="49"/>
      <c r="S378" s="49">
        <v>0</v>
      </c>
      <c r="T378" s="42"/>
      <c r="Y378" s="112"/>
    </row>
    <row r="379" spans="1:25">
      <c r="A379" s="49"/>
      <c r="B379" s="105">
        <v>1100372</v>
      </c>
      <c r="C379" s="187" t="s">
        <v>723</v>
      </c>
      <c r="D379" s="188" t="s">
        <v>722</v>
      </c>
      <c r="E379" s="84"/>
      <c r="F379" s="84"/>
      <c r="G379" s="49">
        <v>6</v>
      </c>
      <c r="H379" s="49">
        <v>2</v>
      </c>
      <c r="I379" s="96">
        <v>1</v>
      </c>
      <c r="J379" s="96"/>
      <c r="K379" s="17"/>
      <c r="L379" s="17"/>
      <c r="M379" s="49">
        <v>3</v>
      </c>
      <c r="N379" s="49">
        <v>1</v>
      </c>
      <c r="O379" s="49">
        <v>0</v>
      </c>
      <c r="P379" s="49">
        <v>0</v>
      </c>
      <c r="Q379" s="49">
        <v>0</v>
      </c>
      <c r="R379" s="49"/>
      <c r="S379" s="49">
        <v>0</v>
      </c>
      <c r="T379" s="42"/>
      <c r="Y379" s="112"/>
    </row>
    <row r="380" spans="1:25">
      <c r="A380" s="49" t="s">
        <v>48</v>
      </c>
      <c r="B380" s="105">
        <v>1100452</v>
      </c>
      <c r="C380" s="199" t="s">
        <v>724</v>
      </c>
      <c r="D380" s="188" t="s">
        <v>722</v>
      </c>
      <c r="E380" s="84"/>
      <c r="F380" s="84"/>
      <c r="G380" s="49">
        <v>6</v>
      </c>
      <c r="H380" s="49">
        <v>2</v>
      </c>
      <c r="I380" s="96">
        <v>1</v>
      </c>
      <c r="J380" s="96"/>
      <c r="K380" s="17"/>
      <c r="L380" s="17"/>
      <c r="M380" s="49">
        <v>3</v>
      </c>
      <c r="N380" s="49">
        <v>1</v>
      </c>
      <c r="O380" s="49">
        <v>0</v>
      </c>
      <c r="P380" s="49">
        <v>0</v>
      </c>
      <c r="Q380" s="49">
        <v>0</v>
      </c>
      <c r="R380" s="49"/>
      <c r="S380" s="49">
        <v>0</v>
      </c>
      <c r="T380" s="42"/>
      <c r="Y380" s="112"/>
    </row>
    <row r="381" spans="1:25">
      <c r="A381" s="49"/>
      <c r="B381" s="105">
        <v>1100322</v>
      </c>
      <c r="C381" s="187" t="s">
        <v>725</v>
      </c>
      <c r="D381" s="188" t="s">
        <v>722</v>
      </c>
      <c r="E381" s="84"/>
      <c r="F381" s="84"/>
      <c r="G381" s="49">
        <v>6</v>
      </c>
      <c r="H381" s="49">
        <v>2</v>
      </c>
      <c r="I381" s="96">
        <v>1</v>
      </c>
      <c r="J381" s="96"/>
      <c r="K381" s="17"/>
      <c r="L381" s="17"/>
      <c r="M381" s="49">
        <v>3</v>
      </c>
      <c r="N381" s="49">
        <v>1</v>
      </c>
      <c r="O381" s="49">
        <v>0</v>
      </c>
      <c r="P381" s="49">
        <v>0</v>
      </c>
      <c r="Q381" s="49">
        <v>0</v>
      </c>
      <c r="R381" s="49"/>
      <c r="S381" s="49">
        <v>0</v>
      </c>
      <c r="T381" s="42"/>
      <c r="Y381" s="112"/>
    </row>
    <row r="382" spans="1:25">
      <c r="A382" s="49"/>
      <c r="B382" s="105">
        <v>1100412</v>
      </c>
      <c r="C382" s="187" t="s">
        <v>726</v>
      </c>
      <c r="D382" s="188" t="s">
        <v>722</v>
      </c>
      <c r="E382" s="84"/>
      <c r="F382" s="84"/>
      <c r="G382" s="49">
        <v>6</v>
      </c>
      <c r="H382" s="49">
        <v>2</v>
      </c>
      <c r="I382" s="96">
        <v>1</v>
      </c>
      <c r="J382" s="96"/>
      <c r="K382" s="17"/>
      <c r="L382" s="17"/>
      <c r="M382" s="49">
        <v>3</v>
      </c>
      <c r="N382" s="49">
        <v>1</v>
      </c>
      <c r="O382" s="49">
        <v>0</v>
      </c>
      <c r="P382" s="49">
        <v>0</v>
      </c>
      <c r="Q382" s="49">
        <v>0</v>
      </c>
      <c r="R382" s="49"/>
      <c r="S382" s="49">
        <v>0</v>
      </c>
      <c r="T382" s="42"/>
      <c r="Y382" s="112"/>
    </row>
    <row r="383" spans="1:25">
      <c r="A383" s="49"/>
      <c r="B383" s="105">
        <v>1100492</v>
      </c>
      <c r="C383" s="187" t="s">
        <v>727</v>
      </c>
      <c r="D383" s="188" t="s">
        <v>722</v>
      </c>
      <c r="E383" s="84"/>
      <c r="F383" s="84"/>
      <c r="G383" s="49">
        <v>6</v>
      </c>
      <c r="H383" s="49">
        <v>2</v>
      </c>
      <c r="I383" s="96">
        <v>1</v>
      </c>
      <c r="J383" s="96"/>
      <c r="K383" s="17"/>
      <c r="L383" s="17"/>
      <c r="M383" s="49">
        <v>3</v>
      </c>
      <c r="N383" s="49">
        <v>1</v>
      </c>
      <c r="O383" s="49">
        <v>0</v>
      </c>
      <c r="P383" s="49">
        <v>0</v>
      </c>
      <c r="Q383" s="49">
        <v>0</v>
      </c>
      <c r="R383" s="49"/>
      <c r="S383" s="49">
        <v>0</v>
      </c>
      <c r="T383" s="42"/>
      <c r="Y383" s="112"/>
    </row>
    <row r="384" spans="1:25">
      <c r="A384" s="49"/>
      <c r="B384" s="105">
        <v>1100532</v>
      </c>
      <c r="C384" s="187" t="s">
        <v>728</v>
      </c>
      <c r="D384" s="188" t="s">
        <v>722</v>
      </c>
      <c r="E384" s="84"/>
      <c r="F384" s="84"/>
      <c r="G384" s="49">
        <v>6</v>
      </c>
      <c r="H384" s="49">
        <v>2</v>
      </c>
      <c r="I384" s="96">
        <v>1</v>
      </c>
      <c r="J384" s="96"/>
      <c r="K384" s="17"/>
      <c r="L384" s="17"/>
      <c r="M384" s="49">
        <v>3</v>
      </c>
      <c r="N384" s="49">
        <v>1</v>
      </c>
      <c r="O384" s="49">
        <v>0</v>
      </c>
      <c r="P384" s="49">
        <v>0</v>
      </c>
      <c r="Q384" s="49">
        <v>0</v>
      </c>
      <c r="R384" s="49"/>
      <c r="S384" s="49">
        <v>0</v>
      </c>
      <c r="T384" s="42"/>
      <c r="Y384" s="112"/>
    </row>
    <row r="385" spans="1:25">
      <c r="A385" s="49"/>
      <c r="B385" s="105">
        <v>1100302</v>
      </c>
      <c r="C385" s="199" t="s">
        <v>729</v>
      </c>
      <c r="D385" s="188" t="s">
        <v>722</v>
      </c>
      <c r="E385" s="84"/>
      <c r="F385" s="84"/>
      <c r="G385" s="54">
        <v>6</v>
      </c>
      <c r="H385" s="49">
        <v>2</v>
      </c>
      <c r="I385" s="96">
        <v>1</v>
      </c>
      <c r="J385" s="96"/>
      <c r="K385" s="17"/>
      <c r="L385" s="17"/>
      <c r="M385" s="49">
        <v>3</v>
      </c>
      <c r="N385" s="49">
        <v>1</v>
      </c>
      <c r="O385" s="49">
        <v>0</v>
      </c>
      <c r="P385" s="49">
        <v>0</v>
      </c>
      <c r="Q385" s="49">
        <v>0</v>
      </c>
      <c r="R385" s="49"/>
      <c r="S385" s="49">
        <v>0</v>
      </c>
      <c r="T385" s="42"/>
      <c r="Y385" s="112"/>
    </row>
    <row r="386" spans="1:25">
      <c r="A386" s="49"/>
      <c r="B386" s="105">
        <v>1100392</v>
      </c>
      <c r="C386" s="187" t="s">
        <v>730</v>
      </c>
      <c r="D386" s="188" t="s">
        <v>722</v>
      </c>
      <c r="E386" s="84"/>
      <c r="F386" s="84"/>
      <c r="G386" s="54">
        <v>6</v>
      </c>
      <c r="H386" s="49">
        <v>2</v>
      </c>
      <c r="I386" s="96">
        <v>1</v>
      </c>
      <c r="J386" s="96"/>
      <c r="K386" s="17"/>
      <c r="L386" s="17"/>
      <c r="M386" s="49">
        <v>3</v>
      </c>
      <c r="N386" s="49">
        <v>1</v>
      </c>
      <c r="O386" s="49">
        <v>0</v>
      </c>
      <c r="P386" s="49">
        <v>0</v>
      </c>
      <c r="Q386" s="49">
        <v>0</v>
      </c>
      <c r="R386" s="49"/>
      <c r="S386" s="49">
        <v>0</v>
      </c>
      <c r="T386" s="42"/>
      <c r="Y386" s="112"/>
    </row>
    <row r="387" spans="1:25">
      <c r="A387" s="49"/>
      <c r="B387" s="105">
        <v>1100472</v>
      </c>
      <c r="C387" s="187" t="s">
        <v>731</v>
      </c>
      <c r="D387" s="188" t="s">
        <v>722</v>
      </c>
      <c r="E387" s="84"/>
      <c r="F387" s="84"/>
      <c r="G387" s="49">
        <v>6</v>
      </c>
      <c r="H387" s="49">
        <v>2</v>
      </c>
      <c r="I387" s="96">
        <v>1</v>
      </c>
      <c r="J387" s="96"/>
      <c r="K387" s="17"/>
      <c r="L387" s="17"/>
      <c r="M387" s="49">
        <v>3</v>
      </c>
      <c r="N387" s="49">
        <v>1</v>
      </c>
      <c r="O387" s="49">
        <v>0</v>
      </c>
      <c r="P387" s="49">
        <v>0</v>
      </c>
      <c r="Q387" s="49">
        <v>0</v>
      </c>
      <c r="R387" s="49"/>
      <c r="S387" s="49">
        <v>0</v>
      </c>
      <c r="T387" s="42"/>
      <c r="Y387" s="112"/>
    </row>
    <row r="388" spans="1:25">
      <c r="A388" s="49"/>
      <c r="B388" s="105">
        <v>1100352</v>
      </c>
      <c r="C388" s="187" t="s">
        <v>732</v>
      </c>
      <c r="D388" s="188" t="s">
        <v>722</v>
      </c>
      <c r="E388" s="84"/>
      <c r="F388" s="84"/>
      <c r="G388" s="49">
        <v>6</v>
      </c>
      <c r="H388" s="49">
        <v>2</v>
      </c>
      <c r="I388" s="96">
        <v>1</v>
      </c>
      <c r="J388" s="96"/>
      <c r="K388" s="17"/>
      <c r="L388" s="17"/>
      <c r="M388" s="49">
        <v>3</v>
      </c>
      <c r="N388" s="49">
        <v>1</v>
      </c>
      <c r="O388" s="49">
        <v>0</v>
      </c>
      <c r="P388" s="49">
        <v>0</v>
      </c>
      <c r="Q388" s="49">
        <v>0</v>
      </c>
      <c r="R388" s="49"/>
      <c r="S388" s="49">
        <v>0</v>
      </c>
      <c r="T388" s="42"/>
      <c r="Y388" s="112"/>
    </row>
    <row r="389" spans="1:25">
      <c r="A389" s="49"/>
      <c r="B389" s="105">
        <v>1200432</v>
      </c>
      <c r="C389" s="187" t="s">
        <v>733</v>
      </c>
      <c r="D389" s="188" t="s">
        <v>722</v>
      </c>
      <c r="E389" s="84"/>
      <c r="F389" s="84"/>
      <c r="G389" s="49">
        <v>6</v>
      </c>
      <c r="H389" s="49">
        <v>2</v>
      </c>
      <c r="I389" s="96">
        <v>2</v>
      </c>
      <c r="J389" s="96"/>
      <c r="K389" s="17"/>
      <c r="L389" s="17"/>
      <c r="M389" s="49">
        <v>3</v>
      </c>
      <c r="N389" s="49">
        <v>1</v>
      </c>
      <c r="O389" s="49">
        <v>0</v>
      </c>
      <c r="P389" s="49">
        <v>0</v>
      </c>
      <c r="Q389" s="49">
        <v>0</v>
      </c>
      <c r="R389" s="49"/>
      <c r="S389" s="49">
        <v>0</v>
      </c>
      <c r="T389" s="42"/>
      <c r="Y389" s="112"/>
    </row>
    <row r="390" spans="1:25">
      <c r="A390" s="49"/>
      <c r="B390" s="105">
        <v>1200512</v>
      </c>
      <c r="C390" s="187" t="s">
        <v>734</v>
      </c>
      <c r="D390" s="188" t="s">
        <v>722</v>
      </c>
      <c r="E390" s="84"/>
      <c r="F390" s="84"/>
      <c r="G390" s="49">
        <v>6</v>
      </c>
      <c r="H390" s="49">
        <v>2</v>
      </c>
      <c r="I390" s="96">
        <v>2</v>
      </c>
      <c r="J390" s="96"/>
      <c r="K390" s="17"/>
      <c r="L390" s="17"/>
      <c r="M390" s="49">
        <v>3</v>
      </c>
      <c r="N390" s="49">
        <v>1</v>
      </c>
      <c r="O390" s="49">
        <v>0</v>
      </c>
      <c r="P390" s="49">
        <v>0</v>
      </c>
      <c r="Q390" s="49">
        <v>0</v>
      </c>
      <c r="R390" s="49"/>
      <c r="S390" s="49">
        <v>0</v>
      </c>
      <c r="T390" s="42"/>
      <c r="Y390" s="112"/>
    </row>
    <row r="391" spans="1:25">
      <c r="A391" s="49"/>
      <c r="B391" s="105">
        <v>1200292</v>
      </c>
      <c r="C391" s="187" t="s">
        <v>735</v>
      </c>
      <c r="D391" s="188" t="s">
        <v>722</v>
      </c>
      <c r="E391" s="84"/>
      <c r="F391" s="84"/>
      <c r="G391" s="49">
        <v>6</v>
      </c>
      <c r="H391" s="49">
        <v>2</v>
      </c>
      <c r="I391" s="96">
        <v>2</v>
      </c>
      <c r="J391" s="96"/>
      <c r="K391" s="17"/>
      <c r="L391" s="17"/>
      <c r="M391" s="49">
        <v>3</v>
      </c>
      <c r="N391" s="49">
        <v>1</v>
      </c>
      <c r="O391" s="49">
        <v>0</v>
      </c>
      <c r="P391" s="49">
        <v>0</v>
      </c>
      <c r="Q391" s="49">
        <v>0</v>
      </c>
      <c r="R391" s="49"/>
      <c r="S391" s="49">
        <v>0</v>
      </c>
      <c r="T391" s="42"/>
      <c r="Y391" s="112"/>
    </row>
    <row r="392" spans="1:25">
      <c r="A392" s="49"/>
      <c r="B392" s="105">
        <v>1200382</v>
      </c>
      <c r="C392" s="187" t="s">
        <v>736</v>
      </c>
      <c r="D392" s="188" t="s">
        <v>722</v>
      </c>
      <c r="E392" s="84"/>
      <c r="F392" s="84"/>
      <c r="G392" s="49">
        <v>6</v>
      </c>
      <c r="H392" s="49">
        <v>2</v>
      </c>
      <c r="I392" s="96">
        <v>2</v>
      </c>
      <c r="J392" s="96"/>
      <c r="K392" s="17"/>
      <c r="L392" s="17"/>
      <c r="M392" s="49">
        <v>3</v>
      </c>
      <c r="N392" s="49">
        <v>1</v>
      </c>
      <c r="O392" s="49">
        <v>0</v>
      </c>
      <c r="P392" s="49">
        <v>0</v>
      </c>
      <c r="Q392" s="49">
        <v>0</v>
      </c>
      <c r="R392" s="49"/>
      <c r="S392" s="49">
        <v>0</v>
      </c>
      <c r="T392" s="42"/>
      <c r="Y392" s="112"/>
    </row>
    <row r="393" spans="1:25">
      <c r="A393" s="49"/>
      <c r="B393" s="105">
        <v>1200462</v>
      </c>
      <c r="C393" s="187" t="s">
        <v>737</v>
      </c>
      <c r="D393" s="188" t="s">
        <v>722</v>
      </c>
      <c r="E393" s="84"/>
      <c r="F393" s="84"/>
      <c r="G393" s="49">
        <v>6</v>
      </c>
      <c r="H393" s="49">
        <v>2</v>
      </c>
      <c r="I393" s="96">
        <v>2</v>
      </c>
      <c r="J393" s="96"/>
      <c r="K393" s="17"/>
      <c r="L393" s="17"/>
      <c r="M393" s="49">
        <v>3</v>
      </c>
      <c r="N393" s="49">
        <v>1</v>
      </c>
      <c r="O393" s="49">
        <v>0</v>
      </c>
      <c r="P393" s="49">
        <v>0</v>
      </c>
      <c r="Q393" s="49">
        <v>0</v>
      </c>
      <c r="R393" s="49"/>
      <c r="S393" s="49">
        <v>0</v>
      </c>
      <c r="T393" s="42"/>
      <c r="Y393" s="112"/>
    </row>
    <row r="394" spans="1:25">
      <c r="A394" s="49"/>
      <c r="B394" s="105">
        <v>1200332</v>
      </c>
      <c r="C394" s="187" t="s">
        <v>738</v>
      </c>
      <c r="D394" s="188" t="s">
        <v>722</v>
      </c>
      <c r="E394" s="84"/>
      <c r="F394" s="84"/>
      <c r="G394" s="54">
        <v>6</v>
      </c>
      <c r="H394" s="49">
        <v>2</v>
      </c>
      <c r="I394" s="96">
        <v>2</v>
      </c>
      <c r="J394" s="96"/>
      <c r="K394" s="17"/>
      <c r="L394" s="17"/>
      <c r="M394" s="49">
        <v>3</v>
      </c>
      <c r="N394" s="49">
        <v>1</v>
      </c>
      <c r="O394" s="49">
        <v>0</v>
      </c>
      <c r="P394" s="49">
        <v>0</v>
      </c>
      <c r="Q394" s="49">
        <v>0</v>
      </c>
      <c r="R394" s="49"/>
      <c r="S394" s="49">
        <v>0</v>
      </c>
      <c r="T394" s="42"/>
      <c r="Y394" s="112"/>
    </row>
    <row r="395" spans="1:25">
      <c r="A395" s="49"/>
      <c r="B395" s="105">
        <v>1200422</v>
      </c>
      <c r="C395" s="187" t="s">
        <v>739</v>
      </c>
      <c r="D395" s="188" t="s">
        <v>722</v>
      </c>
      <c r="E395" s="84"/>
      <c r="F395" s="84"/>
      <c r="G395" s="54">
        <v>6</v>
      </c>
      <c r="H395" s="49">
        <v>2</v>
      </c>
      <c r="I395" s="96">
        <v>2</v>
      </c>
      <c r="J395" s="96"/>
      <c r="K395" s="17"/>
      <c r="L395" s="17"/>
      <c r="M395" s="49">
        <v>3</v>
      </c>
      <c r="N395" s="49">
        <v>1</v>
      </c>
      <c r="O395" s="49">
        <v>0</v>
      </c>
      <c r="P395" s="49">
        <v>0</v>
      </c>
      <c r="Q395" s="49">
        <v>0</v>
      </c>
      <c r="R395" s="49"/>
      <c r="S395" s="49">
        <v>0</v>
      </c>
      <c r="T395" s="42"/>
      <c r="Y395" s="112"/>
    </row>
    <row r="396" spans="1:25">
      <c r="A396" s="49"/>
      <c r="B396" s="105">
        <v>1200502</v>
      </c>
      <c r="C396" s="187" t="s">
        <v>740</v>
      </c>
      <c r="D396" s="188" t="s">
        <v>722</v>
      </c>
      <c r="E396" s="84"/>
      <c r="F396" s="84"/>
      <c r="G396" s="49">
        <v>6</v>
      </c>
      <c r="H396" s="49">
        <v>2</v>
      </c>
      <c r="I396" s="96">
        <v>2</v>
      </c>
      <c r="J396" s="96"/>
      <c r="K396" s="17"/>
      <c r="L396" s="17"/>
      <c r="M396" s="49">
        <v>3</v>
      </c>
      <c r="N396" s="49">
        <v>1</v>
      </c>
      <c r="O396" s="49">
        <v>0</v>
      </c>
      <c r="P396" s="49">
        <v>0</v>
      </c>
      <c r="Q396" s="49">
        <v>0</v>
      </c>
      <c r="R396" s="49"/>
      <c r="S396" s="49">
        <v>0</v>
      </c>
      <c r="T396" s="42"/>
      <c r="Y396" s="112"/>
    </row>
    <row r="397" spans="1:25">
      <c r="A397" s="49"/>
      <c r="B397" s="105">
        <v>1000222</v>
      </c>
      <c r="C397" s="188" t="s">
        <v>4182</v>
      </c>
      <c r="D397" s="188" t="s">
        <v>741</v>
      </c>
      <c r="E397" s="84"/>
      <c r="F397" s="84"/>
      <c r="G397" s="49">
        <v>6</v>
      </c>
      <c r="H397" s="49">
        <v>2</v>
      </c>
      <c r="I397" s="96">
        <v>0</v>
      </c>
      <c r="J397" s="96"/>
      <c r="K397" s="17"/>
      <c r="L397" s="17"/>
      <c r="M397" s="49">
        <v>3</v>
      </c>
      <c r="N397" s="49">
        <v>1</v>
      </c>
      <c r="O397" s="49">
        <v>0</v>
      </c>
      <c r="P397" s="49">
        <v>0</v>
      </c>
      <c r="Q397" s="49">
        <v>0</v>
      </c>
      <c r="R397" s="49"/>
      <c r="S397" s="49">
        <v>0</v>
      </c>
      <c r="T397" s="42"/>
      <c r="Y397" s="112"/>
    </row>
    <row r="398" spans="1:25">
      <c r="A398" s="49"/>
      <c r="B398" s="105">
        <v>1000232</v>
      </c>
      <c r="C398" s="188" t="s">
        <v>742</v>
      </c>
      <c r="D398" s="188" t="s">
        <v>743</v>
      </c>
      <c r="E398" s="84"/>
      <c r="F398" s="84"/>
      <c r="G398" s="49">
        <v>6</v>
      </c>
      <c r="H398" s="49">
        <v>2</v>
      </c>
      <c r="I398" s="96">
        <v>0</v>
      </c>
      <c r="J398" s="96"/>
      <c r="K398" s="17"/>
      <c r="L398" s="17"/>
      <c r="M398" s="49">
        <v>3</v>
      </c>
      <c r="N398" s="49">
        <v>1</v>
      </c>
      <c r="O398" s="49">
        <v>0</v>
      </c>
      <c r="P398" s="49">
        <v>0</v>
      </c>
      <c r="Q398" s="49">
        <v>0</v>
      </c>
      <c r="R398" s="49"/>
      <c r="S398" s="49">
        <v>0</v>
      </c>
      <c r="T398" s="42"/>
      <c r="Y398" s="112"/>
    </row>
    <row r="399" spans="1:25">
      <c r="A399" s="49"/>
      <c r="B399" s="105">
        <v>1000162</v>
      </c>
      <c r="C399" s="188" t="s">
        <v>744</v>
      </c>
      <c r="D399" s="188" t="s">
        <v>745</v>
      </c>
      <c r="E399" s="84"/>
      <c r="F399" s="84"/>
      <c r="G399" s="49">
        <v>6</v>
      </c>
      <c r="H399" s="49">
        <v>2</v>
      </c>
      <c r="I399" s="96">
        <v>0</v>
      </c>
      <c r="J399" s="96"/>
      <c r="K399" s="17"/>
      <c r="L399" s="17"/>
      <c r="M399" s="49">
        <v>3</v>
      </c>
      <c r="N399" s="49">
        <v>1</v>
      </c>
      <c r="O399" s="49">
        <v>0</v>
      </c>
      <c r="P399" s="49">
        <v>0</v>
      </c>
      <c r="Q399" s="49">
        <v>0</v>
      </c>
      <c r="R399" s="49"/>
      <c r="S399" s="49">
        <v>0</v>
      </c>
      <c r="T399" s="42"/>
      <c r="Y399" s="112"/>
    </row>
    <row r="400" spans="1:25">
      <c r="A400" s="49"/>
      <c r="B400" s="105">
        <v>1200202</v>
      </c>
      <c r="C400" s="188" t="s">
        <v>746</v>
      </c>
      <c r="D400" s="188" t="s">
        <v>747</v>
      </c>
      <c r="E400" s="84"/>
      <c r="F400" s="84"/>
      <c r="G400" s="54">
        <v>6</v>
      </c>
      <c r="H400" s="49">
        <v>2</v>
      </c>
      <c r="I400" s="96">
        <v>2</v>
      </c>
      <c r="J400" s="135"/>
      <c r="K400" s="17"/>
      <c r="L400" s="17"/>
      <c r="M400" s="49">
        <v>3</v>
      </c>
      <c r="N400" s="49">
        <v>1</v>
      </c>
      <c r="O400" s="49">
        <v>0</v>
      </c>
      <c r="P400" s="49">
        <v>0</v>
      </c>
      <c r="Q400" s="49">
        <v>0</v>
      </c>
      <c r="R400" s="49"/>
      <c r="S400" s="49">
        <v>0</v>
      </c>
      <c r="T400" s="42"/>
      <c r="Y400" s="112"/>
    </row>
    <row r="401" spans="1:25">
      <c r="A401" s="49"/>
      <c r="B401" s="105">
        <v>1100202</v>
      </c>
      <c r="C401" s="188" t="s">
        <v>748</v>
      </c>
      <c r="D401" s="188" t="s">
        <v>749</v>
      </c>
      <c r="E401" s="84"/>
      <c r="F401" s="84"/>
      <c r="G401" s="54">
        <v>6</v>
      </c>
      <c r="H401" s="49">
        <v>2</v>
      </c>
      <c r="I401" s="96">
        <v>1</v>
      </c>
      <c r="J401" s="135"/>
      <c r="K401" s="17"/>
      <c r="L401" s="17"/>
      <c r="M401" s="49">
        <v>3</v>
      </c>
      <c r="N401" s="49">
        <v>1</v>
      </c>
      <c r="O401" s="49">
        <v>0</v>
      </c>
      <c r="P401" s="49">
        <v>0</v>
      </c>
      <c r="Q401" s="49">
        <v>0</v>
      </c>
      <c r="R401" s="49"/>
      <c r="S401" s="49">
        <v>0</v>
      </c>
      <c r="T401" s="42"/>
      <c r="Y401" s="112"/>
    </row>
    <row r="402" spans="1:25">
      <c r="A402" s="49"/>
      <c r="B402" s="105">
        <v>1000092</v>
      </c>
      <c r="C402" s="188" t="s">
        <v>750</v>
      </c>
      <c r="D402" s="188" t="s">
        <v>751</v>
      </c>
      <c r="E402" s="84"/>
      <c r="F402" s="84"/>
      <c r="G402" s="49">
        <v>6</v>
      </c>
      <c r="H402" s="49">
        <v>2</v>
      </c>
      <c r="I402" s="96">
        <v>0</v>
      </c>
      <c r="J402" s="135"/>
      <c r="K402" s="17"/>
      <c r="L402" s="17"/>
      <c r="M402" s="49">
        <v>3</v>
      </c>
      <c r="N402" s="49">
        <v>1</v>
      </c>
      <c r="O402" s="49">
        <v>0</v>
      </c>
      <c r="P402" s="49">
        <v>0</v>
      </c>
      <c r="Q402" s="49">
        <v>0</v>
      </c>
      <c r="R402" s="49"/>
      <c r="S402" s="49">
        <v>0</v>
      </c>
      <c r="T402" s="42"/>
      <c r="Y402" s="112"/>
    </row>
    <row r="403" spans="1:25">
      <c r="A403" s="49"/>
      <c r="B403" s="105">
        <v>1200192</v>
      </c>
      <c r="C403" s="190" t="s">
        <v>4012</v>
      </c>
      <c r="D403" s="188" t="s">
        <v>752</v>
      </c>
      <c r="E403" s="84"/>
      <c r="F403" s="84"/>
      <c r="G403" s="54">
        <v>6</v>
      </c>
      <c r="H403" s="49">
        <v>2</v>
      </c>
      <c r="I403" s="96">
        <v>2</v>
      </c>
      <c r="J403" s="135"/>
      <c r="K403" s="17"/>
      <c r="L403" s="17"/>
      <c r="M403" s="49">
        <v>3</v>
      </c>
      <c r="N403" s="49">
        <v>1</v>
      </c>
      <c r="O403" s="49">
        <v>0</v>
      </c>
      <c r="P403" s="49">
        <v>0</v>
      </c>
      <c r="Q403" s="49">
        <v>0</v>
      </c>
      <c r="R403" s="49"/>
      <c r="S403" s="49">
        <v>0</v>
      </c>
      <c r="T403" s="42"/>
      <c r="Y403" s="112"/>
    </row>
    <row r="404" spans="1:25">
      <c r="A404" s="49"/>
      <c r="B404" s="105">
        <v>1100192</v>
      </c>
      <c r="C404" s="190" t="s">
        <v>4012</v>
      </c>
      <c r="D404" s="188" t="s">
        <v>4139</v>
      </c>
      <c r="E404" s="84"/>
      <c r="F404" s="84"/>
      <c r="G404" s="54">
        <v>6</v>
      </c>
      <c r="H404" s="49">
        <v>2</v>
      </c>
      <c r="I404" s="96">
        <v>1</v>
      </c>
      <c r="J404" s="135"/>
      <c r="K404" s="17"/>
      <c r="L404" s="17"/>
      <c r="M404" s="49">
        <v>3</v>
      </c>
      <c r="N404" s="49">
        <v>1</v>
      </c>
      <c r="O404" s="49">
        <v>0</v>
      </c>
      <c r="P404" s="49">
        <v>0</v>
      </c>
      <c r="Q404" s="49">
        <v>0</v>
      </c>
      <c r="R404" s="49"/>
      <c r="S404" s="49">
        <v>0</v>
      </c>
      <c r="T404" s="42"/>
      <c r="Y404" s="112"/>
    </row>
    <row r="405" spans="1:25">
      <c r="A405" s="49"/>
      <c r="B405" s="105">
        <v>1200182</v>
      </c>
      <c r="C405" s="188" t="s">
        <v>753</v>
      </c>
      <c r="D405" s="188" t="s">
        <v>754</v>
      </c>
      <c r="E405" s="84"/>
      <c r="F405" s="84"/>
      <c r="G405" s="54">
        <v>6</v>
      </c>
      <c r="H405" s="49">
        <v>2</v>
      </c>
      <c r="I405" s="96">
        <v>2</v>
      </c>
      <c r="J405" s="135"/>
      <c r="K405" s="17"/>
      <c r="L405" s="17"/>
      <c r="M405" s="49">
        <v>3</v>
      </c>
      <c r="N405" s="49">
        <v>1</v>
      </c>
      <c r="O405" s="49">
        <v>0</v>
      </c>
      <c r="P405" s="49">
        <v>0</v>
      </c>
      <c r="Q405" s="49">
        <v>0</v>
      </c>
      <c r="R405" s="49"/>
      <c r="S405" s="49">
        <v>0</v>
      </c>
      <c r="T405" s="42"/>
      <c r="Y405" s="112"/>
    </row>
    <row r="406" spans="1:25">
      <c r="A406" s="49"/>
      <c r="B406" s="105">
        <v>1100182</v>
      </c>
      <c r="C406" s="188" t="s">
        <v>755</v>
      </c>
      <c r="D406" s="188" t="s">
        <v>756</v>
      </c>
      <c r="E406" s="84"/>
      <c r="F406" s="84"/>
      <c r="G406" s="54">
        <v>6</v>
      </c>
      <c r="H406" s="49">
        <v>2</v>
      </c>
      <c r="I406" s="96">
        <v>1</v>
      </c>
      <c r="J406" s="135"/>
      <c r="K406" s="17"/>
      <c r="L406" s="17"/>
      <c r="M406" s="49">
        <v>3</v>
      </c>
      <c r="N406" s="49">
        <v>1</v>
      </c>
      <c r="O406" s="49">
        <v>0</v>
      </c>
      <c r="P406" s="49">
        <v>0</v>
      </c>
      <c r="Q406" s="49">
        <v>0</v>
      </c>
      <c r="R406" s="49"/>
      <c r="S406" s="49">
        <v>0</v>
      </c>
      <c r="T406" s="42"/>
      <c r="Y406" s="112"/>
    </row>
    <row r="407" spans="1:25">
      <c r="A407" s="49"/>
      <c r="B407" s="105">
        <v>1200142</v>
      </c>
      <c r="C407" s="188" t="s">
        <v>757</v>
      </c>
      <c r="D407" s="188" t="s">
        <v>758</v>
      </c>
      <c r="E407" s="84"/>
      <c r="F407" s="84"/>
      <c r="G407" s="54">
        <v>6</v>
      </c>
      <c r="H407" s="49">
        <v>2</v>
      </c>
      <c r="I407" s="96">
        <v>2</v>
      </c>
      <c r="J407" s="135"/>
      <c r="K407" s="17"/>
      <c r="L407" s="17"/>
      <c r="M407" s="49">
        <v>3</v>
      </c>
      <c r="N407" s="49">
        <v>1</v>
      </c>
      <c r="O407" s="49">
        <v>0</v>
      </c>
      <c r="P407" s="49">
        <v>0</v>
      </c>
      <c r="Q407" s="49">
        <v>0</v>
      </c>
      <c r="R407" s="49"/>
      <c r="S407" s="49">
        <v>0</v>
      </c>
      <c r="T407" s="42"/>
      <c r="Y407" s="112"/>
    </row>
    <row r="408" spans="1:25">
      <c r="A408" s="49"/>
      <c r="B408" s="105">
        <v>1100142</v>
      </c>
      <c r="C408" s="188" t="s">
        <v>759</v>
      </c>
      <c r="D408" s="188" t="s">
        <v>760</v>
      </c>
      <c r="E408" s="84"/>
      <c r="F408" s="84"/>
      <c r="G408" s="54">
        <v>6</v>
      </c>
      <c r="H408" s="49">
        <v>2</v>
      </c>
      <c r="I408" s="96">
        <v>1</v>
      </c>
      <c r="J408" s="135"/>
      <c r="K408" s="17"/>
      <c r="L408" s="17"/>
      <c r="M408" s="49">
        <v>3</v>
      </c>
      <c r="N408" s="49">
        <v>1</v>
      </c>
      <c r="O408" s="49">
        <v>0</v>
      </c>
      <c r="P408" s="49">
        <v>0</v>
      </c>
      <c r="Q408" s="49">
        <v>0</v>
      </c>
      <c r="R408" s="49"/>
      <c r="S408" s="49">
        <v>0</v>
      </c>
      <c r="T408" s="42"/>
      <c r="Y408" s="112"/>
    </row>
    <row r="409" spans="1:25">
      <c r="A409" s="49"/>
      <c r="B409" s="105">
        <v>1200112</v>
      </c>
      <c r="C409" s="192" t="s">
        <v>761</v>
      </c>
      <c r="D409" s="192" t="s">
        <v>762</v>
      </c>
      <c r="E409" s="84"/>
      <c r="F409" s="84"/>
      <c r="G409" s="54">
        <v>6</v>
      </c>
      <c r="H409" s="49">
        <v>2</v>
      </c>
      <c r="I409" s="96">
        <v>2</v>
      </c>
      <c r="J409" s="135"/>
      <c r="K409" s="17"/>
      <c r="L409" s="17"/>
      <c r="M409" s="49">
        <v>3</v>
      </c>
      <c r="N409" s="49">
        <v>1</v>
      </c>
      <c r="O409" s="49">
        <v>0</v>
      </c>
      <c r="P409" s="49">
        <v>0</v>
      </c>
      <c r="Q409" s="49">
        <v>0</v>
      </c>
      <c r="R409" s="49"/>
      <c r="S409" s="49">
        <v>0</v>
      </c>
      <c r="T409" s="42"/>
      <c r="Y409" s="112"/>
    </row>
    <row r="410" spans="1:25">
      <c r="A410" s="49"/>
      <c r="B410" s="105">
        <v>1200212</v>
      </c>
      <c r="C410" s="192" t="s">
        <v>763</v>
      </c>
      <c r="D410" s="192" t="s">
        <v>764</v>
      </c>
      <c r="E410" s="84"/>
      <c r="F410" s="84"/>
      <c r="G410" s="54">
        <v>6</v>
      </c>
      <c r="H410" s="49">
        <v>2</v>
      </c>
      <c r="I410" s="96">
        <v>2</v>
      </c>
      <c r="J410" s="135"/>
      <c r="K410" s="17"/>
      <c r="L410" s="17"/>
      <c r="M410" s="49">
        <v>3</v>
      </c>
      <c r="N410" s="49">
        <v>1</v>
      </c>
      <c r="O410" s="49">
        <v>0</v>
      </c>
      <c r="P410" s="49">
        <v>0</v>
      </c>
      <c r="Q410" s="49">
        <v>0</v>
      </c>
      <c r="R410" s="49"/>
      <c r="S410" s="49">
        <v>0</v>
      </c>
      <c r="T410" s="42"/>
      <c r="Y410" s="112"/>
    </row>
    <row r="411" spans="1:25">
      <c r="A411" s="49"/>
      <c r="B411" s="105">
        <v>1200152</v>
      </c>
      <c r="C411" s="192" t="s">
        <v>765</v>
      </c>
      <c r="D411" s="192" t="s">
        <v>766</v>
      </c>
      <c r="E411" s="137"/>
      <c r="F411" s="84"/>
      <c r="G411" s="54">
        <v>6</v>
      </c>
      <c r="H411" s="49">
        <v>2</v>
      </c>
      <c r="I411" s="96">
        <v>2</v>
      </c>
      <c r="J411" s="135"/>
      <c r="K411" s="17"/>
      <c r="L411" s="17"/>
      <c r="M411" s="49">
        <v>3</v>
      </c>
      <c r="N411" s="49">
        <v>1</v>
      </c>
      <c r="O411" s="49">
        <v>0</v>
      </c>
      <c r="P411" s="49">
        <v>0</v>
      </c>
      <c r="Q411" s="49">
        <v>0</v>
      </c>
      <c r="R411" s="49"/>
      <c r="S411" s="49">
        <v>0</v>
      </c>
      <c r="T411" s="42"/>
      <c r="Y411" s="112"/>
    </row>
    <row r="412" spans="1:25">
      <c r="A412" s="49"/>
      <c r="B412" s="105">
        <v>1200642</v>
      </c>
      <c r="C412" s="192" t="s">
        <v>767</v>
      </c>
      <c r="D412" s="192" t="s">
        <v>768</v>
      </c>
      <c r="E412" s="84"/>
      <c r="F412" s="84"/>
      <c r="G412" s="54">
        <v>6</v>
      </c>
      <c r="H412" s="49">
        <v>2</v>
      </c>
      <c r="I412" s="96">
        <v>2</v>
      </c>
      <c r="J412" s="135"/>
      <c r="K412" s="17"/>
      <c r="L412" s="17"/>
      <c r="M412" s="49">
        <v>3</v>
      </c>
      <c r="N412" s="49">
        <v>1</v>
      </c>
      <c r="O412" s="49">
        <v>0</v>
      </c>
      <c r="P412" s="49">
        <v>0</v>
      </c>
      <c r="Q412" s="49">
        <v>0</v>
      </c>
      <c r="R412" s="49"/>
      <c r="S412" s="49">
        <v>0</v>
      </c>
      <c r="T412" s="42"/>
      <c r="Y412" s="112"/>
    </row>
    <row r="413" spans="1:25">
      <c r="A413" s="49"/>
      <c r="B413" s="105">
        <v>1100112</v>
      </c>
      <c r="C413" s="192" t="s">
        <v>769</v>
      </c>
      <c r="D413" s="192" t="s">
        <v>770</v>
      </c>
      <c r="E413" s="84"/>
      <c r="F413" s="84"/>
      <c r="G413" s="54">
        <v>6</v>
      </c>
      <c r="H413" s="49">
        <v>2</v>
      </c>
      <c r="I413" s="96">
        <v>1</v>
      </c>
      <c r="J413" s="135"/>
      <c r="K413" s="17"/>
      <c r="L413" s="17"/>
      <c r="M413" s="49">
        <v>3</v>
      </c>
      <c r="N413" s="49">
        <v>1</v>
      </c>
      <c r="O413" s="49">
        <v>0</v>
      </c>
      <c r="P413" s="49">
        <v>0</v>
      </c>
      <c r="Q413" s="49">
        <v>0</v>
      </c>
      <c r="R413" s="49"/>
      <c r="S413" s="49">
        <v>0</v>
      </c>
      <c r="T413" s="42"/>
      <c r="Y413" s="112"/>
    </row>
    <row r="414" spans="1:25">
      <c r="A414" s="49"/>
      <c r="B414" s="105">
        <v>1100212</v>
      </c>
      <c r="C414" s="192" t="s">
        <v>771</v>
      </c>
      <c r="D414" s="192" t="s">
        <v>772</v>
      </c>
      <c r="E414" s="84"/>
      <c r="F414" s="84"/>
      <c r="G414" s="54">
        <v>6</v>
      </c>
      <c r="H414" s="49">
        <v>2</v>
      </c>
      <c r="I414" s="96">
        <v>1</v>
      </c>
      <c r="J414" s="135"/>
      <c r="K414" s="17"/>
      <c r="L414" s="17"/>
      <c r="M414" s="49">
        <v>3</v>
      </c>
      <c r="N414" s="49">
        <v>1</v>
      </c>
      <c r="O414" s="49">
        <v>0</v>
      </c>
      <c r="P414" s="49">
        <v>0</v>
      </c>
      <c r="Q414" s="49">
        <v>0</v>
      </c>
      <c r="R414" s="49"/>
      <c r="S414" s="49">
        <v>0</v>
      </c>
      <c r="T414" s="42"/>
      <c r="Y414" s="112"/>
    </row>
    <row r="415" spans="1:25">
      <c r="A415" s="49"/>
      <c r="B415" s="105">
        <v>1100642</v>
      </c>
      <c r="C415" s="192" t="s">
        <v>773</v>
      </c>
      <c r="D415" s="192" t="s">
        <v>774</v>
      </c>
      <c r="E415" s="84"/>
      <c r="F415" s="84"/>
      <c r="G415" s="54">
        <v>6</v>
      </c>
      <c r="H415" s="49">
        <v>2</v>
      </c>
      <c r="I415" s="96">
        <v>1</v>
      </c>
      <c r="J415" s="135"/>
      <c r="K415" s="17"/>
      <c r="L415" s="17"/>
      <c r="M415" s="49">
        <v>3</v>
      </c>
      <c r="N415" s="49">
        <v>1</v>
      </c>
      <c r="O415" s="49">
        <v>0</v>
      </c>
      <c r="P415" s="49">
        <v>0</v>
      </c>
      <c r="Q415" s="49">
        <v>0</v>
      </c>
      <c r="R415" s="49"/>
      <c r="S415" s="49">
        <v>0</v>
      </c>
      <c r="T415" s="42"/>
      <c r="Y415" s="112"/>
    </row>
    <row r="416" spans="1:25">
      <c r="A416" s="49"/>
      <c r="B416" s="105">
        <v>1100152</v>
      </c>
      <c r="C416" s="192" t="s">
        <v>775</v>
      </c>
      <c r="D416" s="192" t="s">
        <v>776</v>
      </c>
      <c r="E416" s="84"/>
      <c r="F416" s="84"/>
      <c r="G416" s="54">
        <v>6</v>
      </c>
      <c r="H416" s="49">
        <v>2</v>
      </c>
      <c r="I416" s="96">
        <v>1</v>
      </c>
      <c r="J416" s="135"/>
      <c r="K416" s="17"/>
      <c r="L416" s="17"/>
      <c r="M416" s="49">
        <v>3</v>
      </c>
      <c r="N416" s="49">
        <v>1</v>
      </c>
      <c r="O416" s="49">
        <v>0</v>
      </c>
      <c r="P416" s="49">
        <v>0</v>
      </c>
      <c r="Q416" s="49">
        <v>0</v>
      </c>
      <c r="R416" s="49"/>
      <c r="S416" s="49">
        <v>0</v>
      </c>
      <c r="T416" s="42"/>
      <c r="Y416" s="112"/>
    </row>
    <row r="417" spans="1:25">
      <c r="A417" s="49"/>
      <c r="B417" s="105">
        <v>1200032</v>
      </c>
      <c r="C417" s="192" t="s">
        <v>777</v>
      </c>
      <c r="D417" s="192" t="s">
        <v>778</v>
      </c>
      <c r="E417" s="84"/>
      <c r="F417" s="84"/>
      <c r="G417" s="54">
        <v>6</v>
      </c>
      <c r="H417" s="49">
        <v>2</v>
      </c>
      <c r="I417" s="96">
        <v>2</v>
      </c>
      <c r="J417" s="135"/>
      <c r="K417" s="17"/>
      <c r="L417" s="17"/>
      <c r="M417" s="49">
        <v>3</v>
      </c>
      <c r="N417" s="49">
        <v>1</v>
      </c>
      <c r="O417" s="49">
        <v>0</v>
      </c>
      <c r="P417" s="49">
        <v>0</v>
      </c>
      <c r="Q417" s="49">
        <v>0</v>
      </c>
      <c r="R417" s="49"/>
      <c r="S417" s="49">
        <v>0</v>
      </c>
      <c r="T417" s="42"/>
      <c r="Y417" s="112"/>
    </row>
    <row r="418" spans="1:25">
      <c r="A418" s="49"/>
      <c r="B418" s="105">
        <v>1200102</v>
      </c>
      <c r="C418" s="192" t="s">
        <v>779</v>
      </c>
      <c r="D418" s="192" t="s">
        <v>780</v>
      </c>
      <c r="E418" s="84"/>
      <c r="F418" s="84"/>
      <c r="G418" s="54">
        <v>6</v>
      </c>
      <c r="H418" s="49">
        <v>2</v>
      </c>
      <c r="I418" s="96">
        <v>2</v>
      </c>
      <c r="J418" s="135"/>
      <c r="K418" s="17"/>
      <c r="L418" s="17"/>
      <c r="M418" s="49">
        <v>3</v>
      </c>
      <c r="N418" s="49">
        <v>1</v>
      </c>
      <c r="O418" s="49">
        <v>0</v>
      </c>
      <c r="P418" s="49">
        <v>0</v>
      </c>
      <c r="Q418" s="49">
        <v>0</v>
      </c>
      <c r="R418" s="49"/>
      <c r="S418" s="49">
        <v>0</v>
      </c>
      <c r="T418" s="42"/>
      <c r="Y418" s="112"/>
    </row>
    <row r="419" spans="1:25">
      <c r="A419" s="49"/>
      <c r="B419" s="105">
        <v>1200022</v>
      </c>
      <c r="C419" s="192" t="s">
        <v>781</v>
      </c>
      <c r="D419" s="192" t="s">
        <v>782</v>
      </c>
      <c r="E419" s="84"/>
      <c r="F419" s="84"/>
      <c r="G419" s="54">
        <v>6</v>
      </c>
      <c r="H419" s="49">
        <v>2</v>
      </c>
      <c r="I419" s="96">
        <v>2</v>
      </c>
      <c r="J419" s="135"/>
      <c r="K419" s="17"/>
      <c r="L419" s="17"/>
      <c r="M419" s="49">
        <v>3</v>
      </c>
      <c r="N419" s="49">
        <v>1</v>
      </c>
      <c r="O419" s="49">
        <v>0</v>
      </c>
      <c r="P419" s="49">
        <v>0</v>
      </c>
      <c r="Q419" s="49">
        <v>0</v>
      </c>
      <c r="R419" s="49"/>
      <c r="S419" s="49">
        <v>0</v>
      </c>
      <c r="T419" s="42"/>
      <c r="Y419" s="112"/>
    </row>
    <row r="420" spans="1:25">
      <c r="A420" s="49"/>
      <c r="B420" s="105">
        <v>1100032</v>
      </c>
      <c r="C420" s="192" t="s">
        <v>783</v>
      </c>
      <c r="D420" s="192" t="s">
        <v>784</v>
      </c>
      <c r="E420" s="84"/>
      <c r="F420" s="84"/>
      <c r="G420" s="54">
        <v>6</v>
      </c>
      <c r="H420" s="49">
        <v>2</v>
      </c>
      <c r="I420" s="96">
        <v>1</v>
      </c>
      <c r="J420" s="135"/>
      <c r="K420" s="17"/>
      <c r="L420" s="17"/>
      <c r="M420" s="49">
        <v>3</v>
      </c>
      <c r="N420" s="49">
        <v>1</v>
      </c>
      <c r="O420" s="49">
        <v>0</v>
      </c>
      <c r="P420" s="49">
        <v>0</v>
      </c>
      <c r="Q420" s="49">
        <v>0</v>
      </c>
      <c r="R420" s="49"/>
      <c r="S420" s="49">
        <v>0</v>
      </c>
      <c r="T420" s="42"/>
      <c r="Y420" s="112"/>
    </row>
    <row r="421" spans="1:25">
      <c r="A421" s="49"/>
      <c r="B421" s="105">
        <v>1100102</v>
      </c>
      <c r="C421" s="192" t="s">
        <v>785</v>
      </c>
      <c r="D421" s="192" t="s">
        <v>786</v>
      </c>
      <c r="E421" s="84"/>
      <c r="F421" s="84"/>
      <c r="G421" s="54">
        <v>6</v>
      </c>
      <c r="H421" s="49">
        <v>2</v>
      </c>
      <c r="I421" s="96">
        <v>1</v>
      </c>
      <c r="J421" s="135"/>
      <c r="K421" s="17"/>
      <c r="L421" s="17"/>
      <c r="M421" s="49">
        <v>3</v>
      </c>
      <c r="N421" s="49">
        <v>1</v>
      </c>
      <c r="O421" s="49">
        <v>0</v>
      </c>
      <c r="P421" s="49">
        <v>0</v>
      </c>
      <c r="Q421" s="49">
        <v>0</v>
      </c>
      <c r="R421" s="49"/>
      <c r="S421" s="49">
        <v>0</v>
      </c>
      <c r="T421" s="42"/>
      <c r="Y421" s="112"/>
    </row>
    <row r="422" spans="1:25">
      <c r="A422" s="49"/>
      <c r="B422" s="105">
        <v>1100022</v>
      </c>
      <c r="C422" s="192" t="s">
        <v>787</v>
      </c>
      <c r="D422" s="192" t="s">
        <v>788</v>
      </c>
      <c r="E422" s="84"/>
      <c r="F422" s="84"/>
      <c r="G422" s="54">
        <v>6</v>
      </c>
      <c r="H422" s="49">
        <v>2</v>
      </c>
      <c r="I422" s="96">
        <v>1</v>
      </c>
      <c r="J422" s="135"/>
      <c r="K422" s="17"/>
      <c r="L422" s="17"/>
      <c r="M422" s="49">
        <v>3</v>
      </c>
      <c r="N422" s="49">
        <v>1</v>
      </c>
      <c r="O422" s="49">
        <v>0</v>
      </c>
      <c r="P422" s="49">
        <v>0</v>
      </c>
      <c r="Q422" s="49">
        <v>0</v>
      </c>
      <c r="R422" s="49"/>
      <c r="S422" s="49">
        <v>0</v>
      </c>
      <c r="T422" s="42"/>
      <c r="Y422" s="112"/>
    </row>
    <row r="423" spans="1:25">
      <c r="A423" s="49"/>
      <c r="B423" s="105">
        <v>1200652</v>
      </c>
      <c r="C423" s="192" t="s">
        <v>789</v>
      </c>
      <c r="D423" s="192"/>
      <c r="E423" s="84"/>
      <c r="F423" s="84"/>
      <c r="G423" s="54">
        <v>6</v>
      </c>
      <c r="H423" s="49">
        <v>2</v>
      </c>
      <c r="I423" s="96">
        <v>2</v>
      </c>
      <c r="J423" s="139"/>
      <c r="K423" s="17"/>
      <c r="L423" s="17"/>
      <c r="M423" s="49">
        <v>3</v>
      </c>
      <c r="N423" s="49">
        <v>1</v>
      </c>
      <c r="O423" s="49">
        <v>0</v>
      </c>
      <c r="P423" s="49">
        <v>0</v>
      </c>
      <c r="Q423" s="49">
        <v>0</v>
      </c>
      <c r="R423" s="49"/>
      <c r="S423" s="49">
        <v>0</v>
      </c>
      <c r="T423" s="42"/>
      <c r="Y423" s="112"/>
    </row>
    <row r="424" spans="1:25">
      <c r="A424" s="49"/>
      <c r="B424" s="105">
        <v>1100692</v>
      </c>
      <c r="C424" s="192" t="s">
        <v>790</v>
      </c>
      <c r="D424" s="192"/>
      <c r="E424" s="84"/>
      <c r="F424" s="84"/>
      <c r="G424" s="54">
        <v>6</v>
      </c>
      <c r="H424" s="49">
        <v>2</v>
      </c>
      <c r="I424" s="96">
        <v>1</v>
      </c>
      <c r="J424" s="139"/>
      <c r="K424" s="17"/>
      <c r="L424" s="17"/>
      <c r="M424" s="49">
        <v>3</v>
      </c>
      <c r="N424" s="49">
        <v>1</v>
      </c>
      <c r="O424" s="49">
        <v>0</v>
      </c>
      <c r="P424" s="49">
        <v>0</v>
      </c>
      <c r="Q424" s="49">
        <v>0</v>
      </c>
      <c r="R424" s="49"/>
      <c r="S424" s="49">
        <v>0</v>
      </c>
      <c r="T424" s="42"/>
      <c r="Y424" s="112"/>
    </row>
    <row r="425" spans="1:25">
      <c r="A425" s="49"/>
      <c r="B425" s="105">
        <v>1100652</v>
      </c>
      <c r="C425" s="192" t="s">
        <v>791</v>
      </c>
      <c r="D425" s="192"/>
      <c r="E425" s="84"/>
      <c r="F425" s="84"/>
      <c r="G425" s="54">
        <v>6</v>
      </c>
      <c r="H425" s="49">
        <v>2</v>
      </c>
      <c r="I425" s="96">
        <v>1</v>
      </c>
      <c r="J425" s="139"/>
      <c r="K425" s="17"/>
      <c r="L425" s="17"/>
      <c r="M425" s="49">
        <v>3</v>
      </c>
      <c r="N425" s="49">
        <v>1</v>
      </c>
      <c r="O425" s="49">
        <v>0</v>
      </c>
      <c r="P425" s="49">
        <v>0</v>
      </c>
      <c r="Q425" s="49">
        <v>0</v>
      </c>
      <c r="R425" s="49"/>
      <c r="S425" s="49">
        <v>0</v>
      </c>
      <c r="T425" s="42"/>
      <c r="Y425" s="112"/>
    </row>
    <row r="426" spans="1:25">
      <c r="A426" s="49"/>
      <c r="B426" s="105">
        <v>1200632</v>
      </c>
      <c r="C426" s="192" t="s">
        <v>4013</v>
      </c>
      <c r="D426" s="192" t="s">
        <v>4112</v>
      </c>
      <c r="E426" s="84"/>
      <c r="F426" s="84"/>
      <c r="G426" s="54">
        <v>6</v>
      </c>
      <c r="H426" s="49">
        <v>2</v>
      </c>
      <c r="I426" s="96">
        <v>2</v>
      </c>
      <c r="J426" s="139"/>
      <c r="K426" s="17"/>
      <c r="L426" s="17"/>
      <c r="M426" s="49">
        <v>3</v>
      </c>
      <c r="N426" s="49">
        <v>1</v>
      </c>
      <c r="O426" s="49">
        <v>0</v>
      </c>
      <c r="P426" s="49">
        <v>0</v>
      </c>
      <c r="Q426" s="49">
        <v>0</v>
      </c>
      <c r="R426" s="49"/>
      <c r="S426" s="49">
        <v>0</v>
      </c>
      <c r="T426" s="42"/>
      <c r="Y426" s="112"/>
    </row>
    <row r="427" spans="1:25">
      <c r="A427" s="49"/>
      <c r="B427" s="105">
        <v>1100042</v>
      </c>
      <c r="C427" s="200" t="s">
        <v>792</v>
      </c>
      <c r="D427" s="192" t="s">
        <v>4140</v>
      </c>
      <c r="E427" s="84"/>
      <c r="F427" s="84"/>
      <c r="G427" s="54">
        <v>6</v>
      </c>
      <c r="H427" s="49">
        <v>2</v>
      </c>
      <c r="I427" s="96">
        <v>1</v>
      </c>
      <c r="J427" s="140"/>
      <c r="K427" s="17"/>
      <c r="L427" s="17"/>
      <c r="M427" s="49">
        <v>3</v>
      </c>
      <c r="N427" s="49">
        <v>1</v>
      </c>
      <c r="O427" s="49">
        <v>0</v>
      </c>
      <c r="P427" s="49">
        <v>0</v>
      </c>
      <c r="Q427" s="49">
        <v>0</v>
      </c>
      <c r="R427" s="49"/>
      <c r="S427" s="49">
        <v>0</v>
      </c>
      <c r="T427" s="42"/>
      <c r="Y427" s="112"/>
    </row>
    <row r="428" spans="1:25">
      <c r="A428" s="49"/>
      <c r="B428" s="105">
        <v>1100632</v>
      </c>
      <c r="C428" s="200" t="s">
        <v>4096</v>
      </c>
      <c r="D428" s="192" t="s">
        <v>4095</v>
      </c>
      <c r="E428" s="84"/>
      <c r="F428" s="84"/>
      <c r="G428" s="54">
        <v>6</v>
      </c>
      <c r="H428" s="49">
        <v>2</v>
      </c>
      <c r="I428" s="96">
        <v>1</v>
      </c>
      <c r="J428" s="140"/>
      <c r="K428" s="17"/>
      <c r="L428" s="17"/>
      <c r="M428" s="49">
        <v>3</v>
      </c>
      <c r="N428" s="49">
        <v>1</v>
      </c>
      <c r="O428" s="49">
        <v>0</v>
      </c>
      <c r="P428" s="49">
        <v>0</v>
      </c>
      <c r="Q428" s="49">
        <v>0</v>
      </c>
      <c r="R428" s="49"/>
      <c r="S428" s="49">
        <v>0</v>
      </c>
      <c r="T428" s="42"/>
      <c r="Y428" s="112"/>
    </row>
    <row r="429" spans="1:25">
      <c r="A429" s="49"/>
      <c r="B429" s="105">
        <v>1100052</v>
      </c>
      <c r="C429" s="200" t="s">
        <v>793</v>
      </c>
      <c r="D429" s="192" t="s">
        <v>4056</v>
      </c>
      <c r="E429" s="84"/>
      <c r="F429" s="84"/>
      <c r="G429" s="54">
        <v>6</v>
      </c>
      <c r="H429" s="49">
        <v>2</v>
      </c>
      <c r="I429" s="96">
        <v>1</v>
      </c>
      <c r="J429" s="140"/>
      <c r="K429" s="17"/>
      <c r="L429" s="17"/>
      <c r="M429" s="49">
        <v>3</v>
      </c>
      <c r="N429" s="49">
        <v>1</v>
      </c>
      <c r="O429" s="49">
        <v>0</v>
      </c>
      <c r="P429" s="49">
        <v>0</v>
      </c>
      <c r="Q429" s="49">
        <v>0</v>
      </c>
      <c r="R429" s="49"/>
      <c r="S429" s="49">
        <v>0</v>
      </c>
      <c r="T429" s="42"/>
      <c r="Y429" s="112"/>
    </row>
    <row r="430" spans="1:25">
      <c r="A430" s="49"/>
      <c r="B430" s="105">
        <v>1200042</v>
      </c>
      <c r="C430" s="200" t="s">
        <v>792</v>
      </c>
      <c r="D430" s="192" t="s">
        <v>4141</v>
      </c>
      <c r="E430" s="84"/>
      <c r="F430" s="84"/>
      <c r="G430" s="54">
        <v>6</v>
      </c>
      <c r="H430" s="49">
        <v>2</v>
      </c>
      <c r="I430" s="96">
        <v>2</v>
      </c>
      <c r="J430" s="140"/>
      <c r="K430" s="17"/>
      <c r="L430" s="17"/>
      <c r="M430" s="49">
        <v>3</v>
      </c>
      <c r="N430" s="49">
        <v>1</v>
      </c>
      <c r="O430" s="49">
        <v>0</v>
      </c>
      <c r="P430" s="49">
        <v>0</v>
      </c>
      <c r="Q430" s="49">
        <v>0</v>
      </c>
      <c r="R430" s="49"/>
      <c r="S430" s="49">
        <v>0</v>
      </c>
      <c r="T430" s="42"/>
      <c r="Y430" s="112"/>
    </row>
    <row r="431" spans="1:25">
      <c r="A431" s="49"/>
      <c r="B431" s="105">
        <v>1200052</v>
      </c>
      <c r="C431" s="200" t="s">
        <v>794</v>
      </c>
      <c r="D431" s="192" t="s">
        <v>4057</v>
      </c>
      <c r="E431" s="84"/>
      <c r="F431" s="84"/>
      <c r="G431" s="54">
        <v>6</v>
      </c>
      <c r="H431" s="49">
        <v>2</v>
      </c>
      <c r="I431" s="96">
        <v>2</v>
      </c>
      <c r="J431" s="140"/>
      <c r="K431" s="17"/>
      <c r="L431" s="17"/>
      <c r="M431" s="49">
        <v>3</v>
      </c>
      <c r="N431" s="49">
        <v>1</v>
      </c>
      <c r="O431" s="49">
        <v>0</v>
      </c>
      <c r="P431" s="49">
        <v>0</v>
      </c>
      <c r="Q431" s="49">
        <v>0</v>
      </c>
      <c r="R431" s="49"/>
      <c r="S431" s="49">
        <v>0</v>
      </c>
      <c r="T431" s="42"/>
      <c r="Y431" s="112"/>
    </row>
    <row r="432" spans="1:25">
      <c r="A432" s="49"/>
      <c r="B432" s="105">
        <v>1200802</v>
      </c>
      <c r="C432" s="200" t="s">
        <v>795</v>
      </c>
      <c r="D432" s="192" t="s">
        <v>4091</v>
      </c>
      <c r="E432" s="84"/>
      <c r="F432" s="84"/>
      <c r="G432" s="54">
        <v>6</v>
      </c>
      <c r="H432" s="49">
        <v>2</v>
      </c>
      <c r="I432" s="96">
        <v>2</v>
      </c>
      <c r="J432" s="140"/>
      <c r="K432" s="17"/>
      <c r="L432" s="17"/>
      <c r="M432" s="49">
        <v>3</v>
      </c>
      <c r="N432" s="49">
        <v>1</v>
      </c>
      <c r="O432" s="49">
        <v>0</v>
      </c>
      <c r="P432" s="49">
        <v>0</v>
      </c>
      <c r="Q432" s="49">
        <v>0</v>
      </c>
      <c r="R432" s="49"/>
      <c r="S432" s="49">
        <v>0</v>
      </c>
      <c r="T432" s="42"/>
      <c r="Y432" s="112"/>
    </row>
    <row r="433" spans="1:25">
      <c r="A433" s="49"/>
      <c r="B433" s="105">
        <v>1200012</v>
      </c>
      <c r="C433" s="200" t="s">
        <v>796</v>
      </c>
      <c r="D433" s="192" t="s">
        <v>4058</v>
      </c>
      <c r="E433" s="84"/>
      <c r="F433" s="84"/>
      <c r="G433" s="54">
        <v>6</v>
      </c>
      <c r="H433" s="49">
        <v>2</v>
      </c>
      <c r="I433" s="96">
        <v>2</v>
      </c>
      <c r="J433" s="140"/>
      <c r="K433" s="17"/>
      <c r="L433" s="17"/>
      <c r="M433" s="49">
        <v>3</v>
      </c>
      <c r="N433" s="49">
        <v>1</v>
      </c>
      <c r="O433" s="49">
        <v>0</v>
      </c>
      <c r="P433" s="49">
        <v>0</v>
      </c>
      <c r="Q433" s="49">
        <v>0</v>
      </c>
      <c r="R433" s="49"/>
      <c r="S433" s="49">
        <v>0</v>
      </c>
      <c r="T433" s="42"/>
      <c r="Y433" s="112"/>
    </row>
    <row r="434" spans="1:25">
      <c r="A434" s="49"/>
      <c r="B434" s="105">
        <v>1100802</v>
      </c>
      <c r="C434" s="200" t="s">
        <v>795</v>
      </c>
      <c r="D434" s="192" t="s">
        <v>4092</v>
      </c>
      <c r="E434" s="84"/>
      <c r="F434" s="84"/>
      <c r="G434" s="54">
        <v>6</v>
      </c>
      <c r="H434" s="49">
        <v>2</v>
      </c>
      <c r="I434" s="96">
        <v>1</v>
      </c>
      <c r="J434" s="140"/>
      <c r="K434" s="17"/>
      <c r="L434" s="17"/>
      <c r="M434" s="49">
        <v>3</v>
      </c>
      <c r="N434" s="49">
        <v>1</v>
      </c>
      <c r="O434" s="49">
        <v>0</v>
      </c>
      <c r="P434" s="49">
        <v>0</v>
      </c>
      <c r="Q434" s="49">
        <v>0</v>
      </c>
      <c r="R434" s="49"/>
      <c r="S434" s="49">
        <v>0</v>
      </c>
      <c r="T434" s="42"/>
      <c r="Y434" s="112"/>
    </row>
    <row r="435" spans="1:25">
      <c r="A435" s="49"/>
      <c r="B435" s="105">
        <v>1100012</v>
      </c>
      <c r="C435" s="200" t="s">
        <v>796</v>
      </c>
      <c r="D435" s="192" t="s">
        <v>4059</v>
      </c>
      <c r="E435" s="84"/>
      <c r="F435" s="84"/>
      <c r="G435" s="54">
        <v>6</v>
      </c>
      <c r="H435" s="49">
        <v>2</v>
      </c>
      <c r="I435" s="96">
        <v>1</v>
      </c>
      <c r="J435" s="140"/>
      <c r="K435" s="17"/>
      <c r="L435" s="17"/>
      <c r="M435" s="49">
        <v>3</v>
      </c>
      <c r="N435" s="49">
        <v>1</v>
      </c>
      <c r="O435" s="49">
        <v>0</v>
      </c>
      <c r="P435" s="49">
        <v>0</v>
      </c>
      <c r="Q435" s="49">
        <v>0</v>
      </c>
      <c r="R435" s="49"/>
      <c r="S435" s="49">
        <v>0</v>
      </c>
      <c r="T435" s="42"/>
      <c r="Y435" s="112"/>
    </row>
    <row r="436" spans="1:25">
      <c r="A436" s="49"/>
      <c r="B436" s="105">
        <v>1200172</v>
      </c>
      <c r="C436" s="200" t="s">
        <v>797</v>
      </c>
      <c r="D436" s="192" t="s">
        <v>4060</v>
      </c>
      <c r="E436" s="84"/>
      <c r="F436" s="84"/>
      <c r="G436" s="54">
        <v>6</v>
      </c>
      <c r="H436" s="49">
        <v>2</v>
      </c>
      <c r="I436" s="96">
        <v>2</v>
      </c>
      <c r="J436" s="140"/>
      <c r="K436" s="17"/>
      <c r="L436" s="17"/>
      <c r="M436" s="49">
        <v>3</v>
      </c>
      <c r="N436" s="49">
        <v>1</v>
      </c>
      <c r="O436" s="49">
        <v>0</v>
      </c>
      <c r="P436" s="49">
        <v>0</v>
      </c>
      <c r="Q436" s="49">
        <v>0</v>
      </c>
      <c r="R436" s="49"/>
      <c r="S436" s="49">
        <v>0</v>
      </c>
      <c r="T436" s="42"/>
      <c r="Y436" s="112"/>
    </row>
    <row r="437" spans="1:25">
      <c r="A437" s="49"/>
      <c r="B437" s="105">
        <v>1100172</v>
      </c>
      <c r="C437" s="200" t="s">
        <v>797</v>
      </c>
      <c r="D437" s="192" t="s">
        <v>4061</v>
      </c>
      <c r="E437" s="84"/>
      <c r="F437" s="84"/>
      <c r="G437" s="54">
        <v>6</v>
      </c>
      <c r="H437" s="49">
        <v>2</v>
      </c>
      <c r="I437" s="96">
        <v>1</v>
      </c>
      <c r="J437" s="140"/>
      <c r="K437" s="17"/>
      <c r="L437" s="17"/>
      <c r="M437" s="49">
        <v>3</v>
      </c>
      <c r="N437" s="49">
        <v>1</v>
      </c>
      <c r="O437" s="49">
        <v>0</v>
      </c>
      <c r="P437" s="49">
        <v>0</v>
      </c>
      <c r="Q437" s="49">
        <v>0</v>
      </c>
      <c r="R437" s="49"/>
      <c r="S437" s="49">
        <v>0</v>
      </c>
      <c r="T437" s="42"/>
      <c r="Y437" s="112"/>
    </row>
    <row r="438" spans="1:25">
      <c r="A438" s="49"/>
      <c r="B438" s="105">
        <v>1200072</v>
      </c>
      <c r="C438" s="200" t="s">
        <v>798</v>
      </c>
      <c r="D438" s="192" t="s">
        <v>4062</v>
      </c>
      <c r="E438" s="84"/>
      <c r="F438" s="84"/>
      <c r="G438" s="54">
        <v>6</v>
      </c>
      <c r="H438" s="49">
        <v>2</v>
      </c>
      <c r="I438" s="91">
        <v>2</v>
      </c>
      <c r="J438" s="140"/>
      <c r="K438" s="17"/>
      <c r="L438" s="17"/>
      <c r="M438" s="49">
        <v>3</v>
      </c>
      <c r="N438" s="49">
        <v>1</v>
      </c>
      <c r="O438" s="49">
        <v>0</v>
      </c>
      <c r="P438" s="49">
        <v>0</v>
      </c>
      <c r="Q438" s="49">
        <v>0</v>
      </c>
      <c r="R438" s="49"/>
      <c r="S438" s="49">
        <v>0</v>
      </c>
      <c r="T438" s="42"/>
      <c r="Y438" s="112"/>
    </row>
    <row r="439" spans="1:25">
      <c r="A439" s="49"/>
      <c r="B439" s="105">
        <v>1100072</v>
      </c>
      <c r="C439" s="200" t="s">
        <v>798</v>
      </c>
      <c r="D439" s="192" t="s">
        <v>4063</v>
      </c>
      <c r="E439" s="84"/>
      <c r="F439" s="84"/>
      <c r="G439" s="54">
        <v>6</v>
      </c>
      <c r="H439" s="49">
        <v>2</v>
      </c>
      <c r="I439" s="91">
        <v>1</v>
      </c>
      <c r="J439" s="140"/>
      <c r="K439" s="17"/>
      <c r="L439" s="17"/>
      <c r="M439" s="49">
        <v>3</v>
      </c>
      <c r="N439" s="49">
        <v>1</v>
      </c>
      <c r="O439" s="49">
        <v>0</v>
      </c>
      <c r="P439" s="49">
        <v>0</v>
      </c>
      <c r="Q439" s="49">
        <v>0</v>
      </c>
      <c r="R439" s="49"/>
      <c r="S439" s="49">
        <v>0</v>
      </c>
      <c r="T439" s="42"/>
      <c r="Y439" s="112"/>
    </row>
    <row r="440" spans="1:25">
      <c r="A440" s="49"/>
      <c r="B440" s="105">
        <v>1200682</v>
      </c>
      <c r="C440" s="200" t="s">
        <v>799</v>
      </c>
      <c r="D440" s="201" t="s">
        <v>4041</v>
      </c>
      <c r="E440" s="84"/>
      <c r="F440" s="84"/>
      <c r="G440" s="54">
        <v>6</v>
      </c>
      <c r="H440" s="49">
        <v>2</v>
      </c>
      <c r="I440" s="91">
        <v>2</v>
      </c>
      <c r="J440" s="140"/>
      <c r="K440" s="17"/>
      <c r="L440" s="17"/>
      <c r="M440" s="49">
        <v>3</v>
      </c>
      <c r="N440" s="49">
        <v>1</v>
      </c>
      <c r="O440" s="49">
        <v>0</v>
      </c>
      <c r="P440" s="49">
        <v>0</v>
      </c>
      <c r="Q440" s="49">
        <v>0</v>
      </c>
      <c r="R440" s="49"/>
      <c r="S440" s="49">
        <v>0</v>
      </c>
      <c r="T440" s="42"/>
      <c r="Y440" s="112"/>
    </row>
    <row r="441" spans="1:25">
      <c r="A441" s="49"/>
      <c r="B441" s="105">
        <v>1200662</v>
      </c>
      <c r="C441" s="200" t="s">
        <v>800</v>
      </c>
      <c r="D441" s="202" t="s">
        <v>4041</v>
      </c>
      <c r="E441" s="84"/>
      <c r="F441" s="84"/>
      <c r="G441" s="54">
        <v>6</v>
      </c>
      <c r="H441" s="49">
        <v>2</v>
      </c>
      <c r="I441" s="91">
        <v>2</v>
      </c>
      <c r="J441" s="140"/>
      <c r="K441" s="17"/>
      <c r="L441" s="17"/>
      <c r="M441" s="49">
        <v>3</v>
      </c>
      <c r="N441" s="49">
        <v>1</v>
      </c>
      <c r="O441" s="49">
        <v>0</v>
      </c>
      <c r="P441" s="49">
        <v>0</v>
      </c>
      <c r="Q441" s="49">
        <v>0</v>
      </c>
      <c r="R441" s="49"/>
      <c r="S441" s="49">
        <v>0</v>
      </c>
      <c r="T441" s="42"/>
      <c r="Y441" s="112"/>
    </row>
    <row r="442" spans="1:25">
      <c r="A442" s="49"/>
      <c r="B442" s="105">
        <v>1100362</v>
      </c>
      <c r="C442" s="203" t="s">
        <v>801</v>
      </c>
      <c r="D442" s="192"/>
      <c r="E442" s="84"/>
      <c r="F442" s="84"/>
      <c r="G442" s="54">
        <v>6</v>
      </c>
      <c r="H442" s="49">
        <v>2</v>
      </c>
      <c r="I442" s="91">
        <v>1</v>
      </c>
      <c r="J442" s="140"/>
      <c r="K442" s="17"/>
      <c r="L442" s="17"/>
      <c r="M442" s="49">
        <v>3</v>
      </c>
      <c r="N442" s="49">
        <v>1</v>
      </c>
      <c r="O442" s="49">
        <v>0</v>
      </c>
      <c r="P442" s="49">
        <v>0</v>
      </c>
      <c r="Q442" s="49">
        <v>0</v>
      </c>
      <c r="R442" s="49"/>
      <c r="S442" s="49">
        <v>0</v>
      </c>
      <c r="T442" s="42"/>
      <c r="Y442" s="112"/>
    </row>
    <row r="443" spans="1:25">
      <c r="A443" s="49"/>
      <c r="B443" s="105">
        <v>1100442</v>
      </c>
      <c r="C443" s="203" t="s">
        <v>802</v>
      </c>
      <c r="D443" s="192"/>
      <c r="E443" s="84"/>
      <c r="F443" s="84"/>
      <c r="G443" s="54">
        <v>6</v>
      </c>
      <c r="H443" s="49">
        <v>2</v>
      </c>
      <c r="I443" s="91">
        <v>1</v>
      </c>
      <c r="J443" s="140"/>
      <c r="K443" s="17"/>
      <c r="L443" s="17"/>
      <c r="M443" s="49">
        <v>3</v>
      </c>
      <c r="N443" s="49">
        <v>1</v>
      </c>
      <c r="O443" s="49">
        <v>0</v>
      </c>
      <c r="P443" s="49">
        <v>0</v>
      </c>
      <c r="Q443" s="49">
        <v>0</v>
      </c>
      <c r="R443" s="49"/>
      <c r="S443" s="49">
        <v>0</v>
      </c>
      <c r="T443" s="42"/>
      <c r="Y443" s="112"/>
    </row>
    <row r="444" spans="1:25">
      <c r="A444" s="49"/>
      <c r="B444" s="105">
        <v>1100522</v>
      </c>
      <c r="C444" s="203" t="s">
        <v>803</v>
      </c>
      <c r="D444" s="192"/>
      <c r="E444" s="84"/>
      <c r="F444" s="84"/>
      <c r="G444" s="54">
        <v>6</v>
      </c>
      <c r="H444" s="49">
        <v>2</v>
      </c>
      <c r="I444" s="91">
        <v>1</v>
      </c>
      <c r="J444" s="140"/>
      <c r="K444" s="17"/>
      <c r="L444" s="17"/>
      <c r="M444" s="49">
        <v>3</v>
      </c>
      <c r="N444" s="49">
        <v>1</v>
      </c>
      <c r="O444" s="49">
        <v>0</v>
      </c>
      <c r="P444" s="49">
        <v>0</v>
      </c>
      <c r="Q444" s="49">
        <v>0</v>
      </c>
      <c r="R444" s="49"/>
      <c r="S444" s="49">
        <v>0</v>
      </c>
      <c r="T444" s="42"/>
      <c r="Y444" s="112"/>
    </row>
    <row r="445" spans="1:25">
      <c r="A445" s="49"/>
      <c r="B445" s="105">
        <v>1100592</v>
      </c>
      <c r="C445" s="203" t="s">
        <v>804</v>
      </c>
      <c r="D445" s="192"/>
      <c r="E445" s="84"/>
      <c r="F445" s="84"/>
      <c r="G445" s="54">
        <v>6</v>
      </c>
      <c r="H445" s="49">
        <v>2</v>
      </c>
      <c r="I445" s="91">
        <v>1</v>
      </c>
      <c r="J445" s="140"/>
      <c r="K445" s="17"/>
      <c r="L445" s="17"/>
      <c r="M445" s="49">
        <v>3</v>
      </c>
      <c r="N445" s="49">
        <v>1</v>
      </c>
      <c r="O445" s="49">
        <v>0</v>
      </c>
      <c r="P445" s="49">
        <v>0</v>
      </c>
      <c r="Q445" s="49">
        <v>0</v>
      </c>
      <c r="R445" s="49"/>
      <c r="S445" s="49">
        <v>0</v>
      </c>
      <c r="T445" s="42"/>
      <c r="Y445" s="112"/>
    </row>
    <row r="446" spans="1:25">
      <c r="A446" s="49"/>
      <c r="B446" s="105">
        <v>1200402</v>
      </c>
      <c r="C446" s="203" t="s">
        <v>805</v>
      </c>
      <c r="D446" s="192"/>
      <c r="E446" s="84"/>
      <c r="F446" s="84"/>
      <c r="G446" s="54">
        <v>6</v>
      </c>
      <c r="H446" s="49">
        <v>2</v>
      </c>
      <c r="I446" s="91">
        <v>2</v>
      </c>
      <c r="J446" s="140"/>
      <c r="K446" s="17"/>
      <c r="L446" s="17"/>
      <c r="M446" s="49">
        <v>3</v>
      </c>
      <c r="N446" s="49">
        <v>1</v>
      </c>
      <c r="O446" s="49">
        <v>0</v>
      </c>
      <c r="P446" s="49">
        <v>0</v>
      </c>
      <c r="Q446" s="49">
        <v>0</v>
      </c>
      <c r="R446" s="49"/>
      <c r="S446" s="49">
        <v>0</v>
      </c>
      <c r="T446" s="42"/>
      <c r="Y446" s="112"/>
    </row>
    <row r="447" spans="1:25">
      <c r="A447" s="49"/>
      <c r="B447" s="105">
        <v>1200482</v>
      </c>
      <c r="C447" s="203" t="s">
        <v>4014</v>
      </c>
      <c r="D447" s="192"/>
      <c r="E447" s="84"/>
      <c r="F447" s="84"/>
      <c r="G447" s="54">
        <v>6</v>
      </c>
      <c r="H447" s="49">
        <v>2</v>
      </c>
      <c r="I447" s="91">
        <v>2</v>
      </c>
      <c r="J447" s="140"/>
      <c r="K447" s="17"/>
      <c r="L447" s="17"/>
      <c r="M447" s="49">
        <v>3</v>
      </c>
      <c r="N447" s="49">
        <v>1</v>
      </c>
      <c r="O447" s="49">
        <v>0</v>
      </c>
      <c r="P447" s="49">
        <v>0</v>
      </c>
      <c r="Q447" s="49">
        <v>0</v>
      </c>
      <c r="R447" s="49"/>
      <c r="S447" s="49">
        <v>0</v>
      </c>
      <c r="T447" s="42"/>
      <c r="Y447" s="112"/>
    </row>
    <row r="448" spans="1:25">
      <c r="A448" s="49"/>
      <c r="B448" s="105">
        <v>1200542</v>
      </c>
      <c r="C448" s="203" t="s">
        <v>806</v>
      </c>
      <c r="D448" s="192"/>
      <c r="E448" s="84"/>
      <c r="F448" s="84"/>
      <c r="G448" s="54">
        <v>6</v>
      </c>
      <c r="H448" s="49">
        <v>2</v>
      </c>
      <c r="I448" s="91">
        <v>2</v>
      </c>
      <c r="J448" s="140"/>
      <c r="K448" s="17"/>
      <c r="L448" s="17"/>
      <c r="M448" s="49">
        <v>3</v>
      </c>
      <c r="N448" s="49">
        <v>1</v>
      </c>
      <c r="O448" s="49">
        <v>0</v>
      </c>
      <c r="P448" s="49">
        <v>0</v>
      </c>
      <c r="Q448" s="49">
        <v>0</v>
      </c>
      <c r="R448" s="49"/>
      <c r="S448" s="49">
        <v>0</v>
      </c>
      <c r="T448" s="42"/>
      <c r="Y448" s="112"/>
    </row>
    <row r="449" spans="1:25" s="41" customFormat="1">
      <c r="A449" s="117" t="s">
        <v>48</v>
      </c>
      <c r="B449" s="112">
        <v>1200552</v>
      </c>
      <c r="C449" s="203" t="s">
        <v>807</v>
      </c>
      <c r="D449" s="200"/>
      <c r="E449" s="138"/>
      <c r="F449" s="138"/>
      <c r="G449" s="54">
        <v>6</v>
      </c>
      <c r="H449" s="55">
        <v>2</v>
      </c>
      <c r="I449" s="139">
        <v>2</v>
      </c>
      <c r="J449" s="140"/>
      <c r="K449" s="65"/>
      <c r="L449" s="65"/>
      <c r="M449" s="55">
        <v>3</v>
      </c>
      <c r="N449" s="55">
        <v>1</v>
      </c>
      <c r="O449" s="55">
        <v>0</v>
      </c>
      <c r="P449" s="55">
        <v>0</v>
      </c>
      <c r="Q449" s="55">
        <v>0</v>
      </c>
      <c r="R449" s="55"/>
      <c r="S449" s="55">
        <v>0</v>
      </c>
      <c r="T449" s="43"/>
      <c r="Y449" s="112"/>
    </row>
    <row r="450" spans="1:25" s="41" customFormat="1">
      <c r="A450" s="117" t="s">
        <v>48</v>
      </c>
      <c r="B450" s="112">
        <v>1200562</v>
      </c>
      <c r="C450" s="203" t="s">
        <v>808</v>
      </c>
      <c r="D450" s="200"/>
      <c r="E450" s="138"/>
      <c r="F450" s="138"/>
      <c r="G450" s="54">
        <v>6</v>
      </c>
      <c r="H450" s="55">
        <v>2</v>
      </c>
      <c r="I450" s="139">
        <v>2</v>
      </c>
      <c r="J450" s="140"/>
      <c r="K450" s="65"/>
      <c r="L450" s="65"/>
      <c r="M450" s="55">
        <v>3</v>
      </c>
      <c r="N450" s="55">
        <v>1</v>
      </c>
      <c r="O450" s="55">
        <v>0</v>
      </c>
      <c r="P450" s="55">
        <v>0</v>
      </c>
      <c r="Q450" s="55">
        <v>0</v>
      </c>
      <c r="R450" s="55"/>
      <c r="S450" s="55">
        <v>0</v>
      </c>
      <c r="T450" s="43"/>
      <c r="Y450" s="112"/>
    </row>
    <row r="451" spans="1:25" s="41" customFormat="1">
      <c r="A451" s="117" t="s">
        <v>48</v>
      </c>
      <c r="B451" s="112">
        <v>1200572</v>
      </c>
      <c r="C451" s="203" t="s">
        <v>809</v>
      </c>
      <c r="D451" s="200"/>
      <c r="E451" s="138"/>
      <c r="F451" s="138"/>
      <c r="G451" s="54">
        <v>6</v>
      </c>
      <c r="H451" s="55">
        <v>2</v>
      </c>
      <c r="I451" s="139">
        <v>2</v>
      </c>
      <c r="J451" s="140"/>
      <c r="K451" s="65"/>
      <c r="L451" s="65"/>
      <c r="M451" s="55">
        <v>3</v>
      </c>
      <c r="N451" s="55">
        <v>1</v>
      </c>
      <c r="O451" s="55">
        <v>0</v>
      </c>
      <c r="P451" s="55">
        <v>0</v>
      </c>
      <c r="Q451" s="55">
        <v>0</v>
      </c>
      <c r="R451" s="55"/>
      <c r="S451" s="55">
        <v>0</v>
      </c>
      <c r="T451" s="43"/>
      <c r="Y451" s="112"/>
    </row>
    <row r="452" spans="1:25" s="41" customFormat="1">
      <c r="A452" s="117" t="s">
        <v>48</v>
      </c>
      <c r="B452" s="112">
        <v>1200582</v>
      </c>
      <c r="C452" s="203" t="s">
        <v>810</v>
      </c>
      <c r="D452" s="200"/>
      <c r="E452" s="138"/>
      <c r="F452" s="138"/>
      <c r="G452" s="54">
        <v>6</v>
      </c>
      <c r="H452" s="55">
        <v>2</v>
      </c>
      <c r="I452" s="139">
        <v>2</v>
      </c>
      <c r="J452" s="140"/>
      <c r="K452" s="65"/>
      <c r="L452" s="65"/>
      <c r="M452" s="55">
        <v>3</v>
      </c>
      <c r="N452" s="55">
        <v>1</v>
      </c>
      <c r="O452" s="55">
        <v>0</v>
      </c>
      <c r="P452" s="55">
        <v>0</v>
      </c>
      <c r="Q452" s="55">
        <v>0</v>
      </c>
      <c r="R452" s="55"/>
      <c r="S452" s="55">
        <v>0</v>
      </c>
      <c r="T452" s="43"/>
      <c r="Y452" s="112"/>
    </row>
    <row r="453" spans="1:25" s="41" customFormat="1">
      <c r="A453" s="117"/>
      <c r="B453" s="216">
        <v>1200712</v>
      </c>
      <c r="C453" s="204" t="s">
        <v>811</v>
      </c>
      <c r="D453" s="204" t="s">
        <v>4107</v>
      </c>
      <c r="E453" s="138"/>
      <c r="F453" s="138"/>
      <c r="G453" s="54">
        <v>6</v>
      </c>
      <c r="H453" s="55">
        <v>2</v>
      </c>
      <c r="I453" s="139">
        <v>2</v>
      </c>
      <c r="J453" s="140"/>
      <c r="K453" s="65"/>
      <c r="L453" s="65"/>
      <c r="M453" s="55">
        <v>3</v>
      </c>
      <c r="N453" s="55">
        <v>1</v>
      </c>
      <c r="O453" s="55">
        <v>0</v>
      </c>
      <c r="P453" s="55">
        <v>0</v>
      </c>
      <c r="Q453" s="55">
        <v>0</v>
      </c>
      <c r="R453" s="55"/>
      <c r="S453" s="55">
        <v>0</v>
      </c>
      <c r="T453" s="43"/>
      <c r="Y453" s="112"/>
    </row>
    <row r="454" spans="1:25">
      <c r="A454" s="49"/>
      <c r="B454" s="121">
        <v>1100292</v>
      </c>
      <c r="C454" s="197" t="s">
        <v>813</v>
      </c>
      <c r="D454" s="197" t="s">
        <v>776</v>
      </c>
      <c r="E454" s="84"/>
      <c r="F454" s="84"/>
      <c r="G454" s="54">
        <v>6</v>
      </c>
      <c r="H454" s="49">
        <v>2</v>
      </c>
      <c r="I454" s="96">
        <v>1</v>
      </c>
      <c r="J454" s="135"/>
      <c r="K454" s="17"/>
      <c r="L454" s="17"/>
      <c r="M454" s="49">
        <v>3</v>
      </c>
      <c r="N454" s="49">
        <v>1</v>
      </c>
      <c r="O454" s="49">
        <v>0</v>
      </c>
      <c r="P454" s="49">
        <v>0</v>
      </c>
      <c r="Q454" s="49">
        <v>0</v>
      </c>
      <c r="R454" s="49"/>
      <c r="S454" s="49">
        <v>0</v>
      </c>
      <c r="T454" s="42"/>
      <c r="Y454" s="112"/>
    </row>
    <row r="455" spans="1:25">
      <c r="A455" s="49"/>
      <c r="B455" s="121">
        <v>1100332</v>
      </c>
      <c r="C455" s="197" t="s">
        <v>814</v>
      </c>
      <c r="D455" s="197" t="s">
        <v>776</v>
      </c>
      <c r="E455" s="84"/>
      <c r="F455" s="84"/>
      <c r="G455" s="54">
        <v>6</v>
      </c>
      <c r="H455" s="49">
        <v>2</v>
      </c>
      <c r="I455" s="96">
        <v>1</v>
      </c>
      <c r="J455" s="135"/>
      <c r="K455" s="17"/>
      <c r="L455" s="17"/>
      <c r="M455" s="49">
        <v>3</v>
      </c>
      <c r="N455" s="49">
        <v>1</v>
      </c>
      <c r="O455" s="49">
        <v>0</v>
      </c>
      <c r="P455" s="49">
        <v>0</v>
      </c>
      <c r="Q455" s="49">
        <v>0</v>
      </c>
      <c r="R455" s="49"/>
      <c r="S455" s="49">
        <v>0</v>
      </c>
      <c r="T455" s="42"/>
      <c r="Y455" s="112"/>
    </row>
    <row r="456" spans="1:25">
      <c r="A456" s="49"/>
      <c r="B456" s="105">
        <v>1200282</v>
      </c>
      <c r="C456" s="203" t="s">
        <v>815</v>
      </c>
      <c r="D456" s="192"/>
      <c r="E456" s="84"/>
      <c r="F456" s="84"/>
      <c r="G456" s="54">
        <v>6</v>
      </c>
      <c r="H456" s="49">
        <v>2</v>
      </c>
      <c r="I456" s="91">
        <v>2</v>
      </c>
      <c r="J456" s="140"/>
      <c r="K456" s="17"/>
      <c r="L456" s="17"/>
      <c r="M456" s="49">
        <v>3</v>
      </c>
      <c r="N456" s="49">
        <v>1</v>
      </c>
      <c r="O456" s="49">
        <v>0</v>
      </c>
      <c r="P456" s="49">
        <v>0</v>
      </c>
      <c r="Q456" s="49">
        <v>0</v>
      </c>
      <c r="R456" s="49"/>
      <c r="S456" s="49">
        <v>0</v>
      </c>
      <c r="T456" s="42"/>
      <c r="Y456" s="112"/>
    </row>
    <row r="457" spans="1:25">
      <c r="A457" s="49"/>
      <c r="B457" s="121">
        <v>1100542</v>
      </c>
      <c r="C457" s="197" t="s">
        <v>816</v>
      </c>
      <c r="D457" s="197" t="s">
        <v>776</v>
      </c>
      <c r="E457" s="84"/>
      <c r="F457" s="84"/>
      <c r="G457" s="54">
        <v>6</v>
      </c>
      <c r="H457" s="49">
        <v>2</v>
      </c>
      <c r="I457" s="96">
        <v>1</v>
      </c>
      <c r="J457" s="135"/>
      <c r="K457" s="17"/>
      <c r="L457" s="17"/>
      <c r="M457" s="49">
        <v>3</v>
      </c>
      <c r="N457" s="49">
        <v>1</v>
      </c>
      <c r="O457" s="49">
        <v>0</v>
      </c>
      <c r="P457" s="49">
        <v>0</v>
      </c>
      <c r="Q457" s="49">
        <v>0</v>
      </c>
      <c r="R457" s="49"/>
      <c r="S457" s="49">
        <v>0</v>
      </c>
      <c r="T457" s="42"/>
      <c r="Y457" s="112"/>
    </row>
    <row r="458" spans="1:25">
      <c r="A458" s="49"/>
      <c r="B458" s="121">
        <v>1100552</v>
      </c>
      <c r="C458" s="197" t="s">
        <v>817</v>
      </c>
      <c r="D458" s="197" t="s">
        <v>776</v>
      </c>
      <c r="E458" s="84"/>
      <c r="F458" s="84"/>
      <c r="G458" s="54">
        <v>6</v>
      </c>
      <c r="H458" s="49">
        <v>2</v>
      </c>
      <c r="I458" s="96">
        <v>1</v>
      </c>
      <c r="J458" s="135"/>
      <c r="K458" s="17"/>
      <c r="L458" s="17"/>
      <c r="M458" s="49">
        <v>3</v>
      </c>
      <c r="N458" s="49">
        <v>1</v>
      </c>
      <c r="O458" s="49">
        <v>0</v>
      </c>
      <c r="P458" s="49">
        <v>0</v>
      </c>
      <c r="Q458" s="49">
        <v>0</v>
      </c>
      <c r="R458" s="49"/>
      <c r="S458" s="49">
        <v>0</v>
      </c>
      <c r="T458" s="42"/>
      <c r="Y458" s="112"/>
    </row>
    <row r="459" spans="1:25">
      <c r="A459" s="49"/>
      <c r="B459" s="121">
        <v>1100422</v>
      </c>
      <c r="C459" s="197" t="s">
        <v>818</v>
      </c>
      <c r="D459" s="197" t="s">
        <v>776</v>
      </c>
      <c r="E459" s="84"/>
      <c r="F459" s="84"/>
      <c r="G459" s="54">
        <v>6</v>
      </c>
      <c r="H459" s="49">
        <v>2</v>
      </c>
      <c r="I459" s="96">
        <v>1</v>
      </c>
      <c r="J459" s="135"/>
      <c r="K459" s="17"/>
      <c r="L459" s="17"/>
      <c r="M459" s="49">
        <v>3</v>
      </c>
      <c r="N459" s="49">
        <v>1</v>
      </c>
      <c r="O459" s="49">
        <v>0</v>
      </c>
      <c r="P459" s="49">
        <v>0</v>
      </c>
      <c r="Q459" s="49">
        <v>0</v>
      </c>
      <c r="R459" s="49"/>
      <c r="S459" s="49">
        <v>0</v>
      </c>
      <c r="T459" s="42"/>
      <c r="Y459" s="112"/>
    </row>
    <row r="460" spans="1:25">
      <c r="A460" s="49"/>
      <c r="B460" s="121">
        <v>1100432</v>
      </c>
      <c r="C460" s="197" t="s">
        <v>819</v>
      </c>
      <c r="D460" s="197" t="s">
        <v>776</v>
      </c>
      <c r="E460" s="84"/>
      <c r="F460" s="84"/>
      <c r="G460" s="54">
        <v>6</v>
      </c>
      <c r="H460" s="49">
        <v>2</v>
      </c>
      <c r="I460" s="96">
        <v>1</v>
      </c>
      <c r="J460" s="135"/>
      <c r="K460" s="17"/>
      <c r="L460" s="17"/>
      <c r="M460" s="49">
        <v>3</v>
      </c>
      <c r="N460" s="49">
        <v>1</v>
      </c>
      <c r="O460" s="49">
        <v>0</v>
      </c>
      <c r="P460" s="49">
        <v>0</v>
      </c>
      <c r="Q460" s="49">
        <v>0</v>
      </c>
      <c r="R460" s="49"/>
      <c r="S460" s="49">
        <v>0</v>
      </c>
      <c r="T460" s="42"/>
      <c r="Y460" s="112"/>
    </row>
    <row r="461" spans="1:25">
      <c r="A461" s="49"/>
      <c r="B461" s="121">
        <v>1200302</v>
      </c>
      <c r="C461" s="205" t="s">
        <v>820</v>
      </c>
      <c r="D461" s="192"/>
      <c r="E461" s="84"/>
      <c r="F461" s="84"/>
      <c r="G461" s="54">
        <v>6</v>
      </c>
      <c r="H461" s="49">
        <v>2</v>
      </c>
      <c r="I461" s="91">
        <v>2</v>
      </c>
      <c r="J461" s="140"/>
      <c r="K461" s="17"/>
      <c r="L461" s="17"/>
      <c r="M461" s="49">
        <v>3</v>
      </c>
      <c r="N461" s="49">
        <v>1</v>
      </c>
      <c r="O461" s="49">
        <v>0</v>
      </c>
      <c r="P461" s="49">
        <v>0</v>
      </c>
      <c r="Q461" s="49">
        <v>0</v>
      </c>
      <c r="R461" s="49"/>
      <c r="S461" s="49">
        <v>0</v>
      </c>
      <c r="T461" s="42"/>
      <c r="Y461" s="112"/>
    </row>
    <row r="462" spans="1:25">
      <c r="A462" s="49"/>
      <c r="B462" s="121">
        <v>1200322</v>
      </c>
      <c r="C462" s="205" t="s">
        <v>821</v>
      </c>
      <c r="D462" s="192"/>
      <c r="E462" s="84"/>
      <c r="F462" s="84"/>
      <c r="G462" s="54">
        <v>6</v>
      </c>
      <c r="H462" s="49">
        <v>2</v>
      </c>
      <c r="I462" s="91">
        <v>2</v>
      </c>
      <c r="J462" s="140"/>
      <c r="K462" s="17"/>
      <c r="L462" s="17"/>
      <c r="M462" s="49">
        <v>3</v>
      </c>
      <c r="N462" s="49">
        <v>1</v>
      </c>
      <c r="O462" s="49">
        <v>0</v>
      </c>
      <c r="P462" s="49">
        <v>0</v>
      </c>
      <c r="Q462" s="49">
        <v>0</v>
      </c>
      <c r="R462" s="49"/>
      <c r="S462" s="49">
        <v>0</v>
      </c>
      <c r="T462" s="42"/>
      <c r="Y462" s="112"/>
    </row>
    <row r="463" spans="1:25">
      <c r="A463" s="212"/>
      <c r="B463" s="215">
        <v>1100832</v>
      </c>
      <c r="C463" s="204" t="s">
        <v>4099</v>
      </c>
      <c r="D463" s="192" t="s">
        <v>4125</v>
      </c>
      <c r="E463" s="213"/>
      <c r="F463" s="213"/>
      <c r="G463" s="54">
        <v>6</v>
      </c>
      <c r="H463" s="49">
        <v>2</v>
      </c>
      <c r="I463" s="96">
        <v>1</v>
      </c>
      <c r="J463" s="135"/>
      <c r="K463" s="17"/>
      <c r="L463" s="17"/>
      <c r="M463" s="49">
        <v>3</v>
      </c>
      <c r="N463" s="49">
        <v>1</v>
      </c>
      <c r="O463" s="49">
        <v>0</v>
      </c>
      <c r="P463" s="49">
        <v>0</v>
      </c>
      <c r="Q463" s="49">
        <v>0</v>
      </c>
      <c r="R463" s="49"/>
      <c r="S463" s="49">
        <v>0</v>
      </c>
      <c r="T463" s="42"/>
      <c r="Y463" s="112"/>
    </row>
    <row r="464" spans="1:25">
      <c r="A464" s="212"/>
      <c r="B464" s="215">
        <v>1100812</v>
      </c>
      <c r="C464" s="204" t="s">
        <v>4100</v>
      </c>
      <c r="D464" s="192"/>
      <c r="E464" s="213"/>
      <c r="F464" s="213"/>
      <c r="G464" s="54">
        <v>6</v>
      </c>
      <c r="H464" s="49">
        <v>2</v>
      </c>
      <c r="I464" s="96">
        <v>1</v>
      </c>
      <c r="J464" s="135"/>
      <c r="K464" s="17"/>
      <c r="L464" s="17"/>
      <c r="M464" s="49">
        <v>3</v>
      </c>
      <c r="N464" s="49">
        <v>1</v>
      </c>
      <c r="O464" s="49">
        <v>0</v>
      </c>
      <c r="P464" s="49">
        <v>0</v>
      </c>
      <c r="Q464" s="49">
        <v>0</v>
      </c>
      <c r="R464" s="49"/>
      <c r="S464" s="49">
        <v>0</v>
      </c>
      <c r="T464" s="42"/>
      <c r="Y464" s="112"/>
    </row>
    <row r="465" spans="1:25">
      <c r="A465" s="212"/>
      <c r="B465" s="215">
        <v>1200832</v>
      </c>
      <c r="C465" s="204" t="s">
        <v>4099</v>
      </c>
      <c r="D465" s="192" t="s">
        <v>4126</v>
      </c>
      <c r="E465" s="213"/>
      <c r="F465" s="213"/>
      <c r="G465" s="54">
        <v>6</v>
      </c>
      <c r="H465" s="49">
        <v>2</v>
      </c>
      <c r="I465" s="91">
        <v>2</v>
      </c>
      <c r="J465" s="140"/>
      <c r="K465" s="17"/>
      <c r="L465" s="17"/>
      <c r="M465" s="49">
        <v>3</v>
      </c>
      <c r="N465" s="49">
        <v>1</v>
      </c>
      <c r="O465" s="49">
        <v>0</v>
      </c>
      <c r="P465" s="49">
        <v>0</v>
      </c>
      <c r="Q465" s="49">
        <v>0</v>
      </c>
      <c r="R465" s="49"/>
      <c r="S465" s="49">
        <v>0</v>
      </c>
      <c r="T465" s="42"/>
      <c r="Y465" s="112"/>
    </row>
    <row r="466" spans="1:25">
      <c r="A466" s="212"/>
      <c r="B466" s="215">
        <v>1200812</v>
      </c>
      <c r="C466" s="204" t="s">
        <v>4100</v>
      </c>
      <c r="D466" s="192" t="s">
        <v>4127</v>
      </c>
      <c r="E466" s="213"/>
      <c r="F466" s="213"/>
      <c r="G466" s="54">
        <v>6</v>
      </c>
      <c r="H466" s="49">
        <v>2</v>
      </c>
      <c r="I466" s="91">
        <v>2</v>
      </c>
      <c r="J466" s="140"/>
      <c r="K466" s="17"/>
      <c r="L466" s="17"/>
      <c r="M466" s="49">
        <v>3</v>
      </c>
      <c r="N466" s="49">
        <v>1</v>
      </c>
      <c r="O466" s="49">
        <v>0</v>
      </c>
      <c r="P466" s="49">
        <v>0</v>
      </c>
      <c r="Q466" s="49">
        <v>0</v>
      </c>
      <c r="R466" s="49"/>
      <c r="S466" s="49">
        <v>0</v>
      </c>
      <c r="T466" s="42"/>
      <c r="Y466" s="112"/>
    </row>
    <row r="467" spans="1:25">
      <c r="A467" s="49"/>
      <c r="B467" s="230">
        <v>1100852</v>
      </c>
      <c r="C467" s="105" t="s">
        <v>4188</v>
      </c>
      <c r="D467" s="105"/>
      <c r="E467" s="84"/>
      <c r="F467" s="84"/>
      <c r="G467" s="54">
        <v>6</v>
      </c>
      <c r="H467" s="49">
        <v>2</v>
      </c>
      <c r="I467" s="96">
        <v>1</v>
      </c>
      <c r="J467" s="135"/>
      <c r="K467" s="17"/>
      <c r="L467" s="17"/>
      <c r="M467" s="49">
        <v>3</v>
      </c>
      <c r="N467" s="49">
        <v>1</v>
      </c>
      <c r="O467" s="49">
        <v>0</v>
      </c>
      <c r="P467" s="49">
        <v>0</v>
      </c>
      <c r="Q467" s="49">
        <v>0</v>
      </c>
      <c r="R467" s="49"/>
      <c r="S467" s="49">
        <v>0</v>
      </c>
      <c r="T467" s="42"/>
      <c r="Y467" s="112"/>
    </row>
    <row r="468" spans="1:25">
      <c r="A468" s="49"/>
      <c r="B468" s="230">
        <v>1100862</v>
      </c>
      <c r="C468" s="105" t="s">
        <v>4189</v>
      </c>
      <c r="D468" s="105"/>
      <c r="E468" s="84"/>
      <c r="F468" s="84"/>
      <c r="G468" s="54">
        <v>6</v>
      </c>
      <c r="H468" s="49">
        <v>2</v>
      </c>
      <c r="I468" s="96">
        <v>1</v>
      </c>
      <c r="J468" s="135"/>
      <c r="K468" s="17"/>
      <c r="L468" s="17"/>
      <c r="M468" s="49">
        <v>3</v>
      </c>
      <c r="N468" s="49">
        <v>1</v>
      </c>
      <c r="O468" s="49">
        <v>0</v>
      </c>
      <c r="P468" s="49">
        <v>0</v>
      </c>
      <c r="Q468" s="49">
        <v>0</v>
      </c>
      <c r="R468" s="49"/>
      <c r="S468" s="49">
        <v>0</v>
      </c>
      <c r="T468" s="42"/>
      <c r="Y468" s="112"/>
    </row>
    <row r="469" spans="1:25">
      <c r="A469" s="49"/>
      <c r="B469" s="229">
        <v>1200852</v>
      </c>
      <c r="C469" s="105" t="s">
        <v>4188</v>
      </c>
      <c r="D469" s="105"/>
      <c r="E469" s="84"/>
      <c r="F469" s="84"/>
      <c r="G469" s="54">
        <v>6</v>
      </c>
      <c r="H469" s="49">
        <v>2</v>
      </c>
      <c r="I469" s="91">
        <v>2</v>
      </c>
      <c r="J469" s="140"/>
      <c r="K469" s="17"/>
      <c r="L469" s="17"/>
      <c r="M469" s="49">
        <v>3</v>
      </c>
      <c r="N469" s="49">
        <v>1</v>
      </c>
      <c r="O469" s="49">
        <v>0</v>
      </c>
      <c r="P469" s="49">
        <v>0</v>
      </c>
      <c r="Q469" s="49">
        <v>0</v>
      </c>
      <c r="R469" s="49"/>
      <c r="S469" s="49">
        <v>0</v>
      </c>
      <c r="T469" s="42"/>
      <c r="Y469" s="112"/>
    </row>
    <row r="470" spans="1:25">
      <c r="A470" s="49"/>
      <c r="B470" s="229">
        <v>1200862</v>
      </c>
      <c r="C470" s="105" t="s">
        <v>4189</v>
      </c>
      <c r="D470" s="105"/>
      <c r="E470" s="84"/>
      <c r="F470" s="84"/>
      <c r="G470" s="54">
        <v>6</v>
      </c>
      <c r="H470" s="49">
        <v>2</v>
      </c>
      <c r="I470" s="91">
        <v>2</v>
      </c>
      <c r="J470" s="140"/>
      <c r="K470" s="17"/>
      <c r="L470" s="17"/>
      <c r="M470" s="49">
        <v>3</v>
      </c>
      <c r="N470" s="49">
        <v>1</v>
      </c>
      <c r="O470" s="49">
        <v>0</v>
      </c>
      <c r="P470" s="49">
        <v>0</v>
      </c>
      <c r="Q470" s="49">
        <v>0</v>
      </c>
      <c r="R470" s="49"/>
      <c r="S470" s="49">
        <v>0</v>
      </c>
      <c r="T470" s="42"/>
      <c r="Y470" s="112"/>
    </row>
    <row r="471" spans="1:25">
      <c r="A471" s="87" t="s">
        <v>48</v>
      </c>
      <c r="B471" s="206" t="s">
        <v>822</v>
      </c>
      <c r="C471" s="207"/>
      <c r="D471" s="207"/>
      <c r="E471" s="89"/>
      <c r="F471" s="89"/>
      <c r="G471" s="87"/>
      <c r="H471" s="87"/>
      <c r="I471" s="95"/>
      <c r="J471" s="88"/>
      <c r="K471" s="17"/>
      <c r="L471" s="17"/>
      <c r="M471" s="87"/>
      <c r="N471" s="87"/>
      <c r="O471" s="87"/>
      <c r="P471" s="87"/>
      <c r="Q471" s="87"/>
      <c r="R471" s="87"/>
      <c r="S471" s="87"/>
      <c r="T471" s="98"/>
      <c r="Y471" s="141"/>
    </row>
    <row r="472" spans="1:25">
      <c r="A472" s="49"/>
      <c r="B472" s="105">
        <v>1100283</v>
      </c>
      <c r="C472" s="187" t="s">
        <v>823</v>
      </c>
      <c r="D472" s="188" t="s">
        <v>4041</v>
      </c>
      <c r="E472" s="84"/>
      <c r="F472" s="84"/>
      <c r="G472" s="49">
        <v>6</v>
      </c>
      <c r="H472" s="49">
        <v>3</v>
      </c>
      <c r="I472" s="96">
        <v>1</v>
      </c>
      <c r="J472" s="96"/>
      <c r="K472" s="17"/>
      <c r="L472" s="17"/>
      <c r="M472" s="49">
        <v>3</v>
      </c>
      <c r="N472" s="49">
        <v>1</v>
      </c>
      <c r="O472" s="49">
        <v>0</v>
      </c>
      <c r="P472" s="49">
        <v>0</v>
      </c>
      <c r="Q472" s="49">
        <v>0</v>
      </c>
      <c r="R472" s="49"/>
      <c r="S472" s="49">
        <v>0</v>
      </c>
      <c r="T472" s="42"/>
      <c r="Y472" s="112"/>
    </row>
    <row r="473" spans="1:25">
      <c r="A473" s="49"/>
      <c r="B473" s="105">
        <v>1100373</v>
      </c>
      <c r="C473" s="187" t="s">
        <v>824</v>
      </c>
      <c r="D473" s="188" t="s">
        <v>4041</v>
      </c>
      <c r="E473" s="84"/>
      <c r="F473" s="84"/>
      <c r="G473" s="49">
        <v>6</v>
      </c>
      <c r="H473" s="49">
        <v>3</v>
      </c>
      <c r="I473" s="96">
        <v>1</v>
      </c>
      <c r="J473" s="96"/>
      <c r="K473" s="17"/>
      <c r="L473" s="17"/>
      <c r="M473" s="49">
        <v>3</v>
      </c>
      <c r="N473" s="49">
        <v>1</v>
      </c>
      <c r="O473" s="49">
        <v>0</v>
      </c>
      <c r="P473" s="49">
        <v>0</v>
      </c>
      <c r="Q473" s="49">
        <v>0</v>
      </c>
      <c r="R473" s="49"/>
      <c r="S473" s="49">
        <v>0</v>
      </c>
      <c r="T473" s="42"/>
      <c r="Y473" s="112"/>
    </row>
    <row r="474" spans="1:25">
      <c r="A474" s="49"/>
      <c r="B474" s="105">
        <v>1100453</v>
      </c>
      <c r="C474" s="187" t="s">
        <v>825</v>
      </c>
      <c r="D474" s="188" t="s">
        <v>4041</v>
      </c>
      <c r="E474" s="84"/>
      <c r="F474" s="84"/>
      <c r="G474" s="54">
        <v>6</v>
      </c>
      <c r="H474" s="49">
        <v>3</v>
      </c>
      <c r="I474" s="96">
        <v>1</v>
      </c>
      <c r="J474" s="96"/>
      <c r="K474" s="17"/>
      <c r="L474" s="17"/>
      <c r="M474" s="49">
        <v>3</v>
      </c>
      <c r="N474" s="49">
        <v>1</v>
      </c>
      <c r="O474" s="49">
        <v>0</v>
      </c>
      <c r="P474" s="49">
        <v>0</v>
      </c>
      <c r="Q474" s="49">
        <v>0</v>
      </c>
      <c r="R474" s="49"/>
      <c r="S474" s="49">
        <v>0</v>
      </c>
      <c r="T474" s="42"/>
      <c r="Y474" s="112"/>
    </row>
    <row r="475" spans="1:25">
      <c r="A475" s="49"/>
      <c r="B475" s="105">
        <v>1100323</v>
      </c>
      <c r="C475" s="187" t="s">
        <v>826</v>
      </c>
      <c r="D475" s="188" t="s">
        <v>4041</v>
      </c>
      <c r="E475" s="84"/>
      <c r="F475" s="84"/>
      <c r="G475" s="54">
        <v>6</v>
      </c>
      <c r="H475" s="49">
        <v>3</v>
      </c>
      <c r="I475" s="96">
        <v>1</v>
      </c>
      <c r="J475" s="96"/>
      <c r="K475" s="17"/>
      <c r="L475" s="17"/>
      <c r="M475" s="49">
        <v>3</v>
      </c>
      <c r="N475" s="49">
        <v>1</v>
      </c>
      <c r="O475" s="49">
        <v>0</v>
      </c>
      <c r="P475" s="49">
        <v>0</v>
      </c>
      <c r="Q475" s="49">
        <v>0</v>
      </c>
      <c r="R475" s="49"/>
      <c r="S475" s="49">
        <v>0</v>
      </c>
      <c r="T475" s="42"/>
      <c r="Y475" s="112"/>
    </row>
    <row r="476" spans="1:25">
      <c r="A476" s="49"/>
      <c r="B476" s="105">
        <v>1100413</v>
      </c>
      <c r="C476" s="187" t="s">
        <v>827</v>
      </c>
      <c r="D476" s="188" t="s">
        <v>4041</v>
      </c>
      <c r="E476" s="84"/>
      <c r="F476" s="84"/>
      <c r="G476" s="49">
        <v>6</v>
      </c>
      <c r="H476" s="49">
        <v>3</v>
      </c>
      <c r="I476" s="96">
        <v>1</v>
      </c>
      <c r="J476" s="96"/>
      <c r="K476" s="17"/>
      <c r="L476" s="17"/>
      <c r="M476" s="49">
        <v>3</v>
      </c>
      <c r="N476" s="49">
        <v>1</v>
      </c>
      <c r="O476" s="49">
        <v>0</v>
      </c>
      <c r="P476" s="49">
        <v>0</v>
      </c>
      <c r="Q476" s="49">
        <v>0</v>
      </c>
      <c r="R476" s="49"/>
      <c r="S476" s="49">
        <v>0</v>
      </c>
      <c r="T476" s="42"/>
      <c r="Y476" s="112"/>
    </row>
    <row r="477" spans="1:25">
      <c r="A477" s="49"/>
      <c r="B477" s="105">
        <v>1100493</v>
      </c>
      <c r="C477" s="187" t="s">
        <v>828</v>
      </c>
      <c r="D477" s="188" t="s">
        <v>4041</v>
      </c>
      <c r="E477" s="84"/>
      <c r="F477" s="84"/>
      <c r="G477" s="49">
        <v>6</v>
      </c>
      <c r="H477" s="49">
        <v>3</v>
      </c>
      <c r="I477" s="96">
        <v>1</v>
      </c>
      <c r="J477" s="96"/>
      <c r="K477" s="17"/>
      <c r="L477" s="17"/>
      <c r="M477" s="49">
        <v>3</v>
      </c>
      <c r="N477" s="49">
        <v>1</v>
      </c>
      <c r="O477" s="49">
        <v>0</v>
      </c>
      <c r="P477" s="49">
        <v>0</v>
      </c>
      <c r="Q477" s="49">
        <v>0</v>
      </c>
      <c r="R477" s="49"/>
      <c r="S477" s="49">
        <v>0</v>
      </c>
      <c r="T477" s="42"/>
      <c r="Y477" s="112"/>
    </row>
    <row r="478" spans="1:25">
      <c r="A478" s="49"/>
      <c r="B478" s="105">
        <v>1100533</v>
      </c>
      <c r="C478" s="187" t="s">
        <v>829</v>
      </c>
      <c r="D478" s="188" t="s">
        <v>4041</v>
      </c>
      <c r="E478" s="84"/>
      <c r="F478" s="84"/>
      <c r="G478" s="49">
        <v>6</v>
      </c>
      <c r="H478" s="49">
        <v>3</v>
      </c>
      <c r="I478" s="96">
        <v>1</v>
      </c>
      <c r="J478" s="96"/>
      <c r="K478" s="17"/>
      <c r="L478" s="17"/>
      <c r="M478" s="49">
        <v>3</v>
      </c>
      <c r="N478" s="49">
        <v>1</v>
      </c>
      <c r="O478" s="49">
        <v>0</v>
      </c>
      <c r="P478" s="49">
        <v>0</v>
      </c>
      <c r="Q478" s="49">
        <v>0</v>
      </c>
      <c r="R478" s="49"/>
      <c r="S478" s="49">
        <v>0</v>
      </c>
      <c r="T478" s="42"/>
      <c r="Y478" s="112"/>
    </row>
    <row r="479" spans="1:25">
      <c r="A479" s="49"/>
      <c r="B479" s="105">
        <v>1100303</v>
      </c>
      <c r="C479" s="187" t="s">
        <v>830</v>
      </c>
      <c r="D479" s="188" t="s">
        <v>4041</v>
      </c>
      <c r="E479" s="84"/>
      <c r="F479" s="84"/>
      <c r="G479" s="49">
        <v>6</v>
      </c>
      <c r="H479" s="49">
        <v>3</v>
      </c>
      <c r="I479" s="96">
        <v>1</v>
      </c>
      <c r="J479" s="96"/>
      <c r="K479" s="17"/>
      <c r="L479" s="17"/>
      <c r="M479" s="49">
        <v>3</v>
      </c>
      <c r="N479" s="49">
        <v>1</v>
      </c>
      <c r="O479" s="49">
        <v>0</v>
      </c>
      <c r="P479" s="49">
        <v>0</v>
      </c>
      <c r="Q479" s="49">
        <v>0</v>
      </c>
      <c r="R479" s="49"/>
      <c r="S479" s="49">
        <v>0</v>
      </c>
      <c r="T479" s="42"/>
      <c r="Y479" s="112"/>
    </row>
    <row r="480" spans="1:25">
      <c r="A480" s="49"/>
      <c r="B480" s="105">
        <v>1100393</v>
      </c>
      <c r="C480" s="187" t="s">
        <v>831</v>
      </c>
      <c r="D480" s="188" t="s">
        <v>4041</v>
      </c>
      <c r="E480" s="84"/>
      <c r="F480" s="84"/>
      <c r="G480" s="49">
        <v>6</v>
      </c>
      <c r="H480" s="49">
        <v>3</v>
      </c>
      <c r="I480" s="96">
        <v>1</v>
      </c>
      <c r="J480" s="96"/>
      <c r="K480" s="17"/>
      <c r="L480" s="17"/>
      <c r="M480" s="49">
        <v>3</v>
      </c>
      <c r="N480" s="49">
        <v>1</v>
      </c>
      <c r="O480" s="49">
        <v>0</v>
      </c>
      <c r="P480" s="49">
        <v>0</v>
      </c>
      <c r="Q480" s="49">
        <v>0</v>
      </c>
      <c r="R480" s="49"/>
      <c r="S480" s="49">
        <v>0</v>
      </c>
      <c r="T480" s="42"/>
      <c r="Y480" s="112"/>
    </row>
    <row r="481" spans="1:25">
      <c r="A481" s="49"/>
      <c r="B481" s="105">
        <v>1100473</v>
      </c>
      <c r="C481" s="187" t="s">
        <v>832</v>
      </c>
      <c r="D481" s="188" t="s">
        <v>4041</v>
      </c>
      <c r="E481" s="84"/>
      <c r="F481" s="84"/>
      <c r="G481" s="49">
        <v>6</v>
      </c>
      <c r="H481" s="49">
        <v>3</v>
      </c>
      <c r="I481" s="96">
        <v>1</v>
      </c>
      <c r="J481" s="96"/>
      <c r="K481" s="17"/>
      <c r="L481" s="17"/>
      <c r="M481" s="49">
        <v>3</v>
      </c>
      <c r="N481" s="49">
        <v>1</v>
      </c>
      <c r="O481" s="49">
        <v>0</v>
      </c>
      <c r="P481" s="49">
        <v>0</v>
      </c>
      <c r="Q481" s="49">
        <v>0</v>
      </c>
      <c r="R481" s="49"/>
      <c r="S481" s="49">
        <v>0</v>
      </c>
      <c r="T481" s="42"/>
      <c r="Y481" s="112"/>
    </row>
    <row r="482" spans="1:25">
      <c r="A482" s="49"/>
      <c r="B482" s="105">
        <v>1100353</v>
      </c>
      <c r="C482" s="187" t="s">
        <v>833</v>
      </c>
      <c r="D482" s="188" t="s">
        <v>4041</v>
      </c>
      <c r="E482" s="84"/>
      <c r="F482" s="84"/>
      <c r="G482" s="49">
        <v>6</v>
      </c>
      <c r="H482" s="49">
        <v>3</v>
      </c>
      <c r="I482" s="96">
        <v>1</v>
      </c>
      <c r="J482" s="96"/>
      <c r="K482" s="17"/>
      <c r="L482" s="17"/>
      <c r="M482" s="49">
        <v>3</v>
      </c>
      <c r="N482" s="49">
        <v>1</v>
      </c>
      <c r="O482" s="49">
        <v>0</v>
      </c>
      <c r="P482" s="49">
        <v>0</v>
      </c>
      <c r="Q482" s="49">
        <v>0</v>
      </c>
      <c r="R482" s="49"/>
      <c r="S482" s="49">
        <v>0</v>
      </c>
      <c r="T482" s="42"/>
      <c r="Y482" s="112"/>
    </row>
    <row r="483" spans="1:25">
      <c r="A483" s="49"/>
      <c r="B483" s="105">
        <v>1200433</v>
      </c>
      <c r="C483" s="187" t="s">
        <v>834</v>
      </c>
      <c r="D483" s="188" t="s">
        <v>4041</v>
      </c>
      <c r="E483" s="84"/>
      <c r="F483" s="84"/>
      <c r="G483" s="54">
        <v>6</v>
      </c>
      <c r="H483" s="49">
        <v>3</v>
      </c>
      <c r="I483" s="96">
        <v>2</v>
      </c>
      <c r="J483" s="96"/>
      <c r="K483" s="17"/>
      <c r="L483" s="17"/>
      <c r="M483" s="49">
        <v>3</v>
      </c>
      <c r="N483" s="49">
        <v>1</v>
      </c>
      <c r="O483" s="49">
        <v>0</v>
      </c>
      <c r="P483" s="49">
        <v>0</v>
      </c>
      <c r="Q483" s="49">
        <v>0</v>
      </c>
      <c r="R483" s="49"/>
      <c r="S483" s="49">
        <v>0</v>
      </c>
      <c r="T483" s="42"/>
      <c r="Y483" s="112"/>
    </row>
    <row r="484" spans="1:25">
      <c r="A484" s="49"/>
      <c r="B484" s="105">
        <v>1200513</v>
      </c>
      <c r="C484" s="187" t="s">
        <v>835</v>
      </c>
      <c r="D484" s="188" t="s">
        <v>4041</v>
      </c>
      <c r="E484" s="84"/>
      <c r="F484" s="84"/>
      <c r="G484" s="54">
        <v>6</v>
      </c>
      <c r="H484" s="49">
        <v>3</v>
      </c>
      <c r="I484" s="96">
        <v>2</v>
      </c>
      <c r="J484" s="96"/>
      <c r="K484" s="17"/>
      <c r="L484" s="17"/>
      <c r="M484" s="49">
        <v>3</v>
      </c>
      <c r="N484" s="49">
        <v>1</v>
      </c>
      <c r="O484" s="49">
        <v>0</v>
      </c>
      <c r="P484" s="49">
        <v>0</v>
      </c>
      <c r="Q484" s="49">
        <v>0</v>
      </c>
      <c r="R484" s="49"/>
      <c r="S484" s="49">
        <v>0</v>
      </c>
      <c r="T484" s="42"/>
      <c r="Y484" s="112"/>
    </row>
    <row r="485" spans="1:25">
      <c r="A485" s="49"/>
      <c r="B485" s="105">
        <v>1200293</v>
      </c>
      <c r="C485" s="187" t="s">
        <v>836</v>
      </c>
      <c r="D485" s="188" t="s">
        <v>4041</v>
      </c>
      <c r="E485" s="84"/>
      <c r="F485" s="84"/>
      <c r="G485" s="49">
        <v>6</v>
      </c>
      <c r="H485" s="49">
        <v>3</v>
      </c>
      <c r="I485" s="96">
        <v>2</v>
      </c>
      <c r="J485" s="96"/>
      <c r="K485" s="17"/>
      <c r="L485" s="17"/>
      <c r="M485" s="49">
        <v>3</v>
      </c>
      <c r="N485" s="49">
        <v>1</v>
      </c>
      <c r="O485" s="49">
        <v>0</v>
      </c>
      <c r="P485" s="49">
        <v>0</v>
      </c>
      <c r="Q485" s="49">
        <v>0</v>
      </c>
      <c r="R485" s="49"/>
      <c r="S485" s="49">
        <v>0</v>
      </c>
      <c r="T485" s="42"/>
      <c r="Y485" s="112"/>
    </row>
    <row r="486" spans="1:25">
      <c r="A486" s="49"/>
      <c r="B486" s="105">
        <v>1200383</v>
      </c>
      <c r="C486" s="187" t="s">
        <v>837</v>
      </c>
      <c r="D486" s="188" t="s">
        <v>4041</v>
      </c>
      <c r="E486" s="84"/>
      <c r="F486" s="84"/>
      <c r="G486" s="49">
        <v>6</v>
      </c>
      <c r="H486" s="49">
        <v>3</v>
      </c>
      <c r="I486" s="96">
        <v>2</v>
      </c>
      <c r="J486" s="96"/>
      <c r="K486" s="17"/>
      <c r="L486" s="17"/>
      <c r="M486" s="49">
        <v>3</v>
      </c>
      <c r="N486" s="49">
        <v>1</v>
      </c>
      <c r="O486" s="49">
        <v>0</v>
      </c>
      <c r="P486" s="49">
        <v>0</v>
      </c>
      <c r="Q486" s="49">
        <v>0</v>
      </c>
      <c r="R486" s="49"/>
      <c r="S486" s="49">
        <v>0</v>
      </c>
      <c r="T486" s="42"/>
      <c r="Y486" s="112"/>
    </row>
    <row r="487" spans="1:25">
      <c r="A487" s="49"/>
      <c r="B487" s="105">
        <v>1200463</v>
      </c>
      <c r="C487" s="187" t="s">
        <v>838</v>
      </c>
      <c r="D487" s="188" t="s">
        <v>4041</v>
      </c>
      <c r="E487" s="84"/>
      <c r="F487" s="84"/>
      <c r="G487" s="49">
        <v>6</v>
      </c>
      <c r="H487" s="49">
        <v>3</v>
      </c>
      <c r="I487" s="96">
        <v>2</v>
      </c>
      <c r="J487" s="96"/>
      <c r="K487" s="17"/>
      <c r="L487" s="17"/>
      <c r="M487" s="49">
        <v>3</v>
      </c>
      <c r="N487" s="49">
        <v>1</v>
      </c>
      <c r="O487" s="49">
        <v>0</v>
      </c>
      <c r="P487" s="49">
        <v>0</v>
      </c>
      <c r="Q487" s="49">
        <v>0</v>
      </c>
      <c r="R487" s="49"/>
      <c r="S487" s="49">
        <v>0</v>
      </c>
      <c r="T487" s="42"/>
      <c r="Y487" s="112"/>
    </row>
    <row r="488" spans="1:25">
      <c r="A488" s="49"/>
      <c r="B488" s="105">
        <v>1200343</v>
      </c>
      <c r="C488" s="187" t="s">
        <v>839</v>
      </c>
      <c r="D488" s="188" t="s">
        <v>4041</v>
      </c>
      <c r="E488" s="84"/>
      <c r="F488" s="84"/>
      <c r="G488" s="49">
        <v>6</v>
      </c>
      <c r="H488" s="49">
        <v>3</v>
      </c>
      <c r="I488" s="96">
        <v>2</v>
      </c>
      <c r="J488" s="96"/>
      <c r="K488" s="17"/>
      <c r="L488" s="17"/>
      <c r="M488" s="49">
        <v>3</v>
      </c>
      <c r="N488" s="49">
        <v>1</v>
      </c>
      <c r="O488" s="49">
        <v>0</v>
      </c>
      <c r="P488" s="49">
        <v>0</v>
      </c>
      <c r="Q488" s="49">
        <v>0</v>
      </c>
      <c r="R488" s="49"/>
      <c r="S488" s="49">
        <v>0</v>
      </c>
      <c r="T488" s="42"/>
      <c r="Y488" s="112"/>
    </row>
    <row r="489" spans="1:25">
      <c r="A489" s="49"/>
      <c r="B489" s="105">
        <v>1200423</v>
      </c>
      <c r="C489" s="187" t="s">
        <v>840</v>
      </c>
      <c r="D489" s="188" t="s">
        <v>4041</v>
      </c>
      <c r="E489" s="84"/>
      <c r="F489" s="84"/>
      <c r="G489" s="49">
        <v>6</v>
      </c>
      <c r="H489" s="49">
        <v>3</v>
      </c>
      <c r="I489" s="96">
        <v>2</v>
      </c>
      <c r="J489" s="96"/>
      <c r="K489" s="17"/>
      <c r="L489" s="17"/>
      <c r="M489" s="49">
        <v>3</v>
      </c>
      <c r="N489" s="49">
        <v>1</v>
      </c>
      <c r="O489" s="49">
        <v>0</v>
      </c>
      <c r="P489" s="49">
        <v>0</v>
      </c>
      <c r="Q489" s="49">
        <v>0</v>
      </c>
      <c r="R489" s="49"/>
      <c r="S489" s="49">
        <v>0</v>
      </c>
      <c r="T489" s="42"/>
      <c r="Y489" s="112"/>
    </row>
    <row r="490" spans="1:25">
      <c r="A490" s="49"/>
      <c r="B490" s="105">
        <v>1200503</v>
      </c>
      <c r="C490" s="187" t="s">
        <v>841</v>
      </c>
      <c r="D490" s="188" t="s">
        <v>4041</v>
      </c>
      <c r="E490" s="84"/>
      <c r="F490" s="84"/>
      <c r="G490" s="49">
        <v>6</v>
      </c>
      <c r="H490" s="49">
        <v>3</v>
      </c>
      <c r="I490" s="96">
        <v>2</v>
      </c>
      <c r="J490" s="96"/>
      <c r="K490" s="17"/>
      <c r="L490" s="17"/>
      <c r="M490" s="49">
        <v>3</v>
      </c>
      <c r="N490" s="49">
        <v>1</v>
      </c>
      <c r="O490" s="49">
        <v>0</v>
      </c>
      <c r="P490" s="49">
        <v>0</v>
      </c>
      <c r="Q490" s="49">
        <v>0</v>
      </c>
      <c r="R490" s="49"/>
      <c r="S490" s="49">
        <v>0</v>
      </c>
      <c r="T490" s="42"/>
      <c r="Y490" s="112"/>
    </row>
    <row r="491" spans="1:25">
      <c r="A491" s="49"/>
      <c r="B491" s="105">
        <v>1000223</v>
      </c>
      <c r="C491" s="188" t="s">
        <v>4180</v>
      </c>
      <c r="D491" s="188" t="s">
        <v>842</v>
      </c>
      <c r="E491" s="84"/>
      <c r="F491" s="84"/>
      <c r="G491" s="49">
        <v>6</v>
      </c>
      <c r="H491" s="49">
        <v>3</v>
      </c>
      <c r="I491" s="96">
        <v>0</v>
      </c>
      <c r="J491" s="96"/>
      <c r="K491" s="17"/>
      <c r="L491" s="17"/>
      <c r="M491" s="49">
        <v>3</v>
      </c>
      <c r="N491" s="49">
        <v>1</v>
      </c>
      <c r="O491" s="49">
        <v>0</v>
      </c>
      <c r="P491" s="49">
        <v>0</v>
      </c>
      <c r="Q491" s="49">
        <v>0</v>
      </c>
      <c r="R491" s="49"/>
      <c r="S491" s="49">
        <v>0</v>
      </c>
      <c r="T491" s="42"/>
      <c r="Y491" s="112"/>
    </row>
    <row r="492" spans="1:25">
      <c r="A492" s="49"/>
      <c r="B492" s="105">
        <v>1000243</v>
      </c>
      <c r="C492" s="188" t="s">
        <v>843</v>
      </c>
      <c r="D492" s="188" t="s">
        <v>844</v>
      </c>
      <c r="E492" s="84"/>
      <c r="F492" s="84"/>
      <c r="G492" s="54">
        <v>6</v>
      </c>
      <c r="H492" s="49">
        <v>3</v>
      </c>
      <c r="I492" s="96">
        <v>0</v>
      </c>
      <c r="J492" s="96"/>
      <c r="K492" s="17"/>
      <c r="L492" s="17"/>
      <c r="M492" s="49">
        <v>3</v>
      </c>
      <c r="N492" s="49">
        <v>1</v>
      </c>
      <c r="O492" s="49">
        <v>0</v>
      </c>
      <c r="P492" s="49">
        <v>0</v>
      </c>
      <c r="Q492" s="49">
        <v>0</v>
      </c>
      <c r="R492" s="49"/>
      <c r="S492" s="49">
        <v>0</v>
      </c>
      <c r="T492" s="42"/>
      <c r="Y492" s="112"/>
    </row>
    <row r="493" spans="1:25">
      <c r="A493" s="49"/>
      <c r="B493" s="105">
        <v>1000163</v>
      </c>
      <c r="C493" s="188" t="s">
        <v>845</v>
      </c>
      <c r="D493" s="188" t="s">
        <v>846</v>
      </c>
      <c r="E493" s="84"/>
      <c r="F493" s="84"/>
      <c r="G493" s="54">
        <v>6</v>
      </c>
      <c r="H493" s="49">
        <v>3</v>
      </c>
      <c r="I493" s="96">
        <v>0</v>
      </c>
      <c r="J493" s="96"/>
      <c r="K493" s="17"/>
      <c r="L493" s="17"/>
      <c r="M493" s="49">
        <v>3</v>
      </c>
      <c r="N493" s="49">
        <v>1</v>
      </c>
      <c r="O493" s="49">
        <v>0</v>
      </c>
      <c r="P493" s="49">
        <v>0</v>
      </c>
      <c r="Q493" s="49">
        <v>0</v>
      </c>
      <c r="R493" s="49"/>
      <c r="S493" s="49">
        <v>0</v>
      </c>
      <c r="T493" s="42"/>
      <c r="Y493" s="112"/>
    </row>
    <row r="494" spans="1:25">
      <c r="A494" s="49"/>
      <c r="B494" s="105">
        <v>1200203</v>
      </c>
      <c r="C494" s="188" t="s">
        <v>847</v>
      </c>
      <c r="D494" s="188" t="s">
        <v>848</v>
      </c>
      <c r="E494" s="84"/>
      <c r="F494" s="84"/>
      <c r="G494" s="49">
        <v>6</v>
      </c>
      <c r="H494" s="49">
        <v>3</v>
      </c>
      <c r="I494" s="91">
        <v>2</v>
      </c>
      <c r="J494" s="96"/>
      <c r="K494" s="17"/>
      <c r="L494" s="17"/>
      <c r="M494" s="49">
        <v>3</v>
      </c>
      <c r="N494" s="49">
        <v>1</v>
      </c>
      <c r="O494" s="49">
        <v>0</v>
      </c>
      <c r="P494" s="49">
        <v>0</v>
      </c>
      <c r="Q494" s="49">
        <v>0</v>
      </c>
      <c r="R494" s="49"/>
      <c r="S494" s="49">
        <v>0</v>
      </c>
      <c r="T494" s="42"/>
      <c r="Y494" s="112"/>
    </row>
    <row r="495" spans="1:25">
      <c r="A495" s="49"/>
      <c r="B495" s="105">
        <v>1100203</v>
      </c>
      <c r="C495" s="188" t="s">
        <v>849</v>
      </c>
      <c r="D495" s="188" t="s">
        <v>850</v>
      </c>
      <c r="E495" s="84"/>
      <c r="F495" s="84"/>
      <c r="G495" s="54">
        <v>6</v>
      </c>
      <c r="H495" s="49">
        <v>3</v>
      </c>
      <c r="I495" s="91">
        <v>1</v>
      </c>
      <c r="J495" s="96"/>
      <c r="K495" s="17"/>
      <c r="L495" s="17"/>
      <c r="M495" s="49">
        <v>3</v>
      </c>
      <c r="N495" s="49">
        <v>1</v>
      </c>
      <c r="O495" s="49">
        <v>0</v>
      </c>
      <c r="P495" s="49">
        <v>0</v>
      </c>
      <c r="Q495" s="49">
        <v>0</v>
      </c>
      <c r="R495" s="49"/>
      <c r="S495" s="49">
        <v>0</v>
      </c>
      <c r="T495" s="42"/>
      <c r="Y495" s="112"/>
    </row>
    <row r="496" spans="1:25">
      <c r="A496" s="49"/>
      <c r="B496" s="105">
        <v>1000093</v>
      </c>
      <c r="C496" s="188" t="s">
        <v>851</v>
      </c>
      <c r="D496" s="188" t="s">
        <v>852</v>
      </c>
      <c r="E496" s="84"/>
      <c r="F496" s="84"/>
      <c r="G496" s="54">
        <v>6</v>
      </c>
      <c r="H496" s="49">
        <v>3</v>
      </c>
      <c r="I496" s="96">
        <v>0</v>
      </c>
      <c r="J496" s="96"/>
      <c r="K496" s="17"/>
      <c r="L496" s="17"/>
      <c r="M496" s="49">
        <v>3</v>
      </c>
      <c r="N496" s="49">
        <v>1</v>
      </c>
      <c r="O496" s="49">
        <v>0</v>
      </c>
      <c r="P496" s="49">
        <v>0</v>
      </c>
      <c r="Q496" s="49">
        <v>0</v>
      </c>
      <c r="R496" s="49"/>
      <c r="S496" s="49">
        <v>0</v>
      </c>
      <c r="T496" s="42"/>
      <c r="Y496" s="112"/>
    </row>
    <row r="497" spans="1:25">
      <c r="A497" s="49"/>
      <c r="B497" s="105">
        <v>1200193</v>
      </c>
      <c r="C497" s="190" t="s">
        <v>4015</v>
      </c>
      <c r="D497" s="188" t="s">
        <v>853</v>
      </c>
      <c r="E497" s="84"/>
      <c r="F497" s="84"/>
      <c r="G497" s="49">
        <v>6</v>
      </c>
      <c r="H497" s="49">
        <v>3</v>
      </c>
      <c r="I497" s="91">
        <v>2</v>
      </c>
      <c r="J497" s="96"/>
      <c r="K497" s="17"/>
      <c r="L497" s="17"/>
      <c r="M497" s="49">
        <v>3</v>
      </c>
      <c r="N497" s="49">
        <v>1</v>
      </c>
      <c r="O497" s="49">
        <v>0</v>
      </c>
      <c r="P497" s="49">
        <v>0</v>
      </c>
      <c r="Q497" s="49">
        <v>0</v>
      </c>
      <c r="R497" s="49"/>
      <c r="S497" s="49">
        <v>0</v>
      </c>
      <c r="T497" s="42"/>
      <c r="Y497" s="112"/>
    </row>
    <row r="498" spans="1:25">
      <c r="A498" s="49"/>
      <c r="B498" s="105">
        <v>1100193</v>
      </c>
      <c r="C498" s="190" t="s">
        <v>4015</v>
      </c>
      <c r="D498" s="188" t="s">
        <v>854</v>
      </c>
      <c r="E498" s="84"/>
      <c r="F498" s="84"/>
      <c r="G498" s="54">
        <v>6</v>
      </c>
      <c r="H498" s="49">
        <v>3</v>
      </c>
      <c r="I498" s="91">
        <v>1</v>
      </c>
      <c r="J498" s="96"/>
      <c r="K498" s="17"/>
      <c r="L498" s="17"/>
      <c r="M498" s="49">
        <v>3</v>
      </c>
      <c r="N498" s="49">
        <v>1</v>
      </c>
      <c r="O498" s="49">
        <v>0</v>
      </c>
      <c r="P498" s="49">
        <v>0</v>
      </c>
      <c r="Q498" s="49">
        <v>0</v>
      </c>
      <c r="R498" s="49"/>
      <c r="S498" s="49">
        <v>0</v>
      </c>
      <c r="T498" s="42"/>
      <c r="Y498" s="112"/>
    </row>
    <row r="499" spans="1:25">
      <c r="A499" s="49"/>
      <c r="B499" s="105">
        <v>1200183</v>
      </c>
      <c r="C499" s="188" t="s">
        <v>855</v>
      </c>
      <c r="D499" s="188" t="s">
        <v>856</v>
      </c>
      <c r="E499" s="84"/>
      <c r="F499" s="84"/>
      <c r="G499" s="49">
        <v>6</v>
      </c>
      <c r="H499" s="49">
        <v>3</v>
      </c>
      <c r="I499" s="91">
        <v>2</v>
      </c>
      <c r="J499" s="96"/>
      <c r="K499" s="17"/>
      <c r="L499" s="17"/>
      <c r="M499" s="49">
        <v>3</v>
      </c>
      <c r="N499" s="49">
        <v>1</v>
      </c>
      <c r="O499" s="49">
        <v>0</v>
      </c>
      <c r="P499" s="49">
        <v>0</v>
      </c>
      <c r="Q499" s="49">
        <v>0</v>
      </c>
      <c r="R499" s="49"/>
      <c r="S499" s="49">
        <v>0</v>
      </c>
      <c r="T499" s="42"/>
      <c r="Y499" s="112"/>
    </row>
    <row r="500" spans="1:25">
      <c r="A500" s="49"/>
      <c r="B500" s="105">
        <v>1100183</v>
      </c>
      <c r="C500" s="188" t="s">
        <v>857</v>
      </c>
      <c r="D500" s="188" t="s">
        <v>858</v>
      </c>
      <c r="E500" s="84"/>
      <c r="F500" s="84"/>
      <c r="G500" s="54">
        <v>6</v>
      </c>
      <c r="H500" s="49">
        <v>3</v>
      </c>
      <c r="I500" s="91">
        <v>1</v>
      </c>
      <c r="J500" s="96"/>
      <c r="K500" s="17"/>
      <c r="L500" s="17"/>
      <c r="M500" s="49">
        <v>3</v>
      </c>
      <c r="N500" s="49">
        <v>1</v>
      </c>
      <c r="O500" s="49">
        <v>0</v>
      </c>
      <c r="P500" s="49">
        <v>0</v>
      </c>
      <c r="Q500" s="49">
        <v>0</v>
      </c>
      <c r="R500" s="49"/>
      <c r="S500" s="49">
        <v>0</v>
      </c>
      <c r="T500" s="42"/>
      <c r="Y500" s="112"/>
    </row>
    <row r="501" spans="1:25">
      <c r="A501" s="49"/>
      <c r="B501" s="105">
        <v>1200143</v>
      </c>
      <c r="C501" s="188" t="s">
        <v>859</v>
      </c>
      <c r="D501" s="188" t="s">
        <v>860</v>
      </c>
      <c r="E501" s="84"/>
      <c r="F501" s="84"/>
      <c r="G501" s="49">
        <v>6</v>
      </c>
      <c r="H501" s="49">
        <v>3</v>
      </c>
      <c r="I501" s="91">
        <v>2</v>
      </c>
      <c r="J501" s="96"/>
      <c r="K501" s="17"/>
      <c r="L501" s="17"/>
      <c r="M501" s="49">
        <v>3</v>
      </c>
      <c r="N501" s="49">
        <v>1</v>
      </c>
      <c r="O501" s="49">
        <v>0</v>
      </c>
      <c r="P501" s="49">
        <v>0</v>
      </c>
      <c r="Q501" s="49">
        <v>0</v>
      </c>
      <c r="R501" s="49"/>
      <c r="S501" s="49">
        <v>0</v>
      </c>
      <c r="T501" s="42"/>
      <c r="Y501" s="112"/>
    </row>
    <row r="502" spans="1:25">
      <c r="A502" s="49"/>
      <c r="B502" s="105">
        <v>1100143</v>
      </c>
      <c r="C502" s="188" t="s">
        <v>861</v>
      </c>
      <c r="D502" s="188" t="s">
        <v>862</v>
      </c>
      <c r="E502" s="84"/>
      <c r="F502" s="84"/>
      <c r="G502" s="54">
        <v>6</v>
      </c>
      <c r="H502" s="49">
        <v>3</v>
      </c>
      <c r="I502" s="91">
        <v>1</v>
      </c>
      <c r="J502" s="96"/>
      <c r="K502" s="17"/>
      <c r="L502" s="17"/>
      <c r="M502" s="49">
        <v>3</v>
      </c>
      <c r="N502" s="49">
        <v>1</v>
      </c>
      <c r="O502" s="49">
        <v>0</v>
      </c>
      <c r="P502" s="49">
        <v>0</v>
      </c>
      <c r="Q502" s="49">
        <v>0</v>
      </c>
      <c r="R502" s="49"/>
      <c r="S502" s="49">
        <v>0</v>
      </c>
      <c r="T502" s="42"/>
      <c r="Y502" s="112"/>
    </row>
    <row r="503" spans="1:25">
      <c r="A503" s="49"/>
      <c r="B503" s="105">
        <v>1200123</v>
      </c>
      <c r="C503" s="192" t="s">
        <v>863</v>
      </c>
      <c r="D503" s="192" t="s">
        <v>864</v>
      </c>
      <c r="E503" s="84"/>
      <c r="F503" s="84"/>
      <c r="G503" s="49">
        <v>6</v>
      </c>
      <c r="H503" s="49">
        <v>3</v>
      </c>
      <c r="I503" s="91">
        <v>2</v>
      </c>
      <c r="J503" s="96"/>
      <c r="K503" s="17"/>
      <c r="L503" s="17"/>
      <c r="M503" s="49">
        <v>3</v>
      </c>
      <c r="N503" s="49">
        <v>1</v>
      </c>
      <c r="O503" s="49">
        <v>0</v>
      </c>
      <c r="P503" s="49">
        <v>0</v>
      </c>
      <c r="Q503" s="49">
        <v>0</v>
      </c>
      <c r="R503" s="49"/>
      <c r="S503" s="49">
        <v>0</v>
      </c>
      <c r="T503" s="42"/>
      <c r="Y503" s="112"/>
    </row>
    <row r="504" spans="1:25">
      <c r="A504" s="49"/>
      <c r="B504" s="105">
        <v>1200213</v>
      </c>
      <c r="C504" s="192" t="s">
        <v>865</v>
      </c>
      <c r="D504" s="192" t="s">
        <v>866</v>
      </c>
      <c r="E504" s="84"/>
      <c r="F504" s="84"/>
      <c r="G504" s="49">
        <v>6</v>
      </c>
      <c r="H504" s="49">
        <v>3</v>
      </c>
      <c r="I504" s="91">
        <v>2</v>
      </c>
      <c r="J504" s="96"/>
      <c r="K504" s="17"/>
      <c r="L504" s="17"/>
      <c r="M504" s="49">
        <v>3</v>
      </c>
      <c r="N504" s="49">
        <v>1</v>
      </c>
      <c r="O504" s="49">
        <v>0</v>
      </c>
      <c r="P504" s="49">
        <v>0</v>
      </c>
      <c r="Q504" s="49">
        <v>0</v>
      </c>
      <c r="R504" s="49"/>
      <c r="S504" s="49">
        <v>0</v>
      </c>
      <c r="T504" s="42"/>
      <c r="Y504" s="112"/>
    </row>
    <row r="505" spans="1:25">
      <c r="A505" s="49"/>
      <c r="B505" s="105">
        <v>1200153</v>
      </c>
      <c r="C505" s="192" t="s">
        <v>765</v>
      </c>
      <c r="D505" s="192" t="s">
        <v>867</v>
      </c>
      <c r="E505" s="84"/>
      <c r="F505" s="84"/>
      <c r="G505" s="49">
        <v>6</v>
      </c>
      <c r="H505" s="49">
        <v>3</v>
      </c>
      <c r="I505" s="91">
        <v>2</v>
      </c>
      <c r="J505" s="96"/>
      <c r="K505" s="17"/>
      <c r="L505" s="17"/>
      <c r="M505" s="49">
        <v>3</v>
      </c>
      <c r="N505" s="49">
        <v>1</v>
      </c>
      <c r="O505" s="49">
        <v>0</v>
      </c>
      <c r="P505" s="49">
        <v>0</v>
      </c>
      <c r="Q505" s="49">
        <v>0</v>
      </c>
      <c r="R505" s="49"/>
      <c r="S505" s="49">
        <v>0</v>
      </c>
      <c r="T505" s="42"/>
      <c r="Y505" s="112"/>
    </row>
    <row r="506" spans="1:25">
      <c r="A506" s="49"/>
      <c r="B506" s="105">
        <v>1200643</v>
      </c>
      <c r="C506" s="192" t="s">
        <v>868</v>
      </c>
      <c r="D506" s="192" t="s">
        <v>869</v>
      </c>
      <c r="E506" s="84"/>
      <c r="F506" s="84"/>
      <c r="G506" s="49">
        <v>6</v>
      </c>
      <c r="H506" s="49">
        <v>3</v>
      </c>
      <c r="I506" s="91">
        <v>2</v>
      </c>
      <c r="J506" s="96"/>
      <c r="K506" s="17"/>
      <c r="L506" s="17"/>
      <c r="M506" s="49">
        <v>3</v>
      </c>
      <c r="N506" s="49">
        <v>1</v>
      </c>
      <c r="O506" s="49">
        <v>0</v>
      </c>
      <c r="P506" s="49">
        <v>0</v>
      </c>
      <c r="Q506" s="49">
        <v>0</v>
      </c>
      <c r="R506" s="49"/>
      <c r="S506" s="49">
        <v>0</v>
      </c>
      <c r="T506" s="42"/>
      <c r="Y506" s="112"/>
    </row>
    <row r="507" spans="1:25">
      <c r="A507" s="49"/>
      <c r="B507" s="105">
        <v>1100123</v>
      </c>
      <c r="C507" s="192" t="s">
        <v>870</v>
      </c>
      <c r="D507" s="192" t="s">
        <v>871</v>
      </c>
      <c r="E507" s="84"/>
      <c r="F507" s="84"/>
      <c r="G507" s="54">
        <v>6</v>
      </c>
      <c r="H507" s="49">
        <v>3</v>
      </c>
      <c r="I507" s="91">
        <v>1</v>
      </c>
      <c r="J507" s="96"/>
      <c r="K507" s="17"/>
      <c r="L507" s="17"/>
      <c r="M507" s="49">
        <v>3</v>
      </c>
      <c r="N507" s="49">
        <v>1</v>
      </c>
      <c r="O507" s="49">
        <v>0</v>
      </c>
      <c r="P507" s="49">
        <v>0</v>
      </c>
      <c r="Q507" s="49">
        <v>0</v>
      </c>
      <c r="R507" s="49"/>
      <c r="S507" s="49">
        <v>0</v>
      </c>
      <c r="T507" s="42"/>
      <c r="Y507" s="112"/>
    </row>
    <row r="508" spans="1:25">
      <c r="A508" s="49"/>
      <c r="B508" s="105">
        <v>1100213</v>
      </c>
      <c r="C508" s="192" t="s">
        <v>872</v>
      </c>
      <c r="D508" s="192" t="s">
        <v>873</v>
      </c>
      <c r="E508" s="84"/>
      <c r="F508" s="84"/>
      <c r="G508" s="54">
        <v>6</v>
      </c>
      <c r="H508" s="49">
        <v>3</v>
      </c>
      <c r="I508" s="91">
        <v>1</v>
      </c>
      <c r="J508" s="96"/>
      <c r="K508" s="17"/>
      <c r="L508" s="17"/>
      <c r="M508" s="49">
        <v>3</v>
      </c>
      <c r="N508" s="49">
        <v>1</v>
      </c>
      <c r="O508" s="49">
        <v>0</v>
      </c>
      <c r="P508" s="49">
        <v>0</v>
      </c>
      <c r="Q508" s="49">
        <v>0</v>
      </c>
      <c r="R508" s="49"/>
      <c r="S508" s="49">
        <v>0</v>
      </c>
      <c r="T508" s="42"/>
      <c r="Y508" s="112"/>
    </row>
    <row r="509" spans="1:25">
      <c r="A509" s="49"/>
      <c r="B509" s="105">
        <v>1100153</v>
      </c>
      <c r="C509" s="192" t="s">
        <v>874</v>
      </c>
      <c r="D509" s="192" t="s">
        <v>875</v>
      </c>
      <c r="E509" s="84"/>
      <c r="F509" s="84"/>
      <c r="G509" s="54">
        <v>6</v>
      </c>
      <c r="H509" s="49">
        <v>3</v>
      </c>
      <c r="I509" s="91">
        <v>1</v>
      </c>
      <c r="J509" s="96"/>
      <c r="K509" s="17"/>
      <c r="L509" s="17"/>
      <c r="M509" s="49">
        <v>3</v>
      </c>
      <c r="N509" s="49">
        <v>1</v>
      </c>
      <c r="O509" s="49">
        <v>0</v>
      </c>
      <c r="P509" s="49">
        <v>0</v>
      </c>
      <c r="Q509" s="49">
        <v>0</v>
      </c>
      <c r="R509" s="49"/>
      <c r="S509" s="49">
        <v>0</v>
      </c>
      <c r="T509" s="42"/>
      <c r="Y509" s="112"/>
    </row>
    <row r="510" spans="1:25">
      <c r="A510" s="49"/>
      <c r="B510" s="105">
        <v>1100643</v>
      </c>
      <c r="C510" s="192" t="s">
        <v>876</v>
      </c>
      <c r="D510" s="192" t="s">
        <v>877</v>
      </c>
      <c r="E510" s="84"/>
      <c r="F510" s="84"/>
      <c r="G510" s="54">
        <v>6</v>
      </c>
      <c r="H510" s="49">
        <v>3</v>
      </c>
      <c r="I510" s="91">
        <v>1</v>
      </c>
      <c r="J510" s="96"/>
      <c r="K510" s="17"/>
      <c r="L510" s="17"/>
      <c r="M510" s="49">
        <v>3</v>
      </c>
      <c r="N510" s="49">
        <v>1</v>
      </c>
      <c r="O510" s="49">
        <v>0</v>
      </c>
      <c r="P510" s="49">
        <v>0</v>
      </c>
      <c r="Q510" s="49">
        <v>0</v>
      </c>
      <c r="R510" s="49"/>
      <c r="S510" s="49">
        <v>0</v>
      </c>
      <c r="T510" s="42"/>
      <c r="Y510" s="112"/>
    </row>
    <row r="511" spans="1:25">
      <c r="A511" s="49"/>
      <c r="B511" s="105">
        <v>1200033</v>
      </c>
      <c r="C511" s="192" t="s">
        <v>878</v>
      </c>
      <c r="D511" s="192" t="s">
        <v>879</v>
      </c>
      <c r="E511" s="84"/>
      <c r="F511" s="84"/>
      <c r="G511" s="49">
        <v>6</v>
      </c>
      <c r="H511" s="49">
        <v>3</v>
      </c>
      <c r="I511" s="91">
        <v>2</v>
      </c>
      <c r="J511" s="96"/>
      <c r="K511" s="17"/>
      <c r="L511" s="17"/>
      <c r="M511" s="49">
        <v>3</v>
      </c>
      <c r="N511" s="49">
        <v>1</v>
      </c>
      <c r="O511" s="49">
        <v>0</v>
      </c>
      <c r="P511" s="49">
        <v>0</v>
      </c>
      <c r="Q511" s="49">
        <v>0</v>
      </c>
      <c r="R511" s="49"/>
      <c r="S511" s="49">
        <v>0</v>
      </c>
      <c r="T511" s="42"/>
      <c r="Y511" s="112"/>
    </row>
    <row r="512" spans="1:25">
      <c r="A512" s="49"/>
      <c r="B512" s="105">
        <v>1200103</v>
      </c>
      <c r="C512" s="192" t="s">
        <v>880</v>
      </c>
      <c r="D512" s="192" t="s">
        <v>881</v>
      </c>
      <c r="E512" s="84"/>
      <c r="F512" s="84"/>
      <c r="G512" s="49">
        <v>6</v>
      </c>
      <c r="H512" s="49">
        <v>3</v>
      </c>
      <c r="I512" s="91">
        <v>2</v>
      </c>
      <c r="J512" s="96"/>
      <c r="K512" s="17"/>
      <c r="L512" s="17"/>
      <c r="M512" s="49">
        <v>3</v>
      </c>
      <c r="N512" s="49">
        <v>1</v>
      </c>
      <c r="O512" s="49">
        <v>0</v>
      </c>
      <c r="P512" s="49">
        <v>0</v>
      </c>
      <c r="Q512" s="49">
        <v>0</v>
      </c>
      <c r="R512" s="49"/>
      <c r="S512" s="49">
        <v>0</v>
      </c>
      <c r="T512" s="42"/>
      <c r="Y512" s="112"/>
    </row>
    <row r="513" spans="1:25">
      <c r="A513" s="49"/>
      <c r="B513" s="105">
        <v>1200023</v>
      </c>
      <c r="C513" s="192" t="s">
        <v>882</v>
      </c>
      <c r="D513" s="192" t="s">
        <v>883</v>
      </c>
      <c r="E513" s="84"/>
      <c r="F513" s="84"/>
      <c r="G513" s="49">
        <v>6</v>
      </c>
      <c r="H513" s="49">
        <v>3</v>
      </c>
      <c r="I513" s="91">
        <v>2</v>
      </c>
      <c r="J513" s="96"/>
      <c r="K513" s="17"/>
      <c r="L513" s="17"/>
      <c r="M513" s="49">
        <v>3</v>
      </c>
      <c r="N513" s="49">
        <v>1</v>
      </c>
      <c r="O513" s="49">
        <v>0</v>
      </c>
      <c r="P513" s="49">
        <v>0</v>
      </c>
      <c r="Q513" s="49">
        <v>0</v>
      </c>
      <c r="R513" s="49"/>
      <c r="S513" s="49">
        <v>0</v>
      </c>
      <c r="T513" s="42"/>
      <c r="Y513" s="112"/>
    </row>
    <row r="514" spans="1:25">
      <c r="A514" s="49"/>
      <c r="B514" s="105">
        <v>1100033</v>
      </c>
      <c r="C514" s="192" t="s">
        <v>884</v>
      </c>
      <c r="D514" s="192" t="s">
        <v>885</v>
      </c>
      <c r="E514" s="84"/>
      <c r="F514" s="84"/>
      <c r="G514" s="54">
        <v>6</v>
      </c>
      <c r="H514" s="49">
        <v>3</v>
      </c>
      <c r="I514" s="91">
        <v>1</v>
      </c>
      <c r="J514" s="96"/>
      <c r="K514" s="17"/>
      <c r="L514" s="17"/>
      <c r="M514" s="49">
        <v>3</v>
      </c>
      <c r="N514" s="49">
        <v>1</v>
      </c>
      <c r="O514" s="49">
        <v>0</v>
      </c>
      <c r="P514" s="49">
        <v>0</v>
      </c>
      <c r="Q514" s="49">
        <v>0</v>
      </c>
      <c r="R514" s="49"/>
      <c r="S514" s="49">
        <v>0</v>
      </c>
      <c r="T514" s="42"/>
      <c r="Y514" s="112"/>
    </row>
    <row r="515" spans="1:25">
      <c r="A515" s="49"/>
      <c r="B515" s="105">
        <v>1100103</v>
      </c>
      <c r="C515" s="192" t="s">
        <v>886</v>
      </c>
      <c r="D515" s="192" t="s">
        <v>887</v>
      </c>
      <c r="E515" s="84"/>
      <c r="F515" s="84"/>
      <c r="G515" s="54">
        <v>6</v>
      </c>
      <c r="H515" s="49">
        <v>3</v>
      </c>
      <c r="I515" s="91">
        <v>1</v>
      </c>
      <c r="J515" s="96"/>
      <c r="K515" s="17"/>
      <c r="L515" s="17"/>
      <c r="M515" s="49">
        <v>3</v>
      </c>
      <c r="N515" s="49">
        <v>1</v>
      </c>
      <c r="O515" s="49">
        <v>0</v>
      </c>
      <c r="P515" s="49">
        <v>0</v>
      </c>
      <c r="Q515" s="49">
        <v>0</v>
      </c>
      <c r="R515" s="49"/>
      <c r="S515" s="49">
        <v>0</v>
      </c>
      <c r="T515" s="42"/>
      <c r="Y515" s="112"/>
    </row>
    <row r="516" spans="1:25">
      <c r="A516" s="49"/>
      <c r="B516" s="105">
        <v>1100023</v>
      </c>
      <c r="C516" s="192" t="s">
        <v>888</v>
      </c>
      <c r="D516" s="192" t="s">
        <v>889</v>
      </c>
      <c r="E516" s="84"/>
      <c r="F516" s="84"/>
      <c r="G516" s="54">
        <v>6</v>
      </c>
      <c r="H516" s="49">
        <v>3</v>
      </c>
      <c r="I516" s="91">
        <v>1</v>
      </c>
      <c r="J516" s="96"/>
      <c r="K516" s="17"/>
      <c r="L516" s="17"/>
      <c r="M516" s="49">
        <v>3</v>
      </c>
      <c r="N516" s="49">
        <v>1</v>
      </c>
      <c r="O516" s="49">
        <v>0</v>
      </c>
      <c r="P516" s="49">
        <v>0</v>
      </c>
      <c r="Q516" s="49">
        <v>0</v>
      </c>
      <c r="R516" s="49"/>
      <c r="S516" s="49">
        <v>0</v>
      </c>
      <c r="T516" s="42"/>
      <c r="Y516" s="112"/>
    </row>
    <row r="517" spans="1:25">
      <c r="A517" s="49"/>
      <c r="B517" s="105">
        <v>1200563</v>
      </c>
      <c r="C517" s="192" t="s">
        <v>890</v>
      </c>
      <c r="D517" s="192"/>
      <c r="E517" s="84"/>
      <c r="F517" s="84"/>
      <c r="G517" s="54">
        <v>6</v>
      </c>
      <c r="H517" s="49">
        <v>3</v>
      </c>
      <c r="I517" s="91">
        <v>2</v>
      </c>
      <c r="J517" s="91"/>
      <c r="K517" s="17"/>
      <c r="L517" s="17"/>
      <c r="M517" s="49">
        <v>3</v>
      </c>
      <c r="N517" s="49">
        <v>1</v>
      </c>
      <c r="O517" s="49">
        <v>0</v>
      </c>
      <c r="P517" s="49">
        <v>0</v>
      </c>
      <c r="Q517" s="49">
        <v>0</v>
      </c>
      <c r="R517" s="49"/>
      <c r="S517" s="49">
        <v>0</v>
      </c>
      <c r="T517" s="42"/>
      <c r="Y517" s="112"/>
    </row>
    <row r="518" spans="1:25">
      <c r="A518" s="49"/>
      <c r="B518" s="105">
        <v>1200633</v>
      </c>
      <c r="C518" s="193" t="s">
        <v>4016</v>
      </c>
      <c r="D518" s="192" t="s">
        <v>4142</v>
      </c>
      <c r="E518" s="84"/>
      <c r="F518" s="84"/>
      <c r="G518" s="49">
        <v>6</v>
      </c>
      <c r="H518" s="49">
        <v>3</v>
      </c>
      <c r="I518" s="91">
        <v>2</v>
      </c>
      <c r="J518" s="91"/>
      <c r="K518" s="17"/>
      <c r="L518" s="17"/>
      <c r="M518" s="49">
        <v>3</v>
      </c>
      <c r="N518" s="49">
        <v>1</v>
      </c>
      <c r="O518" s="49">
        <v>0</v>
      </c>
      <c r="P518" s="49">
        <v>0</v>
      </c>
      <c r="Q518" s="49">
        <v>0</v>
      </c>
      <c r="R518" s="49"/>
      <c r="S518" s="49">
        <v>0</v>
      </c>
      <c r="T518" s="42"/>
      <c r="Y518" s="112"/>
    </row>
    <row r="519" spans="1:25">
      <c r="A519" s="49"/>
      <c r="B519" s="105">
        <v>1100043</v>
      </c>
      <c r="C519" s="192" t="s">
        <v>891</v>
      </c>
      <c r="D519" s="192" t="s">
        <v>4064</v>
      </c>
      <c r="E519" s="84"/>
      <c r="F519" s="84"/>
      <c r="G519" s="54">
        <v>6</v>
      </c>
      <c r="H519" s="49">
        <v>3</v>
      </c>
      <c r="I519" s="91">
        <v>1</v>
      </c>
      <c r="J519" s="91"/>
      <c r="K519" s="17"/>
      <c r="L519" s="17"/>
      <c r="M519" s="49">
        <v>3</v>
      </c>
      <c r="N519" s="49">
        <v>1</v>
      </c>
      <c r="O519" s="49">
        <v>0</v>
      </c>
      <c r="P519" s="49">
        <v>0</v>
      </c>
      <c r="Q519" s="49">
        <v>0</v>
      </c>
      <c r="R519" s="49"/>
      <c r="S519" s="49">
        <v>0</v>
      </c>
      <c r="T519" s="42"/>
      <c r="Y519" s="112"/>
    </row>
    <row r="520" spans="1:25">
      <c r="A520" s="49"/>
      <c r="B520" s="105">
        <v>1100633</v>
      </c>
      <c r="C520" s="192" t="s">
        <v>892</v>
      </c>
      <c r="D520" s="208" t="s">
        <v>4143</v>
      </c>
      <c r="E520" s="84"/>
      <c r="F520" s="84"/>
      <c r="G520" s="54">
        <v>6</v>
      </c>
      <c r="H520" s="49">
        <v>3</v>
      </c>
      <c r="I520" s="91">
        <v>1</v>
      </c>
      <c r="J520" s="91"/>
      <c r="K520" s="17"/>
      <c r="L520" s="17"/>
      <c r="M520" s="49">
        <v>3</v>
      </c>
      <c r="N520" s="49">
        <v>1</v>
      </c>
      <c r="O520" s="49">
        <v>0</v>
      </c>
      <c r="P520" s="49">
        <v>0</v>
      </c>
      <c r="Q520" s="49">
        <v>0</v>
      </c>
      <c r="R520" s="49"/>
      <c r="S520" s="49">
        <v>0</v>
      </c>
      <c r="T520" s="42"/>
      <c r="Y520" s="112"/>
    </row>
    <row r="521" spans="1:25">
      <c r="A521" s="49"/>
      <c r="B521" s="105">
        <v>1100053</v>
      </c>
      <c r="C521" s="192" t="s">
        <v>893</v>
      </c>
      <c r="D521" s="192" t="s">
        <v>4065</v>
      </c>
      <c r="E521" s="84"/>
      <c r="F521" s="84"/>
      <c r="G521" s="54">
        <v>6</v>
      </c>
      <c r="H521" s="49">
        <v>3</v>
      </c>
      <c r="I521" s="91">
        <v>1</v>
      </c>
      <c r="J521" s="91"/>
      <c r="K521" s="17"/>
      <c r="L521" s="17"/>
      <c r="M521" s="49">
        <v>3</v>
      </c>
      <c r="N521" s="49">
        <v>1</v>
      </c>
      <c r="O521" s="49">
        <v>0</v>
      </c>
      <c r="P521" s="49">
        <v>0</v>
      </c>
      <c r="Q521" s="49">
        <v>0</v>
      </c>
      <c r="R521" s="49"/>
      <c r="S521" s="49">
        <v>0</v>
      </c>
      <c r="T521" s="42"/>
      <c r="Y521" s="112"/>
    </row>
    <row r="522" spans="1:25">
      <c r="A522" s="49"/>
      <c r="B522" s="105">
        <v>1200043</v>
      </c>
      <c r="C522" s="200" t="s">
        <v>894</v>
      </c>
      <c r="D522" s="192" t="s">
        <v>4066</v>
      </c>
      <c r="E522" s="84"/>
      <c r="F522" s="84"/>
      <c r="G522" s="54">
        <v>6</v>
      </c>
      <c r="H522" s="49">
        <v>3</v>
      </c>
      <c r="I522" s="91">
        <v>2</v>
      </c>
      <c r="J522" s="128"/>
      <c r="K522" s="17"/>
      <c r="L522" s="17"/>
      <c r="M522" s="49">
        <v>3</v>
      </c>
      <c r="N522" s="49">
        <v>1</v>
      </c>
      <c r="O522" s="49">
        <v>0</v>
      </c>
      <c r="P522" s="49">
        <v>0</v>
      </c>
      <c r="Q522" s="49">
        <v>0</v>
      </c>
      <c r="R522" s="49"/>
      <c r="S522" s="49">
        <v>0</v>
      </c>
      <c r="T522" s="42"/>
      <c r="Y522" s="112"/>
    </row>
    <row r="523" spans="1:25">
      <c r="A523" s="49"/>
      <c r="B523" s="105">
        <v>1200053</v>
      </c>
      <c r="C523" s="200" t="s">
        <v>895</v>
      </c>
      <c r="D523" s="192" t="s">
        <v>4067</v>
      </c>
      <c r="E523" s="84"/>
      <c r="F523" s="84"/>
      <c r="G523" s="49">
        <v>6</v>
      </c>
      <c r="H523" s="49">
        <v>3</v>
      </c>
      <c r="I523" s="91">
        <v>2</v>
      </c>
      <c r="J523" s="128"/>
      <c r="K523" s="17"/>
      <c r="L523" s="17"/>
      <c r="M523" s="49">
        <v>3</v>
      </c>
      <c r="N523" s="49">
        <v>1</v>
      </c>
      <c r="O523" s="49">
        <v>0</v>
      </c>
      <c r="P523" s="49">
        <v>0</v>
      </c>
      <c r="Q523" s="49">
        <v>0</v>
      </c>
      <c r="R523" s="49"/>
      <c r="S523" s="49">
        <v>0</v>
      </c>
      <c r="T523" s="42"/>
      <c r="Y523" s="112"/>
    </row>
    <row r="524" spans="1:25">
      <c r="A524" s="49"/>
      <c r="B524" s="105">
        <v>1200803</v>
      </c>
      <c r="C524" s="200" t="s">
        <v>896</v>
      </c>
      <c r="D524" s="192" t="s">
        <v>4068</v>
      </c>
      <c r="E524" s="84"/>
      <c r="F524" s="84"/>
      <c r="G524" s="54">
        <v>6</v>
      </c>
      <c r="H524" s="49">
        <v>3</v>
      </c>
      <c r="I524" s="91">
        <v>2</v>
      </c>
      <c r="J524" s="128"/>
      <c r="K524" s="17"/>
      <c r="L524" s="17"/>
      <c r="M524" s="49">
        <v>3</v>
      </c>
      <c r="N524" s="49">
        <v>1</v>
      </c>
      <c r="O524" s="49">
        <v>0</v>
      </c>
      <c r="P524" s="49">
        <v>0</v>
      </c>
      <c r="Q524" s="49">
        <v>0</v>
      </c>
      <c r="R524" s="49"/>
      <c r="S524" s="49">
        <v>0</v>
      </c>
      <c r="T524" s="42"/>
      <c r="Y524" s="112"/>
    </row>
    <row r="525" spans="1:25">
      <c r="A525" s="49"/>
      <c r="B525" s="105">
        <v>1200013</v>
      </c>
      <c r="C525" s="200" t="s">
        <v>897</v>
      </c>
      <c r="D525" s="192" t="s">
        <v>4069</v>
      </c>
      <c r="E525" s="84"/>
      <c r="F525" s="84"/>
      <c r="G525" s="49">
        <v>6</v>
      </c>
      <c r="H525" s="49">
        <v>3</v>
      </c>
      <c r="I525" s="91">
        <v>2</v>
      </c>
      <c r="J525" s="128"/>
      <c r="K525" s="17"/>
      <c r="L525" s="17"/>
      <c r="M525" s="49">
        <v>3</v>
      </c>
      <c r="N525" s="49">
        <v>1</v>
      </c>
      <c r="O525" s="49">
        <v>0</v>
      </c>
      <c r="P525" s="49">
        <v>0</v>
      </c>
      <c r="Q525" s="49">
        <v>0</v>
      </c>
      <c r="R525" s="49"/>
      <c r="S525" s="49">
        <v>0</v>
      </c>
      <c r="T525" s="42"/>
      <c r="Y525" s="112"/>
    </row>
    <row r="526" spans="1:25">
      <c r="A526" s="49"/>
      <c r="B526" s="105">
        <v>1100013</v>
      </c>
      <c r="C526" s="200" t="s">
        <v>897</v>
      </c>
      <c r="D526" s="192" t="s">
        <v>4070</v>
      </c>
      <c r="E526" s="84"/>
      <c r="F526" s="84"/>
      <c r="G526" s="54">
        <v>6</v>
      </c>
      <c r="H526" s="49">
        <v>3</v>
      </c>
      <c r="I526" s="91">
        <v>1</v>
      </c>
      <c r="J526" s="128"/>
      <c r="K526" s="17"/>
      <c r="L526" s="17"/>
      <c r="M526" s="49">
        <v>3</v>
      </c>
      <c r="N526" s="49">
        <v>1</v>
      </c>
      <c r="O526" s="49">
        <v>0</v>
      </c>
      <c r="P526" s="49">
        <v>0</v>
      </c>
      <c r="Q526" s="49">
        <v>0</v>
      </c>
      <c r="R526" s="49"/>
      <c r="S526" s="49">
        <v>0</v>
      </c>
      <c r="T526" s="42"/>
      <c r="Y526" s="112"/>
    </row>
    <row r="527" spans="1:25">
      <c r="A527" s="49"/>
      <c r="B527" s="105">
        <v>1100803</v>
      </c>
      <c r="C527" s="200" t="s">
        <v>896</v>
      </c>
      <c r="D527" s="192" t="s">
        <v>4071</v>
      </c>
      <c r="E527" s="84"/>
      <c r="F527" s="84"/>
      <c r="G527" s="54">
        <v>6</v>
      </c>
      <c r="H527" s="49">
        <v>3</v>
      </c>
      <c r="I527" s="91">
        <v>1</v>
      </c>
      <c r="J527" s="128"/>
      <c r="K527" s="17"/>
      <c r="L527" s="17"/>
      <c r="M527" s="49">
        <v>3</v>
      </c>
      <c r="N527" s="49">
        <v>1</v>
      </c>
      <c r="O527" s="49">
        <v>0</v>
      </c>
      <c r="P527" s="49">
        <v>0</v>
      </c>
      <c r="Q527" s="49">
        <v>0</v>
      </c>
      <c r="R527" s="49"/>
      <c r="S527" s="49">
        <v>0</v>
      </c>
      <c r="T527" s="42"/>
      <c r="Y527" s="112"/>
    </row>
    <row r="528" spans="1:25">
      <c r="A528" s="49"/>
      <c r="B528" s="105">
        <v>1200173</v>
      </c>
      <c r="C528" s="200" t="s">
        <v>898</v>
      </c>
      <c r="D528" s="192" t="s">
        <v>4072</v>
      </c>
      <c r="E528" s="84"/>
      <c r="F528" s="84"/>
      <c r="G528" s="49">
        <v>6</v>
      </c>
      <c r="H528" s="49">
        <v>3</v>
      </c>
      <c r="I528" s="91">
        <v>2</v>
      </c>
      <c r="J528" s="128"/>
      <c r="K528" s="17"/>
      <c r="L528" s="17"/>
      <c r="M528" s="49">
        <v>3</v>
      </c>
      <c r="N528" s="49">
        <v>1</v>
      </c>
      <c r="O528" s="49">
        <v>0</v>
      </c>
      <c r="P528" s="49">
        <v>0</v>
      </c>
      <c r="Q528" s="49">
        <v>0</v>
      </c>
      <c r="R528" s="49"/>
      <c r="S528" s="49">
        <v>0</v>
      </c>
      <c r="T528" s="42"/>
      <c r="Y528" s="112"/>
    </row>
    <row r="529" spans="1:25">
      <c r="A529" s="49"/>
      <c r="B529" s="105">
        <v>1100173</v>
      </c>
      <c r="C529" s="200" t="s">
        <v>898</v>
      </c>
      <c r="D529" s="192" t="s">
        <v>899</v>
      </c>
      <c r="E529" s="84"/>
      <c r="F529" s="84"/>
      <c r="G529" s="54">
        <v>6</v>
      </c>
      <c r="H529" s="49">
        <v>3</v>
      </c>
      <c r="I529" s="91">
        <v>1</v>
      </c>
      <c r="J529" s="128"/>
      <c r="K529" s="17"/>
      <c r="L529" s="17"/>
      <c r="M529" s="49">
        <v>3</v>
      </c>
      <c r="N529" s="49">
        <v>1</v>
      </c>
      <c r="O529" s="49">
        <v>0</v>
      </c>
      <c r="P529" s="49">
        <v>0</v>
      </c>
      <c r="Q529" s="49">
        <v>0</v>
      </c>
      <c r="R529" s="49"/>
      <c r="S529" s="49">
        <v>0</v>
      </c>
      <c r="T529" s="42"/>
      <c r="Y529" s="112"/>
    </row>
    <row r="530" spans="1:25">
      <c r="A530" s="49"/>
      <c r="B530" s="105">
        <v>1100673</v>
      </c>
      <c r="C530" s="200" t="s">
        <v>900</v>
      </c>
      <c r="D530" s="201" t="s">
        <v>4097</v>
      </c>
      <c r="E530" s="84"/>
      <c r="F530" s="84"/>
      <c r="G530" s="54">
        <v>6</v>
      </c>
      <c r="H530" s="49">
        <v>3</v>
      </c>
      <c r="I530" s="91">
        <v>1</v>
      </c>
      <c r="J530" s="128"/>
      <c r="K530" s="17"/>
      <c r="L530" s="17"/>
      <c r="M530" s="49">
        <v>3</v>
      </c>
      <c r="N530" s="49">
        <v>1</v>
      </c>
      <c r="O530" s="49">
        <v>0</v>
      </c>
      <c r="P530" s="49">
        <v>0</v>
      </c>
      <c r="Q530" s="49">
        <v>0</v>
      </c>
      <c r="R530" s="49"/>
      <c r="S530" s="49">
        <v>0</v>
      </c>
      <c r="T530" s="42"/>
      <c r="Y530" s="112"/>
    </row>
    <row r="531" spans="1:25">
      <c r="A531" s="49"/>
      <c r="B531" s="105">
        <v>1100083</v>
      </c>
      <c r="C531" s="200" t="s">
        <v>901</v>
      </c>
      <c r="D531" s="192" t="s">
        <v>4073</v>
      </c>
      <c r="E531" s="84"/>
      <c r="F531" s="84"/>
      <c r="G531" s="54">
        <v>6</v>
      </c>
      <c r="H531" s="49">
        <v>3</v>
      </c>
      <c r="I531" s="91">
        <v>1</v>
      </c>
      <c r="J531" s="128"/>
      <c r="K531" s="17"/>
      <c r="L531" s="17"/>
      <c r="M531" s="49">
        <v>3</v>
      </c>
      <c r="N531" s="49">
        <v>1</v>
      </c>
      <c r="O531" s="49">
        <v>0</v>
      </c>
      <c r="P531" s="49">
        <v>0</v>
      </c>
      <c r="Q531" s="49">
        <v>0</v>
      </c>
      <c r="R531" s="49"/>
      <c r="S531" s="49">
        <v>0</v>
      </c>
      <c r="T531" s="42"/>
      <c r="Y531" s="112"/>
    </row>
    <row r="532" spans="1:25">
      <c r="A532" s="49"/>
      <c r="B532" s="105">
        <v>1100663</v>
      </c>
      <c r="C532" s="200" t="s">
        <v>4098</v>
      </c>
      <c r="D532" s="201" t="s">
        <v>4041</v>
      </c>
      <c r="E532" s="84"/>
      <c r="F532" s="84"/>
      <c r="G532" s="54">
        <v>6</v>
      </c>
      <c r="H532" s="49">
        <v>3</v>
      </c>
      <c r="I532" s="91">
        <v>1</v>
      </c>
      <c r="J532" s="128"/>
      <c r="K532" s="17"/>
      <c r="L532" s="17"/>
      <c r="M532" s="49">
        <v>3</v>
      </c>
      <c r="N532" s="49">
        <v>1</v>
      </c>
      <c r="O532" s="49">
        <v>0</v>
      </c>
      <c r="P532" s="49">
        <v>0</v>
      </c>
      <c r="Q532" s="49">
        <v>0</v>
      </c>
      <c r="R532" s="49"/>
      <c r="S532" s="49">
        <v>0</v>
      </c>
      <c r="T532" s="42"/>
      <c r="Y532" s="112"/>
    </row>
    <row r="533" spans="1:25">
      <c r="A533" s="49"/>
      <c r="B533" s="105">
        <v>1200083</v>
      </c>
      <c r="C533" s="200" t="s">
        <v>901</v>
      </c>
      <c r="D533" s="192" t="s">
        <v>4074</v>
      </c>
      <c r="E533" s="84"/>
      <c r="F533" s="84"/>
      <c r="G533" s="54">
        <v>6</v>
      </c>
      <c r="H533" s="49">
        <v>3</v>
      </c>
      <c r="I533" s="91">
        <v>2</v>
      </c>
      <c r="J533" s="128"/>
      <c r="K533" s="17"/>
      <c r="L533" s="17"/>
      <c r="M533" s="49">
        <v>3</v>
      </c>
      <c r="N533" s="49">
        <v>1</v>
      </c>
      <c r="O533" s="49">
        <v>0</v>
      </c>
      <c r="P533" s="49">
        <v>0</v>
      </c>
      <c r="Q533" s="49">
        <v>0</v>
      </c>
      <c r="R533" s="49"/>
      <c r="S533" s="49">
        <v>0</v>
      </c>
      <c r="T533" s="42"/>
      <c r="Y533" s="112"/>
    </row>
    <row r="534" spans="1:25">
      <c r="A534" s="49"/>
      <c r="B534" s="105">
        <v>1100363</v>
      </c>
      <c r="C534" s="203" t="s">
        <v>902</v>
      </c>
      <c r="D534" s="192"/>
      <c r="E534" s="84"/>
      <c r="F534" s="84"/>
      <c r="G534" s="54">
        <v>6</v>
      </c>
      <c r="H534" s="49">
        <v>3</v>
      </c>
      <c r="I534" s="91">
        <v>1</v>
      </c>
      <c r="J534" s="128"/>
      <c r="K534" s="17"/>
      <c r="L534" s="17"/>
      <c r="M534" s="49">
        <v>3</v>
      </c>
      <c r="N534" s="49">
        <v>1</v>
      </c>
      <c r="O534" s="49">
        <v>0</v>
      </c>
      <c r="P534" s="49">
        <v>0</v>
      </c>
      <c r="Q534" s="49">
        <v>0</v>
      </c>
      <c r="R534" s="49"/>
      <c r="S534" s="49">
        <v>0</v>
      </c>
      <c r="T534" s="42"/>
      <c r="Y534" s="112"/>
    </row>
    <row r="535" spans="1:25">
      <c r="A535" s="49"/>
      <c r="B535" s="105">
        <v>1100443</v>
      </c>
      <c r="C535" s="203" t="s">
        <v>903</v>
      </c>
      <c r="D535" s="192"/>
      <c r="E535" s="84"/>
      <c r="F535" s="84"/>
      <c r="G535" s="54">
        <v>6</v>
      </c>
      <c r="H535" s="49">
        <v>3</v>
      </c>
      <c r="I535" s="91">
        <v>1</v>
      </c>
      <c r="J535" s="128"/>
      <c r="K535" s="17"/>
      <c r="L535" s="17"/>
      <c r="M535" s="49">
        <v>3</v>
      </c>
      <c r="N535" s="49">
        <v>1</v>
      </c>
      <c r="O535" s="49">
        <v>0</v>
      </c>
      <c r="P535" s="49">
        <v>0</v>
      </c>
      <c r="Q535" s="49">
        <v>0</v>
      </c>
      <c r="R535" s="49"/>
      <c r="S535" s="49">
        <v>0</v>
      </c>
      <c r="T535" s="42"/>
      <c r="Y535" s="112"/>
    </row>
    <row r="536" spans="1:25">
      <c r="A536" s="49"/>
      <c r="B536" s="105">
        <v>1100523</v>
      </c>
      <c r="C536" s="203" t="s">
        <v>904</v>
      </c>
      <c r="D536" s="192"/>
      <c r="E536" s="84"/>
      <c r="F536" s="84"/>
      <c r="G536" s="54">
        <v>6</v>
      </c>
      <c r="H536" s="49">
        <v>3</v>
      </c>
      <c r="I536" s="91">
        <v>1</v>
      </c>
      <c r="J536" s="128"/>
      <c r="K536" s="17"/>
      <c r="L536" s="17"/>
      <c r="M536" s="49">
        <v>3</v>
      </c>
      <c r="N536" s="49">
        <v>1</v>
      </c>
      <c r="O536" s="49">
        <v>0</v>
      </c>
      <c r="P536" s="49">
        <v>0</v>
      </c>
      <c r="Q536" s="49">
        <v>0</v>
      </c>
      <c r="R536" s="49"/>
      <c r="S536" s="49">
        <v>0</v>
      </c>
      <c r="T536" s="42"/>
      <c r="Y536" s="112"/>
    </row>
    <row r="537" spans="1:25">
      <c r="A537" s="49"/>
      <c r="B537" s="105">
        <v>1200403</v>
      </c>
      <c r="C537" s="203" t="s">
        <v>905</v>
      </c>
      <c r="D537" s="192"/>
      <c r="E537" s="84"/>
      <c r="F537" s="84"/>
      <c r="G537" s="54">
        <v>6</v>
      </c>
      <c r="H537" s="49">
        <v>3</v>
      </c>
      <c r="I537" s="91">
        <v>2</v>
      </c>
      <c r="J537" s="128"/>
      <c r="K537" s="17"/>
      <c r="L537" s="17"/>
      <c r="M537" s="49">
        <v>3</v>
      </c>
      <c r="N537" s="49">
        <v>1</v>
      </c>
      <c r="O537" s="49">
        <v>0</v>
      </c>
      <c r="P537" s="49">
        <v>0</v>
      </c>
      <c r="Q537" s="49">
        <v>0</v>
      </c>
      <c r="R537" s="49"/>
      <c r="S537" s="49">
        <v>0</v>
      </c>
      <c r="T537" s="42"/>
      <c r="Y537" s="112"/>
    </row>
    <row r="538" spans="1:25">
      <c r="A538" s="49"/>
      <c r="B538" s="105">
        <v>1200483</v>
      </c>
      <c r="C538" s="203" t="s">
        <v>906</v>
      </c>
      <c r="D538" s="192"/>
      <c r="E538" s="84"/>
      <c r="F538" s="84"/>
      <c r="G538" s="54">
        <v>6</v>
      </c>
      <c r="H538" s="49">
        <v>3</v>
      </c>
      <c r="I538" s="91">
        <v>2</v>
      </c>
      <c r="J538" s="128"/>
      <c r="K538" s="17"/>
      <c r="L538" s="17"/>
      <c r="M538" s="49">
        <v>3</v>
      </c>
      <c r="N538" s="49">
        <v>1</v>
      </c>
      <c r="O538" s="49">
        <v>0</v>
      </c>
      <c r="P538" s="49">
        <v>0</v>
      </c>
      <c r="Q538" s="49">
        <v>0</v>
      </c>
      <c r="R538" s="49"/>
      <c r="S538" s="49">
        <v>0</v>
      </c>
      <c r="T538" s="42"/>
      <c r="Y538" s="112"/>
    </row>
    <row r="539" spans="1:25">
      <c r="A539" s="49"/>
      <c r="B539" s="105">
        <v>1200543</v>
      </c>
      <c r="C539" s="203" t="s">
        <v>907</v>
      </c>
      <c r="D539" s="192"/>
      <c r="E539" s="84"/>
      <c r="F539" s="84"/>
      <c r="G539" s="54">
        <v>6</v>
      </c>
      <c r="H539" s="49">
        <v>3</v>
      </c>
      <c r="I539" s="91">
        <v>2</v>
      </c>
      <c r="J539" s="128"/>
      <c r="K539" s="17"/>
      <c r="L539" s="17"/>
      <c r="M539" s="49">
        <v>3</v>
      </c>
      <c r="N539" s="49">
        <v>1</v>
      </c>
      <c r="O539" s="49">
        <v>0</v>
      </c>
      <c r="P539" s="49">
        <v>0</v>
      </c>
      <c r="Q539" s="49">
        <v>0</v>
      </c>
      <c r="R539" s="49"/>
      <c r="S539" s="49">
        <v>0</v>
      </c>
      <c r="T539" s="42"/>
      <c r="Y539" s="112"/>
    </row>
    <row r="540" spans="1:25" s="41" customFormat="1">
      <c r="A540" s="117" t="s">
        <v>48</v>
      </c>
      <c r="B540" s="112">
        <v>1200553</v>
      </c>
      <c r="C540" s="203" t="s">
        <v>908</v>
      </c>
      <c r="D540" s="200"/>
      <c r="E540" s="138"/>
      <c r="F540" s="138"/>
      <c r="G540" s="54">
        <v>6</v>
      </c>
      <c r="H540" s="55">
        <v>3</v>
      </c>
      <c r="I540" s="139">
        <v>2</v>
      </c>
      <c r="J540" s="140"/>
      <c r="K540" s="65"/>
      <c r="L540" s="65"/>
      <c r="M540" s="55">
        <v>3</v>
      </c>
      <c r="N540" s="55">
        <v>1</v>
      </c>
      <c r="O540" s="55">
        <v>0</v>
      </c>
      <c r="P540" s="55">
        <v>0</v>
      </c>
      <c r="Q540" s="55">
        <v>0</v>
      </c>
      <c r="R540" s="55"/>
      <c r="S540" s="55">
        <v>0</v>
      </c>
      <c r="T540" s="43"/>
      <c r="Y540" s="112"/>
    </row>
    <row r="541" spans="1:25" s="41" customFormat="1">
      <c r="A541" s="117" t="s">
        <v>48</v>
      </c>
      <c r="B541" s="112">
        <v>1200573</v>
      </c>
      <c r="C541" s="203" t="s">
        <v>909</v>
      </c>
      <c r="D541" s="200"/>
      <c r="E541" s="138"/>
      <c r="F541" s="138"/>
      <c r="G541" s="54">
        <v>6</v>
      </c>
      <c r="H541" s="55">
        <v>3</v>
      </c>
      <c r="I541" s="139">
        <v>2</v>
      </c>
      <c r="J541" s="140"/>
      <c r="K541" s="65"/>
      <c r="L541" s="65"/>
      <c r="M541" s="55">
        <v>3</v>
      </c>
      <c r="N541" s="55">
        <v>1</v>
      </c>
      <c r="O541" s="55">
        <v>0</v>
      </c>
      <c r="P541" s="55">
        <v>0</v>
      </c>
      <c r="Q541" s="55">
        <v>0</v>
      </c>
      <c r="R541" s="55"/>
      <c r="S541" s="55">
        <v>0</v>
      </c>
      <c r="T541" s="43"/>
      <c r="Y541" s="112"/>
    </row>
    <row r="542" spans="1:25" s="41" customFormat="1">
      <c r="A542" s="117" t="s">
        <v>48</v>
      </c>
      <c r="B542" s="112">
        <v>1200583</v>
      </c>
      <c r="C542" s="203" t="s">
        <v>910</v>
      </c>
      <c r="D542" s="200"/>
      <c r="E542" s="138"/>
      <c r="F542" s="138"/>
      <c r="G542" s="54">
        <v>6</v>
      </c>
      <c r="H542" s="55">
        <v>3</v>
      </c>
      <c r="I542" s="139">
        <v>2</v>
      </c>
      <c r="J542" s="140"/>
      <c r="K542" s="65"/>
      <c r="L542" s="65"/>
      <c r="M542" s="55">
        <v>3</v>
      </c>
      <c r="N542" s="55">
        <v>1</v>
      </c>
      <c r="O542" s="55">
        <v>0</v>
      </c>
      <c r="P542" s="55">
        <v>0</v>
      </c>
      <c r="Q542" s="55">
        <v>0</v>
      </c>
      <c r="R542" s="55"/>
      <c r="S542" s="55">
        <v>0</v>
      </c>
      <c r="T542" s="43"/>
      <c r="Y542" s="112"/>
    </row>
    <row r="543" spans="1:25" s="41" customFormat="1">
      <c r="A543" s="117"/>
      <c r="B543" s="216">
        <v>1200713</v>
      </c>
      <c r="C543" s="204" t="s">
        <v>911</v>
      </c>
      <c r="D543" s="200"/>
      <c r="E543" s="138"/>
      <c r="F543" s="138"/>
      <c r="G543" s="54">
        <v>6</v>
      </c>
      <c r="H543" s="55">
        <v>3</v>
      </c>
      <c r="I543" s="139">
        <v>2</v>
      </c>
      <c r="J543" s="140"/>
      <c r="K543" s="65"/>
      <c r="L543" s="65"/>
      <c r="M543" s="55">
        <v>3</v>
      </c>
      <c r="N543" s="55">
        <v>1</v>
      </c>
      <c r="O543" s="55">
        <v>0</v>
      </c>
      <c r="P543" s="55">
        <v>0</v>
      </c>
      <c r="Q543" s="55">
        <v>0</v>
      </c>
      <c r="R543" s="55"/>
      <c r="S543" s="55">
        <v>0</v>
      </c>
      <c r="T543" s="43"/>
      <c r="Y543" s="112"/>
    </row>
    <row r="544" spans="1:25">
      <c r="A544" s="49"/>
      <c r="B544" s="105">
        <v>1100313</v>
      </c>
      <c r="C544" s="203" t="s">
        <v>912</v>
      </c>
      <c r="D544" s="192"/>
      <c r="E544" s="84"/>
      <c r="F544" s="84"/>
      <c r="G544" s="54">
        <v>6</v>
      </c>
      <c r="H544" s="49">
        <v>3</v>
      </c>
      <c r="I544" s="91">
        <v>1</v>
      </c>
      <c r="J544" s="128"/>
      <c r="K544" s="17"/>
      <c r="L544" s="17"/>
      <c r="M544" s="49">
        <v>3</v>
      </c>
      <c r="N544" s="49">
        <v>1</v>
      </c>
      <c r="O544" s="49">
        <v>0</v>
      </c>
      <c r="P544" s="49">
        <v>0</v>
      </c>
      <c r="Q544" s="49">
        <v>0</v>
      </c>
      <c r="R544" s="49"/>
      <c r="S544" s="49">
        <v>0</v>
      </c>
      <c r="T544" s="42"/>
      <c r="Y544" s="112"/>
    </row>
    <row r="545" spans="1:25">
      <c r="A545" s="49"/>
      <c r="B545" s="121">
        <v>1100293</v>
      </c>
      <c r="C545" s="205" t="s">
        <v>913</v>
      </c>
      <c r="D545" s="192"/>
      <c r="E545" s="84"/>
      <c r="F545" s="84"/>
      <c r="G545" s="54">
        <v>6</v>
      </c>
      <c r="H545" s="49">
        <v>3</v>
      </c>
      <c r="I545" s="91">
        <v>1</v>
      </c>
      <c r="J545" s="128"/>
      <c r="K545" s="17"/>
      <c r="L545" s="17"/>
      <c r="M545" s="49">
        <v>3</v>
      </c>
      <c r="N545" s="49">
        <v>1</v>
      </c>
      <c r="O545" s="49">
        <v>0</v>
      </c>
      <c r="P545" s="49">
        <v>0</v>
      </c>
      <c r="Q545" s="49">
        <v>0</v>
      </c>
      <c r="R545" s="49"/>
      <c r="S545" s="49">
        <v>0</v>
      </c>
      <c r="T545" s="42"/>
      <c r="Y545" s="112"/>
    </row>
    <row r="546" spans="1:25">
      <c r="A546" s="49"/>
      <c r="B546" s="121">
        <v>1100343</v>
      </c>
      <c r="C546" s="205" t="s">
        <v>914</v>
      </c>
      <c r="D546" s="192"/>
      <c r="E546" s="84"/>
      <c r="F546" s="84"/>
      <c r="G546" s="54">
        <v>6</v>
      </c>
      <c r="H546" s="49">
        <v>3</v>
      </c>
      <c r="I546" s="91">
        <v>1</v>
      </c>
      <c r="J546" s="128"/>
      <c r="K546" s="17"/>
      <c r="L546" s="17"/>
      <c r="M546" s="49">
        <v>3</v>
      </c>
      <c r="N546" s="49">
        <v>1</v>
      </c>
      <c r="O546" s="49">
        <v>0</v>
      </c>
      <c r="P546" s="49">
        <v>0</v>
      </c>
      <c r="Q546" s="49">
        <v>0</v>
      </c>
      <c r="R546" s="49"/>
      <c r="S546" s="49">
        <v>0</v>
      </c>
      <c r="T546" s="42"/>
      <c r="Y546" s="112"/>
    </row>
    <row r="547" spans="1:25">
      <c r="A547" s="49"/>
      <c r="B547" s="105">
        <v>1200283</v>
      </c>
      <c r="C547" s="203" t="s">
        <v>915</v>
      </c>
      <c r="D547" s="192"/>
      <c r="E547" s="84"/>
      <c r="F547" s="84"/>
      <c r="G547" s="54">
        <v>6</v>
      </c>
      <c r="H547" s="49">
        <v>3</v>
      </c>
      <c r="I547" s="91">
        <v>2</v>
      </c>
      <c r="J547" s="128"/>
      <c r="K547" s="17"/>
      <c r="L547" s="17"/>
      <c r="M547" s="49">
        <v>3</v>
      </c>
      <c r="N547" s="49">
        <v>1</v>
      </c>
      <c r="O547" s="49">
        <v>0</v>
      </c>
      <c r="P547" s="49">
        <v>0</v>
      </c>
      <c r="Q547" s="49">
        <v>0</v>
      </c>
      <c r="R547" s="49"/>
      <c r="S547" s="49">
        <v>0</v>
      </c>
      <c r="T547" s="42"/>
      <c r="Y547" s="112"/>
    </row>
    <row r="548" spans="1:25">
      <c r="A548" s="49"/>
      <c r="B548" s="121">
        <v>1100543</v>
      </c>
      <c r="C548" s="205" t="s">
        <v>916</v>
      </c>
      <c r="D548" s="192"/>
      <c r="E548" s="84"/>
      <c r="F548" s="84"/>
      <c r="G548" s="54">
        <v>6</v>
      </c>
      <c r="H548" s="49">
        <v>3</v>
      </c>
      <c r="I548" s="91">
        <v>1</v>
      </c>
      <c r="J548" s="128"/>
      <c r="K548" s="17"/>
      <c r="L548" s="17"/>
      <c r="M548" s="49">
        <v>3</v>
      </c>
      <c r="N548" s="49">
        <v>1</v>
      </c>
      <c r="O548" s="49">
        <v>0</v>
      </c>
      <c r="P548" s="49">
        <v>0</v>
      </c>
      <c r="Q548" s="49">
        <v>0</v>
      </c>
      <c r="R548" s="49"/>
      <c r="S548" s="49">
        <v>0</v>
      </c>
      <c r="T548" s="42"/>
      <c r="Y548" s="112"/>
    </row>
    <row r="549" spans="1:25">
      <c r="A549" s="49"/>
      <c r="B549" s="121">
        <v>1100553</v>
      </c>
      <c r="C549" s="205" t="s">
        <v>917</v>
      </c>
      <c r="D549" s="192"/>
      <c r="E549" s="84"/>
      <c r="F549" s="84"/>
      <c r="G549" s="54">
        <v>6</v>
      </c>
      <c r="H549" s="49">
        <v>3</v>
      </c>
      <c r="I549" s="91">
        <v>1</v>
      </c>
      <c r="J549" s="128"/>
      <c r="K549" s="17"/>
      <c r="L549" s="17"/>
      <c r="M549" s="49">
        <v>3</v>
      </c>
      <c r="N549" s="49">
        <v>1</v>
      </c>
      <c r="O549" s="49">
        <v>0</v>
      </c>
      <c r="P549" s="49">
        <v>0</v>
      </c>
      <c r="Q549" s="49">
        <v>0</v>
      </c>
      <c r="R549" s="49"/>
      <c r="S549" s="49">
        <v>0</v>
      </c>
      <c r="T549" s="42"/>
      <c r="Y549" s="112"/>
    </row>
    <row r="550" spans="1:25">
      <c r="A550" s="49"/>
      <c r="B550" s="121">
        <v>1100423</v>
      </c>
      <c r="C550" s="205" t="s">
        <v>918</v>
      </c>
      <c r="D550" s="192"/>
      <c r="E550" s="84"/>
      <c r="F550" s="84"/>
      <c r="G550" s="54">
        <v>6</v>
      </c>
      <c r="H550" s="49">
        <v>3</v>
      </c>
      <c r="I550" s="91">
        <v>1</v>
      </c>
      <c r="J550" s="128"/>
      <c r="K550" s="17"/>
      <c r="L550" s="17"/>
      <c r="M550" s="49">
        <v>3</v>
      </c>
      <c r="N550" s="49">
        <v>1</v>
      </c>
      <c r="O550" s="49">
        <v>0</v>
      </c>
      <c r="P550" s="49">
        <v>0</v>
      </c>
      <c r="Q550" s="49">
        <v>0</v>
      </c>
      <c r="R550" s="49"/>
      <c r="S550" s="49">
        <v>0</v>
      </c>
      <c r="T550" s="42"/>
      <c r="Y550" s="112"/>
    </row>
    <row r="551" spans="1:25">
      <c r="A551" s="49"/>
      <c r="B551" s="121">
        <v>1100433</v>
      </c>
      <c r="C551" s="205" t="s">
        <v>919</v>
      </c>
      <c r="D551" s="192"/>
      <c r="E551" s="84"/>
      <c r="F551" s="84"/>
      <c r="G551" s="54">
        <v>6</v>
      </c>
      <c r="H551" s="49">
        <v>3</v>
      </c>
      <c r="I551" s="91">
        <v>1</v>
      </c>
      <c r="J551" s="128"/>
      <c r="K551" s="17"/>
      <c r="L551" s="17"/>
      <c r="M551" s="49">
        <v>3</v>
      </c>
      <c r="N551" s="49">
        <v>1</v>
      </c>
      <c r="O551" s="49">
        <v>0</v>
      </c>
      <c r="P551" s="49">
        <v>0</v>
      </c>
      <c r="Q551" s="49">
        <v>0</v>
      </c>
      <c r="R551" s="49"/>
      <c r="S551" s="49">
        <v>0</v>
      </c>
      <c r="T551" s="42"/>
      <c r="Y551" s="112"/>
    </row>
    <row r="552" spans="1:25">
      <c r="A552" s="49"/>
      <c r="B552" s="121">
        <v>1200303</v>
      </c>
      <c r="C552" s="205" t="s">
        <v>920</v>
      </c>
      <c r="D552" s="192"/>
      <c r="E552" s="84"/>
      <c r="F552" s="84"/>
      <c r="G552" s="54">
        <v>6</v>
      </c>
      <c r="H552" s="49">
        <v>3</v>
      </c>
      <c r="I552" s="91">
        <v>2</v>
      </c>
      <c r="J552" s="128"/>
      <c r="K552" s="17"/>
      <c r="L552" s="17"/>
      <c r="M552" s="49">
        <v>3</v>
      </c>
      <c r="N552" s="49">
        <v>1</v>
      </c>
      <c r="O552" s="49">
        <v>0</v>
      </c>
      <c r="P552" s="49">
        <v>0</v>
      </c>
      <c r="Q552" s="49">
        <v>0</v>
      </c>
      <c r="R552" s="49"/>
      <c r="S552" s="49">
        <v>0</v>
      </c>
      <c r="T552" s="42"/>
      <c r="Y552" s="112"/>
    </row>
    <row r="553" spans="1:25">
      <c r="A553" s="49"/>
      <c r="B553" s="121">
        <v>1200323</v>
      </c>
      <c r="C553" s="205" t="s">
        <v>921</v>
      </c>
      <c r="D553" s="192"/>
      <c r="E553" s="84"/>
      <c r="F553" s="84"/>
      <c r="G553" s="54">
        <v>6</v>
      </c>
      <c r="H553" s="49">
        <v>3</v>
      </c>
      <c r="I553" s="91">
        <v>2</v>
      </c>
      <c r="J553" s="128"/>
      <c r="K553" s="17"/>
      <c r="L553" s="17"/>
      <c r="M553" s="49">
        <v>3</v>
      </c>
      <c r="N553" s="49">
        <v>1</v>
      </c>
      <c r="O553" s="49">
        <v>0</v>
      </c>
      <c r="P553" s="49">
        <v>0</v>
      </c>
      <c r="Q553" s="49">
        <v>0</v>
      </c>
      <c r="R553" s="49"/>
      <c r="S553" s="49">
        <v>0</v>
      </c>
      <c r="T553" s="42"/>
      <c r="Y553" s="112"/>
    </row>
    <row r="554" spans="1:25">
      <c r="A554" s="212"/>
      <c r="B554" s="215">
        <v>1100833</v>
      </c>
      <c r="C554" s="204" t="s">
        <v>4128</v>
      </c>
      <c r="D554" s="192" t="s">
        <v>4131</v>
      </c>
      <c r="E554" s="213"/>
      <c r="F554" s="213"/>
      <c r="G554" s="54">
        <v>6</v>
      </c>
      <c r="H554" s="49">
        <v>3</v>
      </c>
      <c r="I554" s="91">
        <v>1</v>
      </c>
      <c r="J554" s="128"/>
      <c r="K554" s="17"/>
      <c r="L554" s="17"/>
      <c r="M554" s="49">
        <v>3</v>
      </c>
      <c r="N554" s="49">
        <v>1</v>
      </c>
      <c r="O554" s="49">
        <v>0</v>
      </c>
      <c r="P554" s="49">
        <v>0</v>
      </c>
      <c r="Q554" s="49">
        <v>0</v>
      </c>
      <c r="R554" s="49"/>
      <c r="S554" s="49">
        <v>0</v>
      </c>
      <c r="T554" s="42"/>
      <c r="Y554" s="112"/>
    </row>
    <row r="555" spans="1:25">
      <c r="A555" s="212"/>
      <c r="B555" s="215">
        <v>1100813</v>
      </c>
      <c r="C555" s="204" t="s">
        <v>4129</v>
      </c>
      <c r="D555" s="192"/>
      <c r="E555" s="213"/>
      <c r="F555" s="213"/>
      <c r="G555" s="54">
        <v>6</v>
      </c>
      <c r="H555" s="49">
        <v>3</v>
      </c>
      <c r="I555" s="91">
        <v>1</v>
      </c>
      <c r="J555" s="128"/>
      <c r="K555" s="17"/>
      <c r="L555" s="17"/>
      <c r="M555" s="49">
        <v>3</v>
      </c>
      <c r="N555" s="49">
        <v>1</v>
      </c>
      <c r="O555" s="49">
        <v>0</v>
      </c>
      <c r="P555" s="49">
        <v>0</v>
      </c>
      <c r="Q555" s="49">
        <v>0</v>
      </c>
      <c r="R555" s="49"/>
      <c r="S555" s="49">
        <v>0</v>
      </c>
      <c r="T555" s="42"/>
      <c r="Y555" s="112"/>
    </row>
    <row r="556" spans="1:25">
      <c r="A556" s="212"/>
      <c r="B556" s="215">
        <v>1200833</v>
      </c>
      <c r="C556" s="204" t="s">
        <v>4128</v>
      </c>
      <c r="D556" s="192" t="s">
        <v>4133</v>
      </c>
      <c r="E556" s="213"/>
      <c r="F556" s="213"/>
      <c r="G556" s="54">
        <v>6</v>
      </c>
      <c r="H556" s="49">
        <v>3</v>
      </c>
      <c r="I556" s="91">
        <v>2</v>
      </c>
      <c r="J556" s="128"/>
      <c r="K556" s="17"/>
      <c r="L556" s="17"/>
      <c r="M556" s="49">
        <v>3</v>
      </c>
      <c r="N556" s="49">
        <v>1</v>
      </c>
      <c r="O556" s="49">
        <v>0</v>
      </c>
      <c r="P556" s="49">
        <v>0</v>
      </c>
      <c r="Q556" s="49">
        <v>0</v>
      </c>
      <c r="R556" s="49"/>
      <c r="S556" s="49">
        <v>0</v>
      </c>
      <c r="T556" s="42"/>
      <c r="Y556" s="112"/>
    </row>
    <row r="557" spans="1:25">
      <c r="A557" s="212"/>
      <c r="B557" s="215">
        <v>1200813</v>
      </c>
      <c r="C557" s="204" t="s">
        <v>4130</v>
      </c>
      <c r="D557" s="192" t="s">
        <v>4132</v>
      </c>
      <c r="E557" s="213"/>
      <c r="F557" s="213"/>
      <c r="G557" s="54">
        <v>6</v>
      </c>
      <c r="H557" s="49">
        <v>3</v>
      </c>
      <c r="I557" s="91">
        <v>2</v>
      </c>
      <c r="J557" s="128"/>
      <c r="K557" s="17"/>
      <c r="L557" s="17"/>
      <c r="M557" s="49">
        <v>3</v>
      </c>
      <c r="N557" s="49">
        <v>1</v>
      </c>
      <c r="O557" s="49">
        <v>0</v>
      </c>
      <c r="P557" s="49">
        <v>0</v>
      </c>
      <c r="Q557" s="49">
        <v>0</v>
      </c>
      <c r="R557" s="49"/>
      <c r="S557" s="49">
        <v>0</v>
      </c>
      <c r="T557" s="42"/>
      <c r="Y557" s="112"/>
    </row>
    <row r="558" spans="1:25">
      <c r="A558" s="49"/>
      <c r="B558" s="229">
        <v>1100853</v>
      </c>
      <c r="C558" s="105" t="s">
        <v>4190</v>
      </c>
      <c r="D558" s="105"/>
      <c r="E558" s="84"/>
      <c r="F558" s="84"/>
      <c r="G558" s="54">
        <v>6</v>
      </c>
      <c r="H558" s="49">
        <v>3</v>
      </c>
      <c r="I558" s="91">
        <v>1</v>
      </c>
      <c r="J558" s="128"/>
      <c r="K558" s="17"/>
      <c r="L558" s="17"/>
      <c r="M558" s="49">
        <v>3</v>
      </c>
      <c r="N558" s="49">
        <v>1</v>
      </c>
      <c r="O558" s="49">
        <v>0</v>
      </c>
      <c r="P558" s="49">
        <v>0</v>
      </c>
      <c r="Q558" s="49">
        <v>0</v>
      </c>
      <c r="R558" s="49"/>
      <c r="S558" s="49">
        <v>0</v>
      </c>
      <c r="T558" s="42"/>
      <c r="Y558" s="112"/>
    </row>
    <row r="559" spans="1:25">
      <c r="A559" s="49"/>
      <c r="B559" s="229">
        <v>1100863</v>
      </c>
      <c r="C559" s="105" t="s">
        <v>4191</v>
      </c>
      <c r="D559" s="105"/>
      <c r="E559" s="84"/>
      <c r="F559" s="84"/>
      <c r="G559" s="54">
        <v>6</v>
      </c>
      <c r="H559" s="49">
        <v>3</v>
      </c>
      <c r="I559" s="91">
        <v>1</v>
      </c>
      <c r="J559" s="128"/>
      <c r="K559" s="17"/>
      <c r="L559" s="17"/>
      <c r="M559" s="49">
        <v>3</v>
      </c>
      <c r="N559" s="49">
        <v>1</v>
      </c>
      <c r="O559" s="49">
        <v>0</v>
      </c>
      <c r="P559" s="49">
        <v>0</v>
      </c>
      <c r="Q559" s="49">
        <v>0</v>
      </c>
      <c r="R559" s="49"/>
      <c r="S559" s="49">
        <v>0</v>
      </c>
      <c r="T559" s="42"/>
      <c r="Y559" s="112"/>
    </row>
    <row r="560" spans="1:25">
      <c r="A560" s="49"/>
      <c r="B560" s="229">
        <v>1200853</v>
      </c>
      <c r="C560" s="105" t="s">
        <v>4190</v>
      </c>
      <c r="D560" s="105"/>
      <c r="E560" s="84"/>
      <c r="F560" s="84"/>
      <c r="G560" s="54">
        <v>6</v>
      </c>
      <c r="H560" s="49">
        <v>3</v>
      </c>
      <c r="I560" s="91">
        <v>2</v>
      </c>
      <c r="J560" s="128"/>
      <c r="K560" s="17"/>
      <c r="L560" s="17"/>
      <c r="M560" s="49">
        <v>3</v>
      </c>
      <c r="N560" s="49">
        <v>1</v>
      </c>
      <c r="O560" s="49">
        <v>0</v>
      </c>
      <c r="P560" s="49">
        <v>0</v>
      </c>
      <c r="Q560" s="49">
        <v>0</v>
      </c>
      <c r="R560" s="49"/>
      <c r="S560" s="49">
        <v>0</v>
      </c>
      <c r="T560" s="42"/>
      <c r="Y560" s="112"/>
    </row>
    <row r="561" spans="1:25">
      <c r="A561" s="49"/>
      <c r="B561" s="229">
        <v>1200863</v>
      </c>
      <c r="C561" s="105" t="s">
        <v>4191</v>
      </c>
      <c r="D561" s="105"/>
      <c r="E561" s="84"/>
      <c r="F561" s="84"/>
      <c r="G561" s="54">
        <v>6</v>
      </c>
      <c r="H561" s="49">
        <v>3</v>
      </c>
      <c r="I561" s="91">
        <v>2</v>
      </c>
      <c r="J561" s="128"/>
      <c r="K561" s="17"/>
      <c r="L561" s="17"/>
      <c r="M561" s="49">
        <v>3</v>
      </c>
      <c r="N561" s="49">
        <v>1</v>
      </c>
      <c r="O561" s="49">
        <v>0</v>
      </c>
      <c r="P561" s="49">
        <v>0</v>
      </c>
      <c r="Q561" s="49">
        <v>0</v>
      </c>
      <c r="R561" s="49"/>
      <c r="S561" s="49">
        <v>0</v>
      </c>
      <c r="T561" s="42"/>
      <c r="Y561" s="112"/>
    </row>
    <row r="562" spans="1:25">
      <c r="A562" s="87" t="s">
        <v>48</v>
      </c>
      <c r="B562" s="206" t="s">
        <v>922</v>
      </c>
      <c r="C562" s="207"/>
      <c r="D562" s="207"/>
      <c r="E562" s="89"/>
      <c r="F562" s="89"/>
      <c r="G562" s="87"/>
      <c r="H562" s="87"/>
      <c r="I562" s="95"/>
      <c r="J562" s="88"/>
      <c r="K562" s="17"/>
      <c r="L562" s="17"/>
      <c r="M562" s="87"/>
      <c r="N562" s="87"/>
      <c r="O562" s="87"/>
      <c r="P562" s="87"/>
      <c r="Q562" s="87"/>
      <c r="R562" s="87"/>
      <c r="S562" s="87"/>
      <c r="T562" s="98"/>
      <c r="Y562" s="141"/>
    </row>
    <row r="563" spans="1:25">
      <c r="A563" s="49"/>
      <c r="B563" s="105">
        <v>1100284</v>
      </c>
      <c r="C563" s="187" t="s">
        <v>923</v>
      </c>
      <c r="D563" s="185" t="s">
        <v>4041</v>
      </c>
      <c r="E563" s="84"/>
      <c r="F563" s="84"/>
      <c r="G563" s="49">
        <v>6</v>
      </c>
      <c r="H563" s="49">
        <v>4</v>
      </c>
      <c r="I563" s="96">
        <v>1</v>
      </c>
      <c r="J563" s="96"/>
      <c r="K563" s="17"/>
      <c r="L563" s="17"/>
      <c r="M563" s="49">
        <v>3</v>
      </c>
      <c r="N563" s="49">
        <v>1</v>
      </c>
      <c r="O563" s="49">
        <v>0</v>
      </c>
      <c r="P563" s="49">
        <v>0</v>
      </c>
      <c r="Q563" s="49">
        <v>0</v>
      </c>
      <c r="R563" s="49"/>
      <c r="S563" s="49">
        <v>0</v>
      </c>
      <c r="T563" s="42"/>
      <c r="Y563" s="112"/>
    </row>
    <row r="564" spans="1:25">
      <c r="A564" s="49"/>
      <c r="B564" s="105">
        <v>1100374</v>
      </c>
      <c r="C564" s="187" t="s">
        <v>924</v>
      </c>
      <c r="D564" s="185" t="s">
        <v>4041</v>
      </c>
      <c r="E564" s="84"/>
      <c r="F564" s="84"/>
      <c r="G564" s="49">
        <v>6</v>
      </c>
      <c r="H564" s="49">
        <v>4</v>
      </c>
      <c r="I564" s="96">
        <v>1</v>
      </c>
      <c r="J564" s="96"/>
      <c r="K564" s="17"/>
      <c r="L564" s="17"/>
      <c r="M564" s="49">
        <v>3</v>
      </c>
      <c r="N564" s="49">
        <v>1</v>
      </c>
      <c r="O564" s="49">
        <v>0</v>
      </c>
      <c r="P564" s="49">
        <v>0</v>
      </c>
      <c r="Q564" s="49">
        <v>0</v>
      </c>
      <c r="R564" s="49"/>
      <c r="S564" s="49">
        <v>0</v>
      </c>
      <c r="T564" s="42"/>
      <c r="Y564" s="112"/>
    </row>
    <row r="565" spans="1:25">
      <c r="A565" s="49"/>
      <c r="B565" s="105">
        <v>1100324</v>
      </c>
      <c r="C565" s="187" t="s">
        <v>925</v>
      </c>
      <c r="D565" s="185" t="s">
        <v>4041</v>
      </c>
      <c r="E565" s="84"/>
      <c r="F565" s="84"/>
      <c r="G565" s="49">
        <v>6</v>
      </c>
      <c r="H565" s="49">
        <v>4</v>
      </c>
      <c r="I565" s="96">
        <v>1</v>
      </c>
      <c r="J565" s="96"/>
      <c r="K565" s="17"/>
      <c r="L565" s="17"/>
      <c r="M565" s="49">
        <v>3</v>
      </c>
      <c r="N565" s="49">
        <v>1</v>
      </c>
      <c r="O565" s="49">
        <v>0</v>
      </c>
      <c r="P565" s="49">
        <v>0</v>
      </c>
      <c r="Q565" s="49">
        <v>0</v>
      </c>
      <c r="R565" s="49"/>
      <c r="S565" s="49">
        <v>0</v>
      </c>
      <c r="T565" s="42"/>
      <c r="Y565" s="112"/>
    </row>
    <row r="566" spans="1:25">
      <c r="A566" s="49"/>
      <c r="B566" s="105">
        <v>1100414</v>
      </c>
      <c r="C566" s="187" t="s">
        <v>926</v>
      </c>
      <c r="D566" s="185" t="s">
        <v>4041</v>
      </c>
      <c r="E566" s="84"/>
      <c r="F566" s="84"/>
      <c r="G566" s="49">
        <v>6</v>
      </c>
      <c r="H566" s="49">
        <v>4</v>
      </c>
      <c r="I566" s="96">
        <v>1</v>
      </c>
      <c r="J566" s="96"/>
      <c r="K566" s="17"/>
      <c r="L566" s="17"/>
      <c r="M566" s="49">
        <v>3</v>
      </c>
      <c r="N566" s="49">
        <v>1</v>
      </c>
      <c r="O566" s="49">
        <v>0</v>
      </c>
      <c r="P566" s="49">
        <v>0</v>
      </c>
      <c r="Q566" s="49">
        <v>0</v>
      </c>
      <c r="R566" s="49"/>
      <c r="S566" s="49">
        <v>0</v>
      </c>
      <c r="T566" s="42"/>
      <c r="Y566" s="112"/>
    </row>
    <row r="567" spans="1:25">
      <c r="A567" s="49"/>
      <c r="B567" s="105">
        <v>1100494</v>
      </c>
      <c r="C567" s="187" t="s">
        <v>927</v>
      </c>
      <c r="D567" s="185" t="s">
        <v>4041</v>
      </c>
      <c r="E567" s="84"/>
      <c r="F567" s="84"/>
      <c r="G567" s="49">
        <v>6</v>
      </c>
      <c r="H567" s="49">
        <v>4</v>
      </c>
      <c r="I567" s="96">
        <v>1</v>
      </c>
      <c r="J567" s="96"/>
      <c r="K567" s="17"/>
      <c r="L567" s="17"/>
      <c r="M567" s="49">
        <v>3</v>
      </c>
      <c r="N567" s="49">
        <v>1</v>
      </c>
      <c r="O567" s="49">
        <v>0</v>
      </c>
      <c r="P567" s="49">
        <v>0</v>
      </c>
      <c r="Q567" s="49">
        <v>0</v>
      </c>
      <c r="R567" s="49"/>
      <c r="S567" s="49">
        <v>0</v>
      </c>
      <c r="T567" s="42"/>
      <c r="Y567" s="112"/>
    </row>
    <row r="568" spans="1:25">
      <c r="A568" s="49"/>
      <c r="B568" s="105">
        <v>1100534</v>
      </c>
      <c r="C568" s="187" t="s">
        <v>928</v>
      </c>
      <c r="D568" s="185" t="s">
        <v>4041</v>
      </c>
      <c r="E568" s="84"/>
      <c r="F568" s="84"/>
      <c r="G568" s="54">
        <v>6</v>
      </c>
      <c r="H568" s="49">
        <v>4</v>
      </c>
      <c r="I568" s="96">
        <v>1</v>
      </c>
      <c r="J568" s="96"/>
      <c r="K568" s="17"/>
      <c r="L568" s="17"/>
      <c r="M568" s="49">
        <v>3</v>
      </c>
      <c r="N568" s="49">
        <v>1</v>
      </c>
      <c r="O568" s="49">
        <v>0</v>
      </c>
      <c r="P568" s="49">
        <v>0</v>
      </c>
      <c r="Q568" s="49">
        <v>0</v>
      </c>
      <c r="R568" s="49"/>
      <c r="S568" s="49">
        <v>0</v>
      </c>
      <c r="T568" s="42"/>
      <c r="Y568" s="112"/>
    </row>
    <row r="569" spans="1:25">
      <c r="A569" s="49"/>
      <c r="B569" s="105">
        <v>1100304</v>
      </c>
      <c r="C569" s="187" t="s">
        <v>929</v>
      </c>
      <c r="D569" s="185" t="s">
        <v>4041</v>
      </c>
      <c r="E569" s="84"/>
      <c r="F569" s="84"/>
      <c r="G569" s="54">
        <v>6</v>
      </c>
      <c r="H569" s="49">
        <v>4</v>
      </c>
      <c r="I569" s="96">
        <v>1</v>
      </c>
      <c r="J569" s="96"/>
      <c r="K569" s="17"/>
      <c r="L569" s="17"/>
      <c r="M569" s="49">
        <v>3</v>
      </c>
      <c r="N569" s="49">
        <v>1</v>
      </c>
      <c r="O569" s="49">
        <v>0</v>
      </c>
      <c r="P569" s="49">
        <v>0</v>
      </c>
      <c r="Q569" s="49">
        <v>0</v>
      </c>
      <c r="R569" s="49"/>
      <c r="S569" s="49">
        <v>0</v>
      </c>
      <c r="T569" s="42"/>
      <c r="Y569" s="112"/>
    </row>
    <row r="570" spans="1:25">
      <c r="A570" s="49"/>
      <c r="B570" s="105">
        <v>1100394</v>
      </c>
      <c r="C570" s="187" t="s">
        <v>930</v>
      </c>
      <c r="D570" s="185" t="s">
        <v>4041</v>
      </c>
      <c r="E570" s="84"/>
      <c r="F570" s="84"/>
      <c r="G570" s="49">
        <v>6</v>
      </c>
      <c r="H570" s="49">
        <v>4</v>
      </c>
      <c r="I570" s="96">
        <v>1</v>
      </c>
      <c r="J570" s="96"/>
      <c r="K570" s="17"/>
      <c r="L570" s="17"/>
      <c r="M570" s="49">
        <v>3</v>
      </c>
      <c r="N570" s="49">
        <v>1</v>
      </c>
      <c r="O570" s="49">
        <v>0</v>
      </c>
      <c r="P570" s="49">
        <v>0</v>
      </c>
      <c r="Q570" s="49">
        <v>0</v>
      </c>
      <c r="R570" s="49"/>
      <c r="S570" s="49">
        <v>0</v>
      </c>
      <c r="T570" s="42"/>
      <c r="Y570" s="112"/>
    </row>
    <row r="571" spans="1:25">
      <c r="A571" s="49"/>
      <c r="B571" s="105">
        <v>1100474</v>
      </c>
      <c r="C571" s="187" t="s">
        <v>931</v>
      </c>
      <c r="D571" s="185" t="s">
        <v>4041</v>
      </c>
      <c r="E571" s="84"/>
      <c r="F571" s="84"/>
      <c r="G571" s="49">
        <v>6</v>
      </c>
      <c r="H571" s="49">
        <v>4</v>
      </c>
      <c r="I571" s="96">
        <v>1</v>
      </c>
      <c r="J571" s="96"/>
      <c r="K571" s="17"/>
      <c r="L571" s="17"/>
      <c r="M571" s="49">
        <v>3</v>
      </c>
      <c r="N571" s="49">
        <v>1</v>
      </c>
      <c r="O571" s="49">
        <v>0</v>
      </c>
      <c r="P571" s="49">
        <v>0</v>
      </c>
      <c r="Q571" s="49">
        <v>0</v>
      </c>
      <c r="R571" s="49"/>
      <c r="S571" s="49">
        <v>0</v>
      </c>
      <c r="T571" s="42"/>
      <c r="Y571" s="112"/>
    </row>
    <row r="572" spans="1:25">
      <c r="A572" s="49"/>
      <c r="B572" s="105">
        <v>1100354</v>
      </c>
      <c r="C572" s="187" t="s">
        <v>932</v>
      </c>
      <c r="D572" s="185" t="s">
        <v>4041</v>
      </c>
      <c r="E572" s="84"/>
      <c r="F572" s="84"/>
      <c r="G572" s="49">
        <v>6</v>
      </c>
      <c r="H572" s="49">
        <v>4</v>
      </c>
      <c r="I572" s="96">
        <v>1</v>
      </c>
      <c r="J572" s="96"/>
      <c r="K572" s="17"/>
      <c r="L572" s="17"/>
      <c r="M572" s="49">
        <v>3</v>
      </c>
      <c r="N572" s="49">
        <v>1</v>
      </c>
      <c r="O572" s="49">
        <v>0</v>
      </c>
      <c r="P572" s="49">
        <v>0</v>
      </c>
      <c r="Q572" s="49">
        <v>0</v>
      </c>
      <c r="R572" s="49"/>
      <c r="S572" s="49">
        <v>0</v>
      </c>
      <c r="T572" s="42"/>
      <c r="Y572" s="112"/>
    </row>
    <row r="573" spans="1:25">
      <c r="A573" s="49"/>
      <c r="B573" s="105">
        <v>1200434</v>
      </c>
      <c r="C573" s="187" t="s">
        <v>933</v>
      </c>
      <c r="D573" s="185" t="s">
        <v>4041</v>
      </c>
      <c r="E573" s="84"/>
      <c r="F573" s="84"/>
      <c r="G573" s="49">
        <v>6</v>
      </c>
      <c r="H573" s="49">
        <v>4</v>
      </c>
      <c r="I573" s="96">
        <v>2</v>
      </c>
      <c r="J573" s="96"/>
      <c r="K573" s="17"/>
      <c r="L573" s="17"/>
      <c r="M573" s="49">
        <v>3</v>
      </c>
      <c r="N573" s="49">
        <v>1</v>
      </c>
      <c r="O573" s="49">
        <v>0</v>
      </c>
      <c r="P573" s="49">
        <v>0</v>
      </c>
      <c r="Q573" s="49">
        <v>0</v>
      </c>
      <c r="R573" s="49"/>
      <c r="S573" s="49">
        <v>0</v>
      </c>
      <c r="T573" s="42"/>
      <c r="Y573" s="112"/>
    </row>
    <row r="574" spans="1:25">
      <c r="A574" s="49"/>
      <c r="B574" s="105">
        <v>1200544</v>
      </c>
      <c r="C574" s="187" t="s">
        <v>934</v>
      </c>
      <c r="D574" s="185" t="s">
        <v>4041</v>
      </c>
      <c r="E574" s="84"/>
      <c r="F574" s="84"/>
      <c r="G574" s="49">
        <v>6</v>
      </c>
      <c r="H574" s="49">
        <v>4</v>
      </c>
      <c r="I574" s="96">
        <v>2</v>
      </c>
      <c r="J574" s="96"/>
      <c r="K574" s="17"/>
      <c r="L574" s="17"/>
      <c r="M574" s="49">
        <v>3</v>
      </c>
      <c r="N574" s="49">
        <v>1</v>
      </c>
      <c r="O574" s="49">
        <v>0</v>
      </c>
      <c r="P574" s="49">
        <v>0</v>
      </c>
      <c r="Q574" s="49">
        <v>0</v>
      </c>
      <c r="R574" s="49"/>
      <c r="S574" s="49">
        <v>0</v>
      </c>
      <c r="T574" s="42"/>
      <c r="Y574" s="112"/>
    </row>
    <row r="575" spans="1:25">
      <c r="A575" s="49"/>
      <c r="B575" s="105">
        <v>1200294</v>
      </c>
      <c r="C575" s="187" t="s">
        <v>935</v>
      </c>
      <c r="D575" s="185" t="s">
        <v>4041</v>
      </c>
      <c r="E575" s="84"/>
      <c r="F575" s="84"/>
      <c r="G575" s="49">
        <v>6</v>
      </c>
      <c r="H575" s="49">
        <v>4</v>
      </c>
      <c r="I575" s="96">
        <v>2</v>
      </c>
      <c r="J575" s="96"/>
      <c r="K575" s="17"/>
      <c r="L575" s="17"/>
      <c r="M575" s="49">
        <v>3</v>
      </c>
      <c r="N575" s="49">
        <v>1</v>
      </c>
      <c r="O575" s="49">
        <v>0</v>
      </c>
      <c r="P575" s="49">
        <v>0</v>
      </c>
      <c r="Q575" s="49">
        <v>0</v>
      </c>
      <c r="R575" s="49"/>
      <c r="S575" s="49">
        <v>0</v>
      </c>
      <c r="T575" s="42"/>
      <c r="Y575" s="112"/>
    </row>
    <row r="576" spans="1:25">
      <c r="A576" s="49"/>
      <c r="B576" s="105">
        <v>1200384</v>
      </c>
      <c r="C576" s="187" t="s">
        <v>936</v>
      </c>
      <c r="D576" s="185" t="s">
        <v>4041</v>
      </c>
      <c r="E576" s="84"/>
      <c r="F576" s="84"/>
      <c r="G576" s="49">
        <v>6</v>
      </c>
      <c r="H576" s="49">
        <v>4</v>
      </c>
      <c r="I576" s="96">
        <v>2</v>
      </c>
      <c r="J576" s="96"/>
      <c r="K576" s="17"/>
      <c r="L576" s="17"/>
      <c r="M576" s="49">
        <v>3</v>
      </c>
      <c r="N576" s="49">
        <v>1</v>
      </c>
      <c r="O576" s="49">
        <v>0</v>
      </c>
      <c r="P576" s="49">
        <v>0</v>
      </c>
      <c r="Q576" s="49">
        <v>0</v>
      </c>
      <c r="R576" s="49"/>
      <c r="S576" s="49">
        <v>0</v>
      </c>
      <c r="T576" s="42"/>
      <c r="Y576" s="112"/>
    </row>
    <row r="577" spans="1:25">
      <c r="A577" s="49"/>
      <c r="B577" s="105">
        <v>1200464</v>
      </c>
      <c r="C577" s="187" t="s">
        <v>937</v>
      </c>
      <c r="D577" s="185" t="s">
        <v>4041</v>
      </c>
      <c r="E577" s="84"/>
      <c r="F577" s="84"/>
      <c r="G577" s="54">
        <v>6</v>
      </c>
      <c r="H577" s="49">
        <v>4</v>
      </c>
      <c r="I577" s="96">
        <v>2</v>
      </c>
      <c r="J577" s="91"/>
      <c r="K577" s="17"/>
      <c r="L577" s="17"/>
      <c r="M577" s="49">
        <v>3</v>
      </c>
      <c r="N577" s="49">
        <v>1</v>
      </c>
      <c r="O577" s="49">
        <v>0</v>
      </c>
      <c r="P577" s="49">
        <v>0</v>
      </c>
      <c r="Q577" s="49">
        <v>0</v>
      </c>
      <c r="R577" s="49"/>
      <c r="S577" s="49">
        <v>0</v>
      </c>
      <c r="T577" s="42"/>
      <c r="Y577" s="112"/>
    </row>
    <row r="578" spans="1:25">
      <c r="A578" s="49"/>
      <c r="B578" s="105">
        <v>1200344</v>
      </c>
      <c r="C578" s="187" t="s">
        <v>938</v>
      </c>
      <c r="D578" s="185" t="s">
        <v>4041</v>
      </c>
      <c r="E578" s="84"/>
      <c r="F578" s="84"/>
      <c r="G578" s="54">
        <v>6</v>
      </c>
      <c r="H578" s="49">
        <v>4</v>
      </c>
      <c r="I578" s="96">
        <v>2</v>
      </c>
      <c r="J578" s="91"/>
      <c r="K578" s="17"/>
      <c r="L578" s="17"/>
      <c r="M578" s="49">
        <v>3</v>
      </c>
      <c r="N578" s="49">
        <v>1</v>
      </c>
      <c r="O578" s="49">
        <v>0</v>
      </c>
      <c r="P578" s="49">
        <v>0</v>
      </c>
      <c r="Q578" s="49">
        <v>0</v>
      </c>
      <c r="R578" s="49"/>
      <c r="S578" s="49">
        <v>0</v>
      </c>
      <c r="T578" s="42"/>
      <c r="Y578" s="112"/>
    </row>
    <row r="579" spans="1:25">
      <c r="A579" s="49"/>
      <c r="B579" s="105">
        <v>1200424</v>
      </c>
      <c r="C579" s="187" t="s">
        <v>939</v>
      </c>
      <c r="D579" s="185" t="s">
        <v>4041</v>
      </c>
      <c r="E579" s="84"/>
      <c r="F579" s="84"/>
      <c r="G579" s="49">
        <v>6</v>
      </c>
      <c r="H579" s="49">
        <v>4</v>
      </c>
      <c r="I579" s="96">
        <v>2</v>
      </c>
      <c r="J579" s="91"/>
      <c r="K579" s="17"/>
      <c r="L579" s="17"/>
      <c r="M579" s="49">
        <v>3</v>
      </c>
      <c r="N579" s="49">
        <v>1</v>
      </c>
      <c r="O579" s="49">
        <v>0</v>
      </c>
      <c r="P579" s="49">
        <v>0</v>
      </c>
      <c r="Q579" s="49">
        <v>0</v>
      </c>
      <c r="R579" s="49"/>
      <c r="S579" s="49">
        <v>0</v>
      </c>
      <c r="T579" s="42"/>
      <c r="Y579" s="112"/>
    </row>
    <row r="580" spans="1:25">
      <c r="A580" s="49"/>
      <c r="B580" s="105">
        <v>1200504</v>
      </c>
      <c r="C580" s="187" t="s">
        <v>940</v>
      </c>
      <c r="D580" s="185" t="s">
        <v>4041</v>
      </c>
      <c r="E580" s="84"/>
      <c r="F580" s="84"/>
      <c r="G580" s="49">
        <v>6</v>
      </c>
      <c r="H580" s="49">
        <v>4</v>
      </c>
      <c r="I580" s="96">
        <v>2</v>
      </c>
      <c r="J580" s="91"/>
      <c r="K580" s="17"/>
      <c r="L580" s="17"/>
      <c r="M580" s="49">
        <v>3</v>
      </c>
      <c r="N580" s="49">
        <v>1</v>
      </c>
      <c r="O580" s="49">
        <v>0</v>
      </c>
      <c r="P580" s="49">
        <v>0</v>
      </c>
      <c r="Q580" s="49">
        <v>0</v>
      </c>
      <c r="R580" s="49"/>
      <c r="S580" s="49">
        <v>0</v>
      </c>
      <c r="T580" s="42"/>
      <c r="Y580" s="112"/>
    </row>
    <row r="581" spans="1:25">
      <c r="A581" s="49"/>
      <c r="B581" s="105">
        <v>1000224</v>
      </c>
      <c r="C581" s="188" t="s">
        <v>4181</v>
      </c>
      <c r="D581" s="188" t="s">
        <v>941</v>
      </c>
      <c r="E581" s="84"/>
      <c r="F581" s="84"/>
      <c r="G581" s="49">
        <v>6</v>
      </c>
      <c r="H581" s="49">
        <v>4</v>
      </c>
      <c r="I581" s="96">
        <v>0</v>
      </c>
      <c r="J581" s="91"/>
      <c r="K581" s="17"/>
      <c r="L581" s="17"/>
      <c r="M581" s="49">
        <v>3</v>
      </c>
      <c r="N581" s="49">
        <v>1</v>
      </c>
      <c r="O581" s="49">
        <v>0</v>
      </c>
      <c r="P581" s="49">
        <v>0</v>
      </c>
      <c r="Q581" s="49">
        <v>0</v>
      </c>
      <c r="R581" s="49"/>
      <c r="S581" s="49">
        <v>0</v>
      </c>
      <c r="T581" s="42"/>
      <c r="Y581" s="112"/>
    </row>
    <row r="582" spans="1:25">
      <c r="A582" s="49"/>
      <c r="B582" s="105">
        <v>1000254</v>
      </c>
      <c r="C582" s="188" t="s">
        <v>942</v>
      </c>
      <c r="D582" s="188" t="s">
        <v>943</v>
      </c>
      <c r="E582" s="84"/>
      <c r="F582" s="84"/>
      <c r="G582" s="49">
        <v>6</v>
      </c>
      <c r="H582" s="49">
        <v>4</v>
      </c>
      <c r="I582" s="96">
        <v>0</v>
      </c>
      <c r="J582" s="91"/>
      <c r="K582" s="17"/>
      <c r="L582" s="17"/>
      <c r="M582" s="49">
        <v>3</v>
      </c>
      <c r="N582" s="49">
        <v>1</v>
      </c>
      <c r="O582" s="49">
        <v>0</v>
      </c>
      <c r="P582" s="49">
        <v>0</v>
      </c>
      <c r="Q582" s="49">
        <v>0</v>
      </c>
      <c r="R582" s="49"/>
      <c r="S582" s="49">
        <v>0</v>
      </c>
      <c r="T582" s="42"/>
      <c r="Y582" s="112"/>
    </row>
    <row r="583" spans="1:25">
      <c r="A583" s="49"/>
      <c r="B583" s="105">
        <v>1000164</v>
      </c>
      <c r="C583" s="188" t="s">
        <v>944</v>
      </c>
      <c r="D583" s="188" t="s">
        <v>945</v>
      </c>
      <c r="E583" s="84"/>
      <c r="F583" s="84"/>
      <c r="G583" s="49">
        <v>6</v>
      </c>
      <c r="H583" s="49">
        <v>4</v>
      </c>
      <c r="I583" s="96">
        <v>0</v>
      </c>
      <c r="J583" s="91"/>
      <c r="K583" s="17"/>
      <c r="L583" s="17"/>
      <c r="M583" s="49">
        <v>3</v>
      </c>
      <c r="N583" s="49">
        <v>1</v>
      </c>
      <c r="O583" s="49">
        <v>0</v>
      </c>
      <c r="P583" s="49">
        <v>0</v>
      </c>
      <c r="Q583" s="49">
        <v>0</v>
      </c>
      <c r="R583" s="49"/>
      <c r="S583" s="49">
        <v>0</v>
      </c>
      <c r="T583" s="42"/>
      <c r="Y583" s="112"/>
    </row>
    <row r="584" spans="1:25">
      <c r="A584" s="49"/>
      <c r="B584" s="105">
        <v>1200204</v>
      </c>
      <c r="C584" s="188" t="s">
        <v>946</v>
      </c>
      <c r="D584" s="188" t="s">
        <v>947</v>
      </c>
      <c r="E584" s="84"/>
      <c r="F584" s="84"/>
      <c r="G584" s="49">
        <v>6</v>
      </c>
      <c r="H584" s="49">
        <v>4</v>
      </c>
      <c r="I584" s="96">
        <v>2</v>
      </c>
      <c r="J584" s="91"/>
      <c r="K584" s="17"/>
      <c r="L584" s="17"/>
      <c r="M584" s="49">
        <v>3</v>
      </c>
      <c r="N584" s="49">
        <v>1</v>
      </c>
      <c r="O584" s="49">
        <v>0</v>
      </c>
      <c r="P584" s="49">
        <v>0</v>
      </c>
      <c r="Q584" s="49">
        <v>0</v>
      </c>
      <c r="R584" s="49"/>
      <c r="S584" s="49">
        <v>0</v>
      </c>
      <c r="T584" s="42"/>
      <c r="Y584" s="112"/>
    </row>
    <row r="585" spans="1:25">
      <c r="A585" s="49"/>
      <c r="B585" s="105">
        <v>1100204</v>
      </c>
      <c r="C585" s="188" t="s">
        <v>948</v>
      </c>
      <c r="D585" s="188" t="s">
        <v>949</v>
      </c>
      <c r="E585" s="84"/>
      <c r="F585" s="84"/>
      <c r="G585" s="49">
        <v>6</v>
      </c>
      <c r="H585" s="49">
        <v>4</v>
      </c>
      <c r="I585" s="96">
        <v>1</v>
      </c>
      <c r="J585" s="91"/>
      <c r="K585" s="17"/>
      <c r="L585" s="17"/>
      <c r="M585" s="49">
        <v>3</v>
      </c>
      <c r="N585" s="49">
        <v>1</v>
      </c>
      <c r="O585" s="49">
        <v>0</v>
      </c>
      <c r="P585" s="49">
        <v>0</v>
      </c>
      <c r="Q585" s="49">
        <v>0</v>
      </c>
      <c r="R585" s="49"/>
      <c r="S585" s="49">
        <v>0</v>
      </c>
      <c r="T585" s="42"/>
      <c r="Y585" s="112"/>
    </row>
    <row r="586" spans="1:25">
      <c r="A586" s="49"/>
      <c r="B586" s="105">
        <v>1000094</v>
      </c>
      <c r="C586" s="188" t="s">
        <v>950</v>
      </c>
      <c r="D586" s="188" t="s">
        <v>951</v>
      </c>
      <c r="E586" s="84"/>
      <c r="F586" s="84"/>
      <c r="G586" s="49">
        <v>6</v>
      </c>
      <c r="H586" s="49">
        <v>4</v>
      </c>
      <c r="I586" s="96">
        <v>0</v>
      </c>
      <c r="J586" s="91"/>
      <c r="K586" s="17"/>
      <c r="L586" s="17"/>
      <c r="M586" s="49">
        <v>3</v>
      </c>
      <c r="N586" s="49">
        <v>1</v>
      </c>
      <c r="O586" s="49">
        <v>0</v>
      </c>
      <c r="P586" s="49">
        <v>0</v>
      </c>
      <c r="Q586" s="49">
        <v>0</v>
      </c>
      <c r="R586" s="49"/>
      <c r="S586" s="49">
        <v>0</v>
      </c>
      <c r="T586" s="42"/>
      <c r="Y586" s="112"/>
    </row>
    <row r="587" spans="1:25">
      <c r="A587" s="49"/>
      <c r="B587" s="105">
        <v>1200724</v>
      </c>
      <c r="C587" s="190" t="s">
        <v>4017</v>
      </c>
      <c r="D587" s="188" t="s">
        <v>4147</v>
      </c>
      <c r="E587" s="84"/>
      <c r="F587" s="84"/>
      <c r="G587" s="49">
        <v>6</v>
      </c>
      <c r="H587" s="49">
        <v>4</v>
      </c>
      <c r="I587" s="96">
        <v>2</v>
      </c>
      <c r="J587" s="91"/>
      <c r="K587" s="17"/>
      <c r="L587" s="17"/>
      <c r="M587" s="49">
        <v>3</v>
      </c>
      <c r="N587" s="49">
        <v>1</v>
      </c>
      <c r="O587" s="49">
        <v>0</v>
      </c>
      <c r="P587" s="49">
        <v>0</v>
      </c>
      <c r="Q587" s="49">
        <v>0</v>
      </c>
      <c r="R587" s="49"/>
      <c r="S587" s="49">
        <v>0</v>
      </c>
      <c r="T587" s="42"/>
      <c r="Y587" s="112"/>
    </row>
    <row r="588" spans="1:25">
      <c r="A588" s="49"/>
      <c r="B588" s="105">
        <v>1100724</v>
      </c>
      <c r="C588" s="190" t="s">
        <v>4018</v>
      </c>
      <c r="D588" s="188" t="s">
        <v>4148</v>
      </c>
      <c r="E588" s="84"/>
      <c r="F588" s="84"/>
      <c r="G588" s="49">
        <v>6</v>
      </c>
      <c r="H588" s="49">
        <v>4</v>
      </c>
      <c r="I588" s="96">
        <v>1</v>
      </c>
      <c r="J588" s="91"/>
      <c r="K588" s="17"/>
      <c r="L588" s="17"/>
      <c r="M588" s="49">
        <v>3</v>
      </c>
      <c r="N588" s="49">
        <v>1</v>
      </c>
      <c r="O588" s="49">
        <v>0</v>
      </c>
      <c r="P588" s="49">
        <v>0</v>
      </c>
      <c r="Q588" s="49">
        <v>0</v>
      </c>
      <c r="R588" s="49"/>
      <c r="S588" s="49">
        <v>0</v>
      </c>
      <c r="T588" s="42"/>
      <c r="Y588" s="112"/>
    </row>
    <row r="589" spans="1:25">
      <c r="A589" s="49"/>
      <c r="B589" s="105">
        <v>1200194</v>
      </c>
      <c r="C589" s="190" t="s">
        <v>4019</v>
      </c>
      <c r="D589" s="188" t="s">
        <v>952</v>
      </c>
      <c r="E589" s="84"/>
      <c r="F589" s="84"/>
      <c r="G589" s="49">
        <v>6</v>
      </c>
      <c r="H589" s="49">
        <v>4</v>
      </c>
      <c r="I589" s="96">
        <v>2</v>
      </c>
      <c r="J589" s="91"/>
      <c r="K589" s="17"/>
      <c r="L589" s="17"/>
      <c r="M589" s="49">
        <v>3</v>
      </c>
      <c r="N589" s="49">
        <v>1</v>
      </c>
      <c r="O589" s="49">
        <v>0</v>
      </c>
      <c r="P589" s="49">
        <v>0</v>
      </c>
      <c r="Q589" s="49">
        <v>0</v>
      </c>
      <c r="R589" s="49"/>
      <c r="S589" s="49">
        <v>0</v>
      </c>
      <c r="T589" s="42"/>
      <c r="Y589" s="112"/>
    </row>
    <row r="590" spans="1:25">
      <c r="A590" s="49"/>
      <c r="B590" s="105">
        <v>1100194</v>
      </c>
      <c r="C590" s="190" t="s">
        <v>4020</v>
      </c>
      <c r="D590" s="188" t="s">
        <v>953</v>
      </c>
      <c r="E590" s="84"/>
      <c r="F590" s="84"/>
      <c r="G590" s="49">
        <v>6</v>
      </c>
      <c r="H590" s="49">
        <v>4</v>
      </c>
      <c r="I590" s="96">
        <v>1</v>
      </c>
      <c r="J590" s="91"/>
      <c r="K590" s="17"/>
      <c r="L590" s="17"/>
      <c r="M590" s="49">
        <v>3</v>
      </c>
      <c r="N590" s="49">
        <v>1</v>
      </c>
      <c r="O590" s="49">
        <v>0</v>
      </c>
      <c r="P590" s="49">
        <v>0</v>
      </c>
      <c r="Q590" s="49">
        <v>0</v>
      </c>
      <c r="R590" s="49"/>
      <c r="S590" s="49">
        <v>0</v>
      </c>
      <c r="T590" s="42"/>
      <c r="Y590" s="112"/>
    </row>
    <row r="591" spans="1:25">
      <c r="A591" s="49"/>
      <c r="B591" s="105">
        <v>1200184</v>
      </c>
      <c r="C591" s="188" t="s">
        <v>954</v>
      </c>
      <c r="D591" s="188" t="s">
        <v>955</v>
      </c>
      <c r="E591" s="84"/>
      <c r="F591" s="84"/>
      <c r="G591" s="49">
        <v>6</v>
      </c>
      <c r="H591" s="49">
        <v>4</v>
      </c>
      <c r="I591" s="96">
        <v>2</v>
      </c>
      <c r="J591" s="91"/>
      <c r="K591" s="17"/>
      <c r="L591" s="17"/>
      <c r="M591" s="49">
        <v>3</v>
      </c>
      <c r="N591" s="49">
        <v>1</v>
      </c>
      <c r="O591" s="49">
        <v>0</v>
      </c>
      <c r="P591" s="49">
        <v>0</v>
      </c>
      <c r="Q591" s="49">
        <v>0</v>
      </c>
      <c r="R591" s="49"/>
      <c r="S591" s="49">
        <v>0</v>
      </c>
      <c r="T591" s="42"/>
      <c r="Y591" s="112"/>
    </row>
    <row r="592" spans="1:25">
      <c r="A592" s="49"/>
      <c r="B592" s="105">
        <v>1100184</v>
      </c>
      <c r="C592" s="188" t="s">
        <v>956</v>
      </c>
      <c r="D592" s="188" t="s">
        <v>957</v>
      </c>
      <c r="E592" s="84"/>
      <c r="F592" s="84"/>
      <c r="G592" s="49">
        <v>6</v>
      </c>
      <c r="H592" s="49">
        <v>4</v>
      </c>
      <c r="I592" s="96">
        <v>1</v>
      </c>
      <c r="J592" s="91"/>
      <c r="K592" s="17"/>
      <c r="L592" s="17"/>
      <c r="M592" s="49">
        <v>3</v>
      </c>
      <c r="N592" s="49">
        <v>1</v>
      </c>
      <c r="O592" s="49">
        <v>0</v>
      </c>
      <c r="P592" s="49">
        <v>0</v>
      </c>
      <c r="Q592" s="49">
        <v>0</v>
      </c>
      <c r="R592" s="49"/>
      <c r="S592" s="49">
        <v>0</v>
      </c>
      <c r="T592" s="42"/>
      <c r="Y592" s="112"/>
    </row>
    <row r="593" spans="1:25">
      <c r="A593" s="49"/>
      <c r="B593" s="105">
        <v>1200144</v>
      </c>
      <c r="C593" s="188" t="s">
        <v>958</v>
      </c>
      <c r="D593" s="188" t="s">
        <v>959</v>
      </c>
      <c r="E593" s="84"/>
      <c r="F593" s="84"/>
      <c r="G593" s="49">
        <v>6</v>
      </c>
      <c r="H593" s="49">
        <v>4</v>
      </c>
      <c r="I593" s="96">
        <v>2</v>
      </c>
      <c r="J593" s="91"/>
      <c r="K593" s="17"/>
      <c r="L593" s="17"/>
      <c r="M593" s="49">
        <v>3</v>
      </c>
      <c r="N593" s="49">
        <v>1</v>
      </c>
      <c r="O593" s="49">
        <v>0</v>
      </c>
      <c r="P593" s="49">
        <v>0</v>
      </c>
      <c r="Q593" s="49">
        <v>0</v>
      </c>
      <c r="R593" s="49"/>
      <c r="S593" s="49">
        <v>0</v>
      </c>
      <c r="T593" s="42"/>
      <c r="Y593" s="112"/>
    </row>
    <row r="594" spans="1:25">
      <c r="A594" s="49"/>
      <c r="B594" s="105">
        <v>1100144</v>
      </c>
      <c r="C594" s="188" t="s">
        <v>960</v>
      </c>
      <c r="D594" s="188" t="s">
        <v>961</v>
      </c>
      <c r="E594" s="84"/>
      <c r="F594" s="84"/>
      <c r="G594" s="49">
        <v>6</v>
      </c>
      <c r="H594" s="49">
        <v>4</v>
      </c>
      <c r="I594" s="96">
        <v>1</v>
      </c>
      <c r="J594" s="91"/>
      <c r="K594" s="17"/>
      <c r="L594" s="17"/>
      <c r="M594" s="49">
        <v>3</v>
      </c>
      <c r="N594" s="49">
        <v>1</v>
      </c>
      <c r="O594" s="49">
        <v>0</v>
      </c>
      <c r="P594" s="49">
        <v>0</v>
      </c>
      <c r="Q594" s="49">
        <v>0</v>
      </c>
      <c r="R594" s="49"/>
      <c r="S594" s="49">
        <v>0</v>
      </c>
      <c r="T594" s="42"/>
      <c r="Y594" s="112"/>
    </row>
    <row r="595" spans="1:25">
      <c r="A595" s="49"/>
      <c r="B595" s="105">
        <v>1200134</v>
      </c>
      <c r="C595" s="192" t="s">
        <v>962</v>
      </c>
      <c r="D595" s="192" t="s">
        <v>963</v>
      </c>
      <c r="E595" s="84"/>
      <c r="F595" s="84"/>
      <c r="G595" s="49">
        <v>6</v>
      </c>
      <c r="H595" s="49">
        <v>4</v>
      </c>
      <c r="I595" s="96">
        <v>2</v>
      </c>
      <c r="J595" s="91"/>
      <c r="K595" s="17"/>
      <c r="L595" s="17"/>
      <c r="M595" s="49">
        <v>3</v>
      </c>
      <c r="N595" s="49">
        <v>1</v>
      </c>
      <c r="O595" s="49">
        <v>0</v>
      </c>
      <c r="P595" s="49">
        <v>0</v>
      </c>
      <c r="Q595" s="49">
        <v>0</v>
      </c>
      <c r="R595" s="49"/>
      <c r="S595" s="49">
        <v>0</v>
      </c>
      <c r="T595" s="42"/>
      <c r="Y595" s="112"/>
    </row>
    <row r="596" spans="1:25">
      <c r="A596" s="49"/>
      <c r="B596" s="105">
        <v>1200214</v>
      </c>
      <c r="C596" s="192" t="s">
        <v>964</v>
      </c>
      <c r="D596" s="192" t="s">
        <v>965</v>
      </c>
      <c r="E596" s="84"/>
      <c r="F596" s="84"/>
      <c r="G596" s="49">
        <v>6</v>
      </c>
      <c r="H596" s="49">
        <v>4</v>
      </c>
      <c r="I596" s="96">
        <v>2</v>
      </c>
      <c r="J596" s="91"/>
      <c r="K596" s="17"/>
      <c r="L596" s="17"/>
      <c r="M596" s="49">
        <v>3</v>
      </c>
      <c r="N596" s="49">
        <v>1</v>
      </c>
      <c r="O596" s="49">
        <v>0</v>
      </c>
      <c r="P596" s="49">
        <v>0</v>
      </c>
      <c r="Q596" s="49">
        <v>0</v>
      </c>
      <c r="R596" s="49"/>
      <c r="S596" s="49">
        <v>0</v>
      </c>
      <c r="T596" s="42"/>
      <c r="Y596" s="112"/>
    </row>
    <row r="597" spans="1:25">
      <c r="A597" s="49"/>
      <c r="B597" s="105">
        <v>1200644</v>
      </c>
      <c r="C597" s="192" t="s">
        <v>966</v>
      </c>
      <c r="D597" s="192" t="s">
        <v>967</v>
      </c>
      <c r="E597" s="84"/>
      <c r="F597" s="84"/>
      <c r="G597" s="49">
        <v>6</v>
      </c>
      <c r="H597" s="49">
        <v>4</v>
      </c>
      <c r="I597" s="96">
        <v>2</v>
      </c>
      <c r="J597" s="91"/>
      <c r="K597" s="17"/>
      <c r="L597" s="17"/>
      <c r="M597" s="49">
        <v>3</v>
      </c>
      <c r="N597" s="49">
        <v>1</v>
      </c>
      <c r="O597" s="49">
        <v>0</v>
      </c>
      <c r="P597" s="49">
        <v>0</v>
      </c>
      <c r="Q597" s="49">
        <v>0</v>
      </c>
      <c r="R597" s="49"/>
      <c r="S597" s="49">
        <v>0</v>
      </c>
      <c r="T597" s="42"/>
      <c r="Y597" s="112"/>
    </row>
    <row r="598" spans="1:25">
      <c r="A598" s="49"/>
      <c r="B598" s="105">
        <v>1100134</v>
      </c>
      <c r="C598" s="192" t="s">
        <v>968</v>
      </c>
      <c r="D598" s="192" t="s">
        <v>969</v>
      </c>
      <c r="E598" s="84"/>
      <c r="F598" s="84"/>
      <c r="G598" s="49">
        <v>6</v>
      </c>
      <c r="H598" s="49">
        <v>4</v>
      </c>
      <c r="I598" s="96">
        <v>1</v>
      </c>
      <c r="J598" s="91"/>
      <c r="K598" s="17"/>
      <c r="L598" s="17"/>
      <c r="M598" s="49">
        <v>3</v>
      </c>
      <c r="N598" s="49">
        <v>1</v>
      </c>
      <c r="O598" s="49">
        <v>0</v>
      </c>
      <c r="P598" s="49">
        <v>0</v>
      </c>
      <c r="Q598" s="49">
        <v>0</v>
      </c>
      <c r="R598" s="49"/>
      <c r="S598" s="49">
        <v>0</v>
      </c>
      <c r="T598" s="42"/>
      <c r="Y598" s="112"/>
    </row>
    <row r="599" spans="1:25">
      <c r="A599" s="49"/>
      <c r="B599" s="105">
        <v>1100214</v>
      </c>
      <c r="C599" s="192" t="s">
        <v>970</v>
      </c>
      <c r="D599" s="192" t="s">
        <v>971</v>
      </c>
      <c r="E599" s="84"/>
      <c r="F599" s="84"/>
      <c r="G599" s="49">
        <v>6</v>
      </c>
      <c r="H599" s="49">
        <v>4</v>
      </c>
      <c r="I599" s="96">
        <v>1</v>
      </c>
      <c r="J599" s="91"/>
      <c r="K599" s="17"/>
      <c r="L599" s="17"/>
      <c r="M599" s="49">
        <v>3</v>
      </c>
      <c r="N599" s="49">
        <v>1</v>
      </c>
      <c r="O599" s="49">
        <v>0</v>
      </c>
      <c r="P599" s="49">
        <v>0</v>
      </c>
      <c r="Q599" s="49">
        <v>0</v>
      </c>
      <c r="R599" s="49"/>
      <c r="S599" s="49">
        <v>0</v>
      </c>
      <c r="T599" s="42"/>
      <c r="Y599" s="112"/>
    </row>
    <row r="600" spans="1:25">
      <c r="A600" s="49"/>
      <c r="B600" s="105">
        <v>1100644</v>
      </c>
      <c r="C600" s="192" t="s">
        <v>972</v>
      </c>
      <c r="D600" s="192" t="s">
        <v>973</v>
      </c>
      <c r="E600" s="84"/>
      <c r="F600" s="84"/>
      <c r="G600" s="49">
        <v>6</v>
      </c>
      <c r="H600" s="49">
        <v>4</v>
      </c>
      <c r="I600" s="96">
        <v>1</v>
      </c>
      <c r="J600" s="91"/>
      <c r="K600" s="17"/>
      <c r="L600" s="17"/>
      <c r="M600" s="49">
        <v>3</v>
      </c>
      <c r="N600" s="49">
        <v>1</v>
      </c>
      <c r="O600" s="49">
        <v>0</v>
      </c>
      <c r="P600" s="49">
        <v>0</v>
      </c>
      <c r="Q600" s="49">
        <v>0</v>
      </c>
      <c r="R600" s="49"/>
      <c r="S600" s="49">
        <v>0</v>
      </c>
      <c r="T600" s="42"/>
      <c r="Y600" s="112"/>
    </row>
    <row r="601" spans="1:25">
      <c r="A601" s="49"/>
      <c r="B601" s="105">
        <v>1200034</v>
      </c>
      <c r="C601" s="200" t="s">
        <v>974</v>
      </c>
      <c r="D601" s="192" t="s">
        <v>975</v>
      </c>
      <c r="E601" s="84"/>
      <c r="F601" s="84"/>
      <c r="G601" s="49">
        <v>6</v>
      </c>
      <c r="H601" s="49">
        <v>4</v>
      </c>
      <c r="I601" s="96">
        <v>2</v>
      </c>
      <c r="J601" s="128"/>
      <c r="K601" s="17"/>
      <c r="L601" s="17"/>
      <c r="M601" s="49">
        <v>3</v>
      </c>
      <c r="N601" s="49">
        <v>1</v>
      </c>
      <c r="O601" s="49">
        <v>0</v>
      </c>
      <c r="P601" s="49">
        <v>0</v>
      </c>
      <c r="Q601" s="49">
        <v>0</v>
      </c>
      <c r="R601" s="49"/>
      <c r="S601" s="49">
        <v>0</v>
      </c>
      <c r="T601" s="42"/>
      <c r="Y601" s="112"/>
    </row>
    <row r="602" spans="1:25">
      <c r="A602" s="49"/>
      <c r="B602" s="105">
        <v>1200104</v>
      </c>
      <c r="C602" s="200" t="s">
        <v>976</v>
      </c>
      <c r="D602" s="192" t="s">
        <v>977</v>
      </c>
      <c r="E602" s="84"/>
      <c r="F602" s="84"/>
      <c r="G602" s="49">
        <v>6</v>
      </c>
      <c r="H602" s="49">
        <v>4</v>
      </c>
      <c r="I602" s="96">
        <v>2</v>
      </c>
      <c r="J602" s="128"/>
      <c r="K602" s="17"/>
      <c r="L602" s="17"/>
      <c r="M602" s="49">
        <v>3</v>
      </c>
      <c r="N602" s="49">
        <v>1</v>
      </c>
      <c r="O602" s="49">
        <v>0</v>
      </c>
      <c r="P602" s="49">
        <v>0</v>
      </c>
      <c r="Q602" s="49">
        <v>0</v>
      </c>
      <c r="R602" s="49"/>
      <c r="S602" s="49">
        <v>0</v>
      </c>
      <c r="T602" s="42"/>
      <c r="Y602" s="112"/>
    </row>
    <row r="603" spans="1:25">
      <c r="A603" s="49"/>
      <c r="B603" s="105">
        <v>1200024</v>
      </c>
      <c r="C603" s="200" t="s">
        <v>978</v>
      </c>
      <c r="D603" s="192" t="s">
        <v>979</v>
      </c>
      <c r="E603" s="84"/>
      <c r="F603" s="84"/>
      <c r="G603" s="49">
        <v>6</v>
      </c>
      <c r="H603" s="49">
        <v>4</v>
      </c>
      <c r="I603" s="96">
        <v>2</v>
      </c>
      <c r="J603" s="128"/>
      <c r="K603" s="17"/>
      <c r="L603" s="17"/>
      <c r="M603" s="49">
        <v>3</v>
      </c>
      <c r="N603" s="49">
        <v>1</v>
      </c>
      <c r="O603" s="49">
        <v>0</v>
      </c>
      <c r="P603" s="49">
        <v>0</v>
      </c>
      <c r="Q603" s="49">
        <v>0</v>
      </c>
      <c r="R603" s="49"/>
      <c r="S603" s="49">
        <v>0</v>
      </c>
      <c r="T603" s="42"/>
      <c r="Y603" s="112"/>
    </row>
    <row r="604" spans="1:25">
      <c r="A604" s="49"/>
      <c r="B604" s="105">
        <v>1100034</v>
      </c>
      <c r="C604" s="200" t="s">
        <v>980</v>
      </c>
      <c r="D604" s="192" t="s">
        <v>981</v>
      </c>
      <c r="E604" s="84"/>
      <c r="F604" s="84"/>
      <c r="G604" s="49">
        <v>6</v>
      </c>
      <c r="H604" s="49">
        <v>4</v>
      </c>
      <c r="I604" s="96">
        <v>1</v>
      </c>
      <c r="J604" s="128"/>
      <c r="K604" s="17"/>
      <c r="L604" s="17"/>
      <c r="M604" s="49">
        <v>3</v>
      </c>
      <c r="N604" s="49">
        <v>1</v>
      </c>
      <c r="O604" s="49">
        <v>0</v>
      </c>
      <c r="P604" s="49">
        <v>0</v>
      </c>
      <c r="Q604" s="49">
        <v>0</v>
      </c>
      <c r="R604" s="49"/>
      <c r="S604" s="49">
        <v>0</v>
      </c>
      <c r="T604" s="42"/>
      <c r="Y604" s="112"/>
    </row>
    <row r="605" spans="1:25">
      <c r="A605" s="49"/>
      <c r="B605" s="105">
        <v>1100104</v>
      </c>
      <c r="C605" s="200" t="s">
        <v>982</v>
      </c>
      <c r="D605" s="192" t="s">
        <v>4075</v>
      </c>
      <c r="E605" s="84"/>
      <c r="F605" s="84"/>
      <c r="G605" s="49">
        <v>6</v>
      </c>
      <c r="H605" s="49">
        <v>4</v>
      </c>
      <c r="I605" s="96">
        <v>1</v>
      </c>
      <c r="J605" s="128"/>
      <c r="K605" s="17"/>
      <c r="L605" s="17"/>
      <c r="M605" s="49">
        <v>3</v>
      </c>
      <c r="N605" s="49">
        <v>1</v>
      </c>
      <c r="O605" s="49">
        <v>0</v>
      </c>
      <c r="P605" s="49">
        <v>0</v>
      </c>
      <c r="Q605" s="49">
        <v>0</v>
      </c>
      <c r="R605" s="49"/>
      <c r="S605" s="49">
        <v>0</v>
      </c>
      <c r="T605" s="42"/>
      <c r="Y605" s="112"/>
    </row>
    <row r="606" spans="1:25">
      <c r="A606" s="49"/>
      <c r="B606" s="105">
        <v>1100024</v>
      </c>
      <c r="C606" s="200" t="s">
        <v>983</v>
      </c>
      <c r="D606" s="192" t="s">
        <v>4076</v>
      </c>
      <c r="E606" s="84"/>
      <c r="F606" s="84"/>
      <c r="G606" s="49">
        <v>6</v>
      </c>
      <c r="H606" s="49">
        <v>4</v>
      </c>
      <c r="I606" s="96">
        <v>1</v>
      </c>
      <c r="J606" s="128"/>
      <c r="K606" s="17"/>
      <c r="L606" s="17"/>
      <c r="M606" s="49">
        <v>3</v>
      </c>
      <c r="N606" s="49">
        <v>1</v>
      </c>
      <c r="O606" s="49">
        <v>0</v>
      </c>
      <c r="P606" s="49">
        <v>0</v>
      </c>
      <c r="Q606" s="49">
        <v>0</v>
      </c>
      <c r="R606" s="49"/>
      <c r="S606" s="49">
        <v>0</v>
      </c>
      <c r="T606" s="42"/>
      <c r="Y606" s="112"/>
    </row>
    <row r="607" spans="1:25">
      <c r="A607" s="49"/>
      <c r="B607" s="105">
        <v>1200634</v>
      </c>
      <c r="C607" s="200" t="s">
        <v>984</v>
      </c>
      <c r="D607" s="192" t="s">
        <v>4144</v>
      </c>
      <c r="E607" s="84"/>
      <c r="F607" s="84"/>
      <c r="G607" s="49">
        <v>6</v>
      </c>
      <c r="H607" s="49">
        <v>4</v>
      </c>
      <c r="I607" s="96">
        <v>2</v>
      </c>
      <c r="J607" s="128"/>
      <c r="K607" s="17"/>
      <c r="L607" s="17"/>
      <c r="M607" s="49">
        <v>3</v>
      </c>
      <c r="N607" s="49">
        <v>1</v>
      </c>
      <c r="O607" s="49">
        <v>0</v>
      </c>
      <c r="P607" s="49">
        <v>0</v>
      </c>
      <c r="Q607" s="49">
        <v>0</v>
      </c>
      <c r="R607" s="49"/>
      <c r="S607" s="49">
        <v>0</v>
      </c>
      <c r="T607" s="42"/>
      <c r="Y607" s="112"/>
    </row>
    <row r="608" spans="1:25">
      <c r="A608" s="49"/>
      <c r="B608" s="105">
        <v>1100044</v>
      </c>
      <c r="C608" s="200" t="s">
        <v>985</v>
      </c>
      <c r="D608" s="192" t="s">
        <v>4077</v>
      </c>
      <c r="E608" s="84"/>
      <c r="F608" s="84"/>
      <c r="G608" s="49">
        <v>6</v>
      </c>
      <c r="H608" s="49">
        <v>4</v>
      </c>
      <c r="I608" s="96">
        <v>1</v>
      </c>
      <c r="J608" s="128"/>
      <c r="K608" s="17"/>
      <c r="L608" s="17"/>
      <c r="M608" s="49">
        <v>3</v>
      </c>
      <c r="N608" s="49">
        <v>1</v>
      </c>
      <c r="O608" s="49">
        <v>0</v>
      </c>
      <c r="P608" s="49">
        <v>0</v>
      </c>
      <c r="Q608" s="49">
        <v>0</v>
      </c>
      <c r="R608" s="49"/>
      <c r="S608" s="49">
        <v>0</v>
      </c>
      <c r="T608" s="42"/>
      <c r="Y608" s="112"/>
    </row>
    <row r="609" spans="1:25">
      <c r="A609" s="49"/>
      <c r="B609" s="105">
        <v>1100634</v>
      </c>
      <c r="C609" s="200" t="s">
        <v>986</v>
      </c>
      <c r="D609" s="192" t="s">
        <v>4145</v>
      </c>
      <c r="E609" s="84"/>
      <c r="F609" s="84"/>
      <c r="G609" s="49">
        <v>6</v>
      </c>
      <c r="H609" s="49">
        <v>4</v>
      </c>
      <c r="I609" s="96">
        <v>1</v>
      </c>
      <c r="J609" s="128"/>
      <c r="K609" s="17"/>
      <c r="L609" s="17"/>
      <c r="M609" s="49">
        <v>3</v>
      </c>
      <c r="N609" s="49">
        <v>1</v>
      </c>
      <c r="O609" s="49">
        <v>0</v>
      </c>
      <c r="P609" s="49">
        <v>0</v>
      </c>
      <c r="Q609" s="49">
        <v>0</v>
      </c>
      <c r="R609" s="49"/>
      <c r="S609" s="49">
        <v>0</v>
      </c>
      <c r="T609" s="42"/>
      <c r="Y609" s="112"/>
    </row>
    <row r="610" spans="1:25">
      <c r="A610" s="49"/>
      <c r="B610" s="105">
        <v>1100054</v>
      </c>
      <c r="C610" s="200" t="s">
        <v>987</v>
      </c>
      <c r="D610" s="192" t="s">
        <v>4078</v>
      </c>
      <c r="E610" s="84"/>
      <c r="F610" s="84"/>
      <c r="G610" s="49">
        <v>6</v>
      </c>
      <c r="H610" s="49">
        <v>4</v>
      </c>
      <c r="I610" s="96">
        <v>1</v>
      </c>
      <c r="J610" s="128"/>
      <c r="K610" s="17"/>
      <c r="L610" s="17"/>
      <c r="M610" s="49">
        <v>3</v>
      </c>
      <c r="N610" s="49">
        <v>1</v>
      </c>
      <c r="O610" s="49">
        <v>0</v>
      </c>
      <c r="P610" s="49">
        <v>0</v>
      </c>
      <c r="Q610" s="49">
        <v>0</v>
      </c>
      <c r="R610" s="49"/>
      <c r="S610" s="49">
        <v>0</v>
      </c>
      <c r="T610" s="42"/>
      <c r="Y610" s="112"/>
    </row>
    <row r="611" spans="1:25">
      <c r="A611" s="49"/>
      <c r="B611" s="105">
        <v>1200044</v>
      </c>
      <c r="C611" s="200" t="s">
        <v>988</v>
      </c>
      <c r="D611" s="192" t="s">
        <v>4079</v>
      </c>
      <c r="E611" s="84"/>
      <c r="F611" s="84"/>
      <c r="G611" s="49">
        <v>6</v>
      </c>
      <c r="H611" s="49">
        <v>4</v>
      </c>
      <c r="I611" s="96">
        <v>2</v>
      </c>
      <c r="J611" s="128"/>
      <c r="K611" s="17"/>
      <c r="L611" s="17"/>
      <c r="M611" s="49">
        <v>3</v>
      </c>
      <c r="N611" s="49">
        <v>1</v>
      </c>
      <c r="O611" s="49">
        <v>0</v>
      </c>
      <c r="P611" s="49">
        <v>0</v>
      </c>
      <c r="Q611" s="49">
        <v>0</v>
      </c>
      <c r="R611" s="49"/>
      <c r="S611" s="49">
        <v>0</v>
      </c>
      <c r="T611" s="42"/>
      <c r="Y611" s="112"/>
    </row>
    <row r="612" spans="1:25">
      <c r="A612" s="49"/>
      <c r="B612" s="105">
        <v>1200054</v>
      </c>
      <c r="C612" s="200" t="s">
        <v>989</v>
      </c>
      <c r="D612" s="192" t="s">
        <v>4080</v>
      </c>
      <c r="E612" s="84"/>
      <c r="F612" s="84"/>
      <c r="G612" s="49">
        <v>6</v>
      </c>
      <c r="H612" s="49">
        <v>4</v>
      </c>
      <c r="I612" s="96">
        <v>2</v>
      </c>
      <c r="J612" s="128"/>
      <c r="K612" s="17"/>
      <c r="L612" s="17"/>
      <c r="M612" s="49">
        <v>3</v>
      </c>
      <c r="N612" s="49">
        <v>1</v>
      </c>
      <c r="O612" s="49">
        <v>0</v>
      </c>
      <c r="P612" s="49">
        <v>0</v>
      </c>
      <c r="Q612" s="49">
        <v>0</v>
      </c>
      <c r="R612" s="49"/>
      <c r="S612" s="49">
        <v>0</v>
      </c>
      <c r="T612" s="42"/>
      <c r="Y612" s="112"/>
    </row>
    <row r="613" spans="1:25">
      <c r="A613" s="49"/>
      <c r="B613" s="105">
        <v>1200804</v>
      </c>
      <c r="C613" s="200" t="s">
        <v>990</v>
      </c>
      <c r="D613" s="192" t="s">
        <v>4081</v>
      </c>
      <c r="E613" s="84"/>
      <c r="F613" s="84"/>
      <c r="G613" s="49">
        <v>6</v>
      </c>
      <c r="H613" s="49">
        <v>4</v>
      </c>
      <c r="I613" s="96">
        <v>2</v>
      </c>
      <c r="J613" s="128"/>
      <c r="K613" s="17"/>
      <c r="L613" s="17"/>
      <c r="M613" s="49">
        <v>3</v>
      </c>
      <c r="N613" s="49">
        <v>1</v>
      </c>
      <c r="O613" s="49">
        <v>0</v>
      </c>
      <c r="P613" s="49">
        <v>0</v>
      </c>
      <c r="Q613" s="49">
        <v>0</v>
      </c>
      <c r="R613" s="49"/>
      <c r="S613" s="49">
        <v>0</v>
      </c>
      <c r="T613" s="42"/>
      <c r="Y613" s="112"/>
    </row>
    <row r="614" spans="1:25">
      <c r="A614" s="49"/>
      <c r="B614" s="105">
        <v>1200014</v>
      </c>
      <c r="C614" s="200" t="s">
        <v>991</v>
      </c>
      <c r="D614" s="192" t="s">
        <v>4082</v>
      </c>
      <c r="E614" s="84"/>
      <c r="F614" s="84"/>
      <c r="G614" s="49">
        <v>6</v>
      </c>
      <c r="H614" s="49">
        <v>4</v>
      </c>
      <c r="I614" s="96">
        <v>2</v>
      </c>
      <c r="J614" s="128"/>
      <c r="K614" s="17"/>
      <c r="L614" s="17"/>
      <c r="M614" s="49">
        <v>3</v>
      </c>
      <c r="N614" s="49">
        <v>1</v>
      </c>
      <c r="O614" s="49">
        <v>0</v>
      </c>
      <c r="P614" s="49">
        <v>0</v>
      </c>
      <c r="Q614" s="49">
        <v>0</v>
      </c>
      <c r="R614" s="49"/>
      <c r="S614" s="49">
        <v>0</v>
      </c>
      <c r="T614" s="42"/>
      <c r="Y614" s="112"/>
    </row>
    <row r="615" spans="1:25">
      <c r="A615" s="49"/>
      <c r="B615" s="105">
        <v>1100804</v>
      </c>
      <c r="C615" s="200" t="s">
        <v>990</v>
      </c>
      <c r="D615" s="192" t="s">
        <v>4083</v>
      </c>
      <c r="E615" s="84"/>
      <c r="F615" s="84"/>
      <c r="G615" s="49">
        <v>6</v>
      </c>
      <c r="H615" s="49">
        <v>4</v>
      </c>
      <c r="I615" s="96">
        <v>1</v>
      </c>
      <c r="J615" s="128"/>
      <c r="K615" s="17"/>
      <c r="L615" s="17"/>
      <c r="M615" s="49">
        <v>3</v>
      </c>
      <c r="N615" s="49">
        <v>1</v>
      </c>
      <c r="O615" s="49">
        <v>0</v>
      </c>
      <c r="P615" s="49">
        <v>0</v>
      </c>
      <c r="Q615" s="49">
        <v>0</v>
      </c>
      <c r="R615" s="49"/>
      <c r="S615" s="49">
        <v>0</v>
      </c>
      <c r="T615" s="42"/>
      <c r="Y615" s="112"/>
    </row>
    <row r="616" spans="1:25">
      <c r="A616" s="49"/>
      <c r="B616" s="105">
        <v>1100014</v>
      </c>
      <c r="C616" s="200" t="s">
        <v>991</v>
      </c>
      <c r="D616" s="192" t="s">
        <v>4084</v>
      </c>
      <c r="E616" s="84"/>
      <c r="F616" s="84"/>
      <c r="G616" s="49">
        <v>6</v>
      </c>
      <c r="H616" s="49">
        <v>4</v>
      </c>
      <c r="I616" s="96">
        <v>1</v>
      </c>
      <c r="J616" s="128"/>
      <c r="K616" s="17"/>
      <c r="L616" s="17"/>
      <c r="M616" s="49">
        <v>3</v>
      </c>
      <c r="N616" s="49">
        <v>1</v>
      </c>
      <c r="O616" s="49">
        <v>0</v>
      </c>
      <c r="P616" s="49">
        <v>0</v>
      </c>
      <c r="Q616" s="49">
        <v>0</v>
      </c>
      <c r="R616" s="49"/>
      <c r="S616" s="49">
        <v>0</v>
      </c>
      <c r="T616" s="42"/>
      <c r="Y616" s="112"/>
    </row>
    <row r="617" spans="1:25">
      <c r="A617" s="49"/>
      <c r="B617" s="105">
        <v>1200174</v>
      </c>
      <c r="C617" s="200" t="s">
        <v>992</v>
      </c>
      <c r="D617" s="192" t="s">
        <v>4085</v>
      </c>
      <c r="E617" s="84"/>
      <c r="F617" s="84"/>
      <c r="G617" s="49">
        <v>6</v>
      </c>
      <c r="H617" s="49">
        <v>4</v>
      </c>
      <c r="I617" s="96">
        <v>2</v>
      </c>
      <c r="J617" s="128"/>
      <c r="K617" s="17"/>
      <c r="L617" s="17"/>
      <c r="M617" s="49">
        <v>3</v>
      </c>
      <c r="N617" s="49">
        <v>1</v>
      </c>
      <c r="O617" s="49">
        <v>0</v>
      </c>
      <c r="P617" s="49">
        <v>0</v>
      </c>
      <c r="Q617" s="49">
        <v>0</v>
      </c>
      <c r="R617" s="49"/>
      <c r="S617" s="49">
        <v>0</v>
      </c>
      <c r="T617" s="42"/>
      <c r="Y617" s="112"/>
    </row>
    <row r="618" spans="1:25">
      <c r="A618" s="49"/>
      <c r="B618" s="105">
        <v>1100174</v>
      </c>
      <c r="C618" s="200" t="s">
        <v>992</v>
      </c>
      <c r="D618" s="192" t="s">
        <v>993</v>
      </c>
      <c r="E618" s="84"/>
      <c r="F618" s="84"/>
      <c r="G618" s="49">
        <v>6</v>
      </c>
      <c r="H618" s="49">
        <v>4</v>
      </c>
      <c r="I618" s="96">
        <v>1</v>
      </c>
      <c r="J618" s="128"/>
      <c r="K618" s="17"/>
      <c r="L618" s="17"/>
      <c r="M618" s="49">
        <v>3</v>
      </c>
      <c r="N618" s="49">
        <v>1</v>
      </c>
      <c r="O618" s="49">
        <v>0</v>
      </c>
      <c r="P618" s="49">
        <v>0</v>
      </c>
      <c r="Q618" s="49">
        <v>0</v>
      </c>
      <c r="R618" s="49"/>
      <c r="S618" s="49">
        <v>0</v>
      </c>
      <c r="T618" s="42"/>
      <c r="Y618" s="112"/>
    </row>
    <row r="619" spans="1:25">
      <c r="A619" s="49"/>
      <c r="B619" s="105">
        <v>1100314</v>
      </c>
      <c r="C619" s="209" t="s">
        <v>994</v>
      </c>
      <c r="D619" s="201" t="s">
        <v>4041</v>
      </c>
      <c r="E619" s="84"/>
      <c r="F619" s="84"/>
      <c r="G619" s="49">
        <v>6</v>
      </c>
      <c r="H619" s="49">
        <v>4</v>
      </c>
      <c r="I619" s="96">
        <v>1</v>
      </c>
      <c r="J619" s="128"/>
      <c r="K619" s="17"/>
      <c r="L619" s="17"/>
      <c r="M619" s="49">
        <v>3</v>
      </c>
      <c r="N619" s="49">
        <v>1</v>
      </c>
      <c r="O619" s="49">
        <v>0</v>
      </c>
      <c r="P619" s="49">
        <v>0</v>
      </c>
      <c r="Q619" s="49">
        <v>0</v>
      </c>
      <c r="S619" s="49">
        <v>0</v>
      </c>
      <c r="T619" s="42"/>
      <c r="Y619" s="112"/>
    </row>
    <row r="620" spans="1:25">
      <c r="A620" s="49"/>
      <c r="B620" s="105">
        <v>1100364</v>
      </c>
      <c r="C620" s="203" t="s">
        <v>995</v>
      </c>
      <c r="D620" s="192"/>
      <c r="E620" s="84"/>
      <c r="F620" s="84"/>
      <c r="G620" s="49">
        <v>6</v>
      </c>
      <c r="H620" s="49">
        <v>4</v>
      </c>
      <c r="I620" s="91">
        <v>1</v>
      </c>
      <c r="J620" s="128"/>
      <c r="K620" s="17"/>
      <c r="L620" s="17"/>
      <c r="M620" s="49">
        <v>3</v>
      </c>
      <c r="N620" s="49">
        <v>1</v>
      </c>
      <c r="O620" s="49">
        <v>0</v>
      </c>
      <c r="P620" s="49">
        <v>0</v>
      </c>
      <c r="Q620" s="49">
        <v>0</v>
      </c>
      <c r="R620" s="49"/>
      <c r="S620" s="49">
        <v>0</v>
      </c>
      <c r="T620" s="42"/>
      <c r="Y620" s="112"/>
    </row>
    <row r="621" spans="1:25">
      <c r="A621" s="49"/>
      <c r="B621" s="105">
        <v>1100444</v>
      </c>
      <c r="C621" s="203" t="s">
        <v>4137</v>
      </c>
      <c r="D621" s="192"/>
      <c r="E621" s="84"/>
      <c r="F621" s="84"/>
      <c r="G621" s="49">
        <v>6</v>
      </c>
      <c r="H621" s="49">
        <v>4</v>
      </c>
      <c r="I621" s="91">
        <v>1</v>
      </c>
      <c r="J621" s="128"/>
      <c r="K621" s="17"/>
      <c r="L621" s="17"/>
      <c r="M621" s="49">
        <v>3</v>
      </c>
      <c r="N621" s="49">
        <v>1</v>
      </c>
      <c r="O621" s="49">
        <v>0</v>
      </c>
      <c r="P621" s="49">
        <v>0</v>
      </c>
      <c r="Q621" s="49">
        <v>0</v>
      </c>
      <c r="R621" s="49"/>
      <c r="S621" s="49">
        <v>0</v>
      </c>
      <c r="T621" s="42"/>
      <c r="Y621" s="112"/>
    </row>
    <row r="622" spans="1:25">
      <c r="A622" s="49"/>
      <c r="B622" s="105">
        <v>1100524</v>
      </c>
      <c r="C622" s="203" t="s">
        <v>996</v>
      </c>
      <c r="D622" s="192"/>
      <c r="E622" s="84"/>
      <c r="F622" s="84"/>
      <c r="G622" s="49">
        <v>6</v>
      </c>
      <c r="H622" s="49">
        <v>4</v>
      </c>
      <c r="I622" s="91">
        <v>1</v>
      </c>
      <c r="J622" s="128"/>
      <c r="K622" s="17"/>
      <c r="L622" s="17"/>
      <c r="M622" s="49">
        <v>3</v>
      </c>
      <c r="N622" s="49">
        <v>1</v>
      </c>
      <c r="O622" s="49">
        <v>0</v>
      </c>
      <c r="P622" s="49">
        <v>0</v>
      </c>
      <c r="Q622" s="49">
        <v>0</v>
      </c>
      <c r="R622" s="49"/>
      <c r="S622" s="49">
        <v>0</v>
      </c>
      <c r="T622" s="42"/>
      <c r="Y622" s="112"/>
    </row>
    <row r="623" spans="1:25" s="41" customFormat="1">
      <c r="A623" s="117"/>
      <c r="B623" s="216">
        <v>1100754</v>
      </c>
      <c r="C623" s="204" t="s">
        <v>997</v>
      </c>
      <c r="D623" s="200" t="s">
        <v>4146</v>
      </c>
      <c r="E623" s="138"/>
      <c r="F623" s="138"/>
      <c r="G623" s="55">
        <v>6</v>
      </c>
      <c r="H623" s="55">
        <v>4</v>
      </c>
      <c r="I623" s="139">
        <v>1</v>
      </c>
      <c r="J623" s="140"/>
      <c r="K623" s="65"/>
      <c r="L623" s="65"/>
      <c r="M623" s="55">
        <v>3</v>
      </c>
      <c r="N623" s="55">
        <v>1</v>
      </c>
      <c r="O623" s="55">
        <v>0</v>
      </c>
      <c r="P623" s="55">
        <v>0</v>
      </c>
      <c r="Q623" s="55">
        <v>0</v>
      </c>
      <c r="R623" s="55"/>
      <c r="S623" s="55">
        <v>0</v>
      </c>
      <c r="T623" s="43"/>
      <c r="Y623" s="112"/>
    </row>
    <row r="624" spans="1:25">
      <c r="A624" s="49"/>
      <c r="B624" s="105">
        <v>1200404</v>
      </c>
      <c r="C624" s="203" t="s">
        <v>998</v>
      </c>
      <c r="D624" s="192"/>
      <c r="E624" s="84"/>
      <c r="F624" s="84"/>
      <c r="G624" s="49">
        <v>6</v>
      </c>
      <c r="H624" s="49">
        <v>4</v>
      </c>
      <c r="I624" s="91">
        <v>2</v>
      </c>
      <c r="J624" s="128"/>
      <c r="K624" s="17"/>
      <c r="L624" s="17"/>
      <c r="M624" s="49">
        <v>3</v>
      </c>
      <c r="N624" s="49">
        <v>1</v>
      </c>
      <c r="O624" s="49">
        <v>0</v>
      </c>
      <c r="P624" s="49">
        <v>0</v>
      </c>
      <c r="Q624" s="49">
        <v>0</v>
      </c>
      <c r="R624" s="49"/>
      <c r="S624" s="49">
        <v>0</v>
      </c>
      <c r="T624" s="42"/>
      <c r="Y624" s="112"/>
    </row>
    <row r="625" spans="1:25">
      <c r="A625" s="49"/>
      <c r="B625" s="105">
        <v>1200484</v>
      </c>
      <c r="C625" s="203" t="s">
        <v>999</v>
      </c>
      <c r="D625" s="192"/>
      <c r="E625" s="84"/>
      <c r="F625" s="84"/>
      <c r="G625" s="49">
        <v>6</v>
      </c>
      <c r="H625" s="49">
        <v>4</v>
      </c>
      <c r="I625" s="91">
        <v>2</v>
      </c>
      <c r="J625" s="128"/>
      <c r="K625" s="17"/>
      <c r="L625" s="17"/>
      <c r="M625" s="49">
        <v>3</v>
      </c>
      <c r="N625" s="49">
        <v>1</v>
      </c>
      <c r="O625" s="49">
        <v>0</v>
      </c>
      <c r="P625" s="49">
        <v>0</v>
      </c>
      <c r="Q625" s="49">
        <v>0</v>
      </c>
      <c r="R625" s="49"/>
      <c r="S625" s="49">
        <v>0</v>
      </c>
      <c r="T625" s="42"/>
      <c r="Y625" s="112"/>
    </row>
    <row r="626" spans="1:25" s="41" customFormat="1">
      <c r="A626" s="117" t="s">
        <v>48</v>
      </c>
      <c r="B626" s="112">
        <v>1200554</v>
      </c>
      <c r="C626" s="203" t="s">
        <v>1000</v>
      </c>
      <c r="D626" s="200"/>
      <c r="E626" s="138"/>
      <c r="F626" s="138"/>
      <c r="G626" s="55">
        <v>6</v>
      </c>
      <c r="H626" s="55">
        <v>4</v>
      </c>
      <c r="I626" s="139">
        <v>2</v>
      </c>
      <c r="J626" s="140"/>
      <c r="K626" s="65"/>
      <c r="L626" s="65"/>
      <c r="M626" s="55">
        <v>3</v>
      </c>
      <c r="N626" s="55">
        <v>1</v>
      </c>
      <c r="O626" s="55">
        <v>0</v>
      </c>
      <c r="P626" s="55">
        <v>0</v>
      </c>
      <c r="Q626" s="55">
        <v>0</v>
      </c>
      <c r="R626" s="55"/>
      <c r="S626" s="55">
        <v>0</v>
      </c>
      <c r="T626" s="43"/>
      <c r="Y626" s="112"/>
    </row>
    <row r="627" spans="1:25" s="41" customFormat="1">
      <c r="A627" s="117" t="s">
        <v>48</v>
      </c>
      <c r="B627" s="112">
        <v>1200564</v>
      </c>
      <c r="C627" s="203" t="s">
        <v>1001</v>
      </c>
      <c r="D627" s="200"/>
      <c r="E627" s="138"/>
      <c r="F627" s="138"/>
      <c r="G627" s="55">
        <v>6</v>
      </c>
      <c r="H627" s="55">
        <v>4</v>
      </c>
      <c r="I627" s="139">
        <v>2</v>
      </c>
      <c r="J627" s="140"/>
      <c r="K627" s="65"/>
      <c r="L627" s="65"/>
      <c r="M627" s="55">
        <v>3</v>
      </c>
      <c r="N627" s="55">
        <v>1</v>
      </c>
      <c r="O627" s="55">
        <v>0</v>
      </c>
      <c r="P627" s="55">
        <v>0</v>
      </c>
      <c r="Q627" s="55">
        <v>0</v>
      </c>
      <c r="R627" s="55"/>
      <c r="S627" s="55">
        <v>0</v>
      </c>
      <c r="T627" s="43"/>
      <c r="Y627" s="112"/>
    </row>
    <row r="628" spans="1:25" s="41" customFormat="1">
      <c r="A628" s="117" t="s">
        <v>48</v>
      </c>
      <c r="B628" s="112">
        <v>1200574</v>
      </c>
      <c r="C628" s="203" t="s">
        <v>1002</v>
      </c>
      <c r="D628" s="200"/>
      <c r="E628" s="138"/>
      <c r="F628" s="138"/>
      <c r="G628" s="55">
        <v>6</v>
      </c>
      <c r="H628" s="55">
        <v>4</v>
      </c>
      <c r="I628" s="139">
        <v>2</v>
      </c>
      <c r="J628" s="140"/>
      <c r="K628" s="65"/>
      <c r="L628" s="65"/>
      <c r="M628" s="55">
        <v>3</v>
      </c>
      <c r="N628" s="55">
        <v>1</v>
      </c>
      <c r="O628" s="55">
        <v>0</v>
      </c>
      <c r="P628" s="55">
        <v>0</v>
      </c>
      <c r="Q628" s="55">
        <v>0</v>
      </c>
      <c r="R628" s="55"/>
      <c r="S628" s="55">
        <v>0</v>
      </c>
      <c r="T628" s="43"/>
      <c r="Y628" s="112"/>
    </row>
    <row r="629" spans="1:25" s="41" customFormat="1">
      <c r="A629" s="117" t="s">
        <v>48</v>
      </c>
      <c r="B629" s="112">
        <v>1200584</v>
      </c>
      <c r="C629" s="203" t="s">
        <v>1003</v>
      </c>
      <c r="D629" s="200"/>
      <c r="E629" s="138"/>
      <c r="F629" s="138"/>
      <c r="G629" s="55">
        <v>6</v>
      </c>
      <c r="H629" s="55">
        <v>4</v>
      </c>
      <c r="I629" s="139">
        <v>2</v>
      </c>
      <c r="J629" s="140"/>
      <c r="K629" s="65"/>
      <c r="L629" s="65"/>
      <c r="M629" s="55">
        <v>3</v>
      </c>
      <c r="N629" s="55">
        <v>1</v>
      </c>
      <c r="O629" s="55">
        <v>0</v>
      </c>
      <c r="P629" s="55">
        <v>0</v>
      </c>
      <c r="Q629" s="55">
        <v>0</v>
      </c>
      <c r="R629" s="55"/>
      <c r="S629" s="55">
        <v>0</v>
      </c>
      <c r="T629" s="43"/>
      <c r="Y629" s="112"/>
    </row>
    <row r="630" spans="1:25" s="41" customFormat="1">
      <c r="A630" s="117"/>
      <c r="B630" s="216">
        <v>1200714</v>
      </c>
      <c r="C630" s="204" t="s">
        <v>1004</v>
      </c>
      <c r="D630" s="208" t="s">
        <v>4107</v>
      </c>
      <c r="E630" s="138"/>
      <c r="F630" s="138"/>
      <c r="G630" s="55">
        <v>6</v>
      </c>
      <c r="H630" s="55">
        <v>4</v>
      </c>
      <c r="I630" s="139">
        <v>2</v>
      </c>
      <c r="J630" s="140"/>
      <c r="K630" s="65"/>
      <c r="L630" s="65"/>
      <c r="M630" s="55">
        <v>3</v>
      </c>
      <c r="N630" s="55">
        <v>1</v>
      </c>
      <c r="O630" s="55">
        <v>0</v>
      </c>
      <c r="P630" s="55">
        <v>0</v>
      </c>
      <c r="Q630" s="55">
        <v>0</v>
      </c>
      <c r="R630" s="55"/>
      <c r="S630" s="55">
        <v>0</v>
      </c>
      <c r="T630" s="43"/>
      <c r="Y630" s="112"/>
    </row>
    <row r="631" spans="1:25" s="41" customFormat="1">
      <c r="A631" s="117"/>
      <c r="B631" s="216">
        <v>1200754</v>
      </c>
      <c r="C631" s="204" t="s">
        <v>1005</v>
      </c>
      <c r="D631" s="208" t="s">
        <v>4124</v>
      </c>
      <c r="E631" s="138"/>
      <c r="F631" s="138"/>
      <c r="G631" s="55">
        <v>6</v>
      </c>
      <c r="H631" s="55">
        <v>4</v>
      </c>
      <c r="I631" s="139">
        <v>2</v>
      </c>
      <c r="J631" s="140"/>
      <c r="K631" s="65"/>
      <c r="L631" s="65"/>
      <c r="M631" s="55">
        <v>3</v>
      </c>
      <c r="N631" s="55">
        <v>1</v>
      </c>
      <c r="O631" s="55">
        <v>0</v>
      </c>
      <c r="P631" s="55">
        <v>0</v>
      </c>
      <c r="Q631" s="55">
        <v>0</v>
      </c>
      <c r="R631" s="55"/>
      <c r="S631" s="55">
        <v>0</v>
      </c>
      <c r="T631" s="43"/>
      <c r="Y631" s="112"/>
    </row>
    <row r="632" spans="1:25">
      <c r="A632" s="49"/>
      <c r="B632" s="105">
        <v>1100454</v>
      </c>
      <c r="C632" s="203" t="s">
        <v>1006</v>
      </c>
      <c r="D632" s="192"/>
      <c r="E632" s="84"/>
      <c r="F632" s="84"/>
      <c r="G632" s="49">
        <v>6</v>
      </c>
      <c r="H632" s="49">
        <v>4</v>
      </c>
      <c r="I632" s="91">
        <v>1</v>
      </c>
      <c r="J632" s="128"/>
      <c r="K632" s="17"/>
      <c r="L632" s="17"/>
      <c r="M632" s="49">
        <v>3</v>
      </c>
      <c r="N632" s="49">
        <v>1</v>
      </c>
      <c r="O632" s="49">
        <v>0</v>
      </c>
      <c r="P632" s="49">
        <v>0</v>
      </c>
      <c r="Q632" s="49">
        <v>0</v>
      </c>
      <c r="R632" s="49"/>
      <c r="S632" s="49">
        <v>0</v>
      </c>
      <c r="T632" s="42"/>
      <c r="Y632" s="112"/>
    </row>
    <row r="633" spans="1:25">
      <c r="A633" s="49"/>
      <c r="B633" s="121">
        <v>1100294</v>
      </c>
      <c r="C633" s="205" t="s">
        <v>1007</v>
      </c>
      <c r="D633" s="192"/>
      <c r="E633" s="84"/>
      <c r="F633" s="84"/>
      <c r="G633" s="49">
        <v>6</v>
      </c>
      <c r="H633" s="49">
        <v>4</v>
      </c>
      <c r="I633" s="91">
        <v>1</v>
      </c>
      <c r="J633" s="128"/>
      <c r="K633" s="17"/>
      <c r="L633" s="17"/>
      <c r="M633" s="49">
        <v>3</v>
      </c>
      <c r="N633" s="49">
        <v>1</v>
      </c>
      <c r="O633" s="49">
        <v>0</v>
      </c>
      <c r="P633" s="49">
        <v>0</v>
      </c>
      <c r="Q633" s="49">
        <v>0</v>
      </c>
      <c r="R633" s="49"/>
      <c r="S633" s="49">
        <v>0</v>
      </c>
      <c r="T633" s="42"/>
      <c r="Y633" s="112"/>
    </row>
    <row r="634" spans="1:25">
      <c r="A634" s="49"/>
      <c r="B634" s="121">
        <v>1100344</v>
      </c>
      <c r="C634" s="205" t="s">
        <v>1008</v>
      </c>
      <c r="D634" s="192"/>
      <c r="E634" s="84"/>
      <c r="F634" s="84"/>
      <c r="G634" s="49">
        <v>6</v>
      </c>
      <c r="H634" s="49">
        <v>4</v>
      </c>
      <c r="I634" s="91">
        <v>1</v>
      </c>
      <c r="J634" s="128"/>
      <c r="K634" s="17"/>
      <c r="L634" s="17"/>
      <c r="M634" s="49">
        <v>3</v>
      </c>
      <c r="N634" s="49">
        <v>1</v>
      </c>
      <c r="O634" s="49">
        <v>0</v>
      </c>
      <c r="P634" s="49">
        <v>0</v>
      </c>
      <c r="Q634" s="49">
        <v>0</v>
      </c>
      <c r="R634" s="49"/>
      <c r="S634" s="49">
        <v>0</v>
      </c>
      <c r="T634" s="42"/>
      <c r="Y634" s="112"/>
    </row>
    <row r="635" spans="1:25">
      <c r="A635" s="49"/>
      <c r="B635" s="121">
        <v>1200284</v>
      </c>
      <c r="C635" s="205" t="s">
        <v>1009</v>
      </c>
      <c r="D635" s="192"/>
      <c r="E635" s="84"/>
      <c r="F635" s="84"/>
      <c r="G635" s="49">
        <v>6</v>
      </c>
      <c r="H635" s="49">
        <v>4</v>
      </c>
      <c r="I635" s="91">
        <v>2</v>
      </c>
      <c r="J635" s="128"/>
      <c r="K635" s="17"/>
      <c r="L635" s="17"/>
      <c r="M635" s="49">
        <v>3</v>
      </c>
      <c r="N635" s="49">
        <v>1</v>
      </c>
      <c r="O635" s="49">
        <v>0</v>
      </c>
      <c r="P635" s="49">
        <v>0</v>
      </c>
      <c r="Q635" s="49">
        <v>0</v>
      </c>
      <c r="R635" s="49"/>
      <c r="S635" s="49">
        <v>0</v>
      </c>
      <c r="T635" s="42"/>
      <c r="Y635" s="112"/>
    </row>
    <row r="636" spans="1:25">
      <c r="A636" s="49"/>
      <c r="B636" s="121">
        <v>1100554</v>
      </c>
      <c r="C636" s="205" t="s">
        <v>1010</v>
      </c>
      <c r="D636" s="192"/>
      <c r="E636" s="84"/>
      <c r="F636" s="84"/>
      <c r="G636" s="49">
        <v>6</v>
      </c>
      <c r="H636" s="49">
        <v>4</v>
      </c>
      <c r="I636" s="91">
        <v>1</v>
      </c>
      <c r="J636" s="128"/>
      <c r="K636" s="17"/>
      <c r="L636" s="17"/>
      <c r="M636" s="49">
        <v>3</v>
      </c>
      <c r="N636" s="49">
        <v>1</v>
      </c>
      <c r="O636" s="49">
        <v>0</v>
      </c>
      <c r="P636" s="49">
        <v>0</v>
      </c>
      <c r="Q636" s="49">
        <v>0</v>
      </c>
      <c r="R636" s="49"/>
      <c r="S636" s="49">
        <v>0</v>
      </c>
      <c r="T636" s="42"/>
      <c r="Y636" s="112"/>
    </row>
    <row r="637" spans="1:25">
      <c r="A637" s="49"/>
      <c r="B637" s="121">
        <v>1100544</v>
      </c>
      <c r="C637" s="205" t="s">
        <v>1011</v>
      </c>
      <c r="D637" s="192"/>
      <c r="E637" s="84"/>
      <c r="F637" s="84"/>
      <c r="G637" s="49">
        <v>6</v>
      </c>
      <c r="H637" s="49">
        <v>4</v>
      </c>
      <c r="I637" s="91">
        <v>1</v>
      </c>
      <c r="J637" s="128"/>
      <c r="K637" s="17"/>
      <c r="L637" s="17"/>
      <c r="M637" s="49">
        <v>3</v>
      </c>
      <c r="N637" s="49">
        <v>1</v>
      </c>
      <c r="O637" s="49">
        <v>0</v>
      </c>
      <c r="P637" s="49">
        <v>0</v>
      </c>
      <c r="Q637" s="49">
        <v>0</v>
      </c>
      <c r="R637" s="49"/>
      <c r="S637" s="49">
        <v>0</v>
      </c>
      <c r="T637" s="42"/>
      <c r="Y637" s="112"/>
    </row>
    <row r="638" spans="1:25">
      <c r="A638" s="49"/>
      <c r="B638" s="121">
        <v>1100424</v>
      </c>
      <c r="C638" s="205" t="s">
        <v>1012</v>
      </c>
      <c r="D638" s="192"/>
      <c r="E638" s="84"/>
      <c r="F638" s="84"/>
      <c r="G638" s="49">
        <v>6</v>
      </c>
      <c r="H638" s="49">
        <v>4</v>
      </c>
      <c r="I638" s="91">
        <v>1</v>
      </c>
      <c r="J638" s="128"/>
      <c r="K638" s="17"/>
      <c r="L638" s="17"/>
      <c r="M638" s="49">
        <v>3</v>
      </c>
      <c r="N638" s="49">
        <v>1</v>
      </c>
      <c r="O638" s="49">
        <v>0</v>
      </c>
      <c r="P638" s="49">
        <v>0</v>
      </c>
      <c r="Q638" s="49">
        <v>0</v>
      </c>
      <c r="R638" s="49"/>
      <c r="S638" s="49">
        <v>0</v>
      </c>
      <c r="T638" s="42"/>
      <c r="Y638" s="112"/>
    </row>
    <row r="639" spans="1:25">
      <c r="A639" s="49"/>
      <c r="B639" s="121">
        <v>1100434</v>
      </c>
      <c r="C639" s="205" t="s">
        <v>1013</v>
      </c>
      <c r="D639" s="192"/>
      <c r="E639" s="84"/>
      <c r="F639" s="84"/>
      <c r="G639" s="49">
        <v>6</v>
      </c>
      <c r="H639" s="49">
        <v>4</v>
      </c>
      <c r="I639" s="91">
        <v>1</v>
      </c>
      <c r="J639" s="128"/>
      <c r="K639" s="17"/>
      <c r="L639" s="17"/>
      <c r="M639" s="49">
        <v>3</v>
      </c>
      <c r="N639" s="49">
        <v>1</v>
      </c>
      <c r="O639" s="49">
        <v>0</v>
      </c>
      <c r="P639" s="49">
        <v>0</v>
      </c>
      <c r="Q639" s="49">
        <v>0</v>
      </c>
      <c r="R639" s="49"/>
      <c r="S639" s="49">
        <v>0</v>
      </c>
      <c r="T639" s="42"/>
      <c r="Y639" s="112"/>
    </row>
    <row r="640" spans="1:25">
      <c r="A640" s="49"/>
      <c r="B640" s="121">
        <v>1200304</v>
      </c>
      <c r="C640" s="205" t="s">
        <v>1014</v>
      </c>
      <c r="D640" s="192"/>
      <c r="E640" s="84"/>
      <c r="F640" s="84"/>
      <c r="G640" s="49">
        <v>6</v>
      </c>
      <c r="H640" s="49">
        <v>4</v>
      </c>
      <c r="I640" s="91">
        <v>2</v>
      </c>
      <c r="J640" s="128"/>
      <c r="K640" s="17"/>
      <c r="L640" s="17"/>
      <c r="M640" s="49">
        <v>3</v>
      </c>
      <c r="N640" s="49">
        <v>1</v>
      </c>
      <c r="O640" s="49">
        <v>0</v>
      </c>
      <c r="P640" s="49">
        <v>0</v>
      </c>
      <c r="Q640" s="49">
        <v>0</v>
      </c>
      <c r="R640" s="49"/>
      <c r="S640" s="49">
        <v>0</v>
      </c>
      <c r="T640" s="42"/>
      <c r="Y640" s="112"/>
    </row>
    <row r="641" spans="1:25">
      <c r="A641" s="49"/>
      <c r="B641" s="121">
        <v>1200324</v>
      </c>
      <c r="C641" s="205" t="s">
        <v>1015</v>
      </c>
      <c r="D641" s="192"/>
      <c r="E641" s="84"/>
      <c r="F641" s="84"/>
      <c r="G641" s="49">
        <v>6</v>
      </c>
      <c r="H641" s="49">
        <v>4</v>
      </c>
      <c r="I641" s="91">
        <v>2</v>
      </c>
      <c r="J641" s="128"/>
      <c r="K641" s="17"/>
      <c r="L641" s="17"/>
      <c r="M641" s="49">
        <v>3</v>
      </c>
      <c r="N641" s="49">
        <v>1</v>
      </c>
      <c r="O641" s="49">
        <v>0</v>
      </c>
      <c r="P641" s="49">
        <v>0</v>
      </c>
      <c r="Q641" s="49">
        <v>0</v>
      </c>
      <c r="R641" s="49"/>
      <c r="S641" s="49">
        <v>0</v>
      </c>
      <c r="T641" s="42"/>
      <c r="Y641" s="112"/>
    </row>
    <row r="642" spans="1:25">
      <c r="A642" s="212"/>
      <c r="B642" s="215">
        <v>1100834</v>
      </c>
      <c r="C642" s="204" t="s">
        <v>4122</v>
      </c>
      <c r="D642" s="192" t="s">
        <v>4134</v>
      </c>
      <c r="E642" s="213"/>
      <c r="F642" s="213"/>
      <c r="G642" s="49">
        <v>6</v>
      </c>
      <c r="H642" s="49">
        <v>4</v>
      </c>
      <c r="I642" s="91">
        <v>1</v>
      </c>
      <c r="J642" s="128"/>
      <c r="K642" s="17"/>
      <c r="L642" s="17"/>
      <c r="M642" s="49">
        <v>3</v>
      </c>
      <c r="N642" s="49">
        <v>1</v>
      </c>
      <c r="O642" s="49">
        <v>0</v>
      </c>
      <c r="P642" s="49">
        <v>0</v>
      </c>
      <c r="Q642" s="49">
        <v>0</v>
      </c>
      <c r="R642" s="49"/>
      <c r="S642" s="49">
        <v>0</v>
      </c>
      <c r="T642" s="42"/>
      <c r="Y642" s="112"/>
    </row>
    <row r="643" spans="1:25">
      <c r="A643" s="212"/>
      <c r="B643" s="215">
        <v>1100814</v>
      </c>
      <c r="C643" s="204" t="s">
        <v>4123</v>
      </c>
      <c r="D643" s="192"/>
      <c r="E643" s="213"/>
      <c r="F643" s="213"/>
      <c r="G643" s="49">
        <v>6</v>
      </c>
      <c r="H643" s="49">
        <v>4</v>
      </c>
      <c r="I643" s="91">
        <v>1</v>
      </c>
      <c r="J643" s="128"/>
      <c r="K643" s="17"/>
      <c r="L643" s="17"/>
      <c r="M643" s="49">
        <v>3</v>
      </c>
      <c r="N643" s="49">
        <v>1</v>
      </c>
      <c r="O643" s="49">
        <v>0</v>
      </c>
      <c r="P643" s="49">
        <v>0</v>
      </c>
      <c r="Q643" s="49">
        <v>0</v>
      </c>
      <c r="R643" s="49"/>
      <c r="S643" s="49">
        <v>0</v>
      </c>
      <c r="T643" s="42"/>
      <c r="Y643" s="112"/>
    </row>
    <row r="644" spans="1:25">
      <c r="A644" s="212"/>
      <c r="B644" s="215">
        <v>1200834</v>
      </c>
      <c r="C644" s="204" t="s">
        <v>4088</v>
      </c>
      <c r="D644" s="192" t="s">
        <v>4135</v>
      </c>
      <c r="E644" s="213"/>
      <c r="F644" s="213"/>
      <c r="G644" s="49">
        <v>6</v>
      </c>
      <c r="H644" s="49">
        <v>4</v>
      </c>
      <c r="I644" s="91">
        <v>2</v>
      </c>
      <c r="J644" s="128"/>
      <c r="K644" s="17"/>
      <c r="L644" s="17"/>
      <c r="M644" s="49">
        <v>3</v>
      </c>
      <c r="N644" s="49">
        <v>1</v>
      </c>
      <c r="O644" s="49">
        <v>0</v>
      </c>
      <c r="P644" s="49">
        <v>0</v>
      </c>
      <c r="Q644" s="49">
        <v>0</v>
      </c>
      <c r="R644" s="49"/>
      <c r="S644" s="49">
        <v>0</v>
      </c>
      <c r="T644" s="42"/>
      <c r="Y644" s="112"/>
    </row>
    <row r="645" spans="1:25">
      <c r="A645" s="212"/>
      <c r="B645" s="215">
        <v>1200814</v>
      </c>
      <c r="C645" s="204" t="s">
        <v>4089</v>
      </c>
      <c r="D645" s="192" t="s">
        <v>4136</v>
      </c>
      <c r="E645" s="213"/>
      <c r="F645" s="213"/>
      <c r="G645" s="49">
        <v>6</v>
      </c>
      <c r="H645" s="49">
        <v>4</v>
      </c>
      <c r="I645" s="91">
        <v>2</v>
      </c>
      <c r="J645" s="128"/>
      <c r="K645" s="17"/>
      <c r="L645" s="17"/>
      <c r="M645" s="49">
        <v>3</v>
      </c>
      <c r="N645" s="49">
        <v>1</v>
      </c>
      <c r="O645" s="49">
        <v>0</v>
      </c>
      <c r="P645" s="49">
        <v>0</v>
      </c>
      <c r="Q645" s="49">
        <v>0</v>
      </c>
      <c r="R645" s="49"/>
      <c r="S645" s="49">
        <v>0</v>
      </c>
      <c r="T645" s="42"/>
      <c r="Y645" s="112"/>
    </row>
    <row r="646" spans="1:25">
      <c r="A646" s="49"/>
      <c r="B646" s="229">
        <v>1200864</v>
      </c>
      <c r="C646" s="105" t="s">
        <v>4192</v>
      </c>
      <c r="D646" s="105"/>
      <c r="E646" s="84"/>
      <c r="F646" s="84"/>
      <c r="G646" s="49">
        <v>6</v>
      </c>
      <c r="H646" s="49">
        <v>4</v>
      </c>
      <c r="I646" s="91">
        <v>2</v>
      </c>
      <c r="J646" s="128"/>
      <c r="K646" s="17"/>
      <c r="L646" s="17"/>
      <c r="M646" s="49">
        <v>3</v>
      </c>
      <c r="N646" s="49">
        <v>1</v>
      </c>
      <c r="O646" s="49">
        <v>0</v>
      </c>
      <c r="P646" s="49">
        <v>0</v>
      </c>
      <c r="Q646" s="49">
        <v>0</v>
      </c>
      <c r="R646" s="49"/>
      <c r="S646" s="49">
        <v>0</v>
      </c>
      <c r="T646" s="42"/>
      <c r="Y646" s="112"/>
    </row>
    <row r="647" spans="1:25">
      <c r="A647" s="87" t="s">
        <v>48</v>
      </c>
      <c r="B647" s="206" t="s">
        <v>1016</v>
      </c>
      <c r="C647" s="207"/>
      <c r="D647" s="207"/>
      <c r="E647" s="89"/>
      <c r="F647" s="89"/>
      <c r="G647" s="87"/>
      <c r="H647" s="87"/>
      <c r="I647" s="95"/>
      <c r="J647" s="88"/>
      <c r="K647" s="17"/>
      <c r="L647" s="17"/>
      <c r="M647" s="87"/>
      <c r="N647" s="87"/>
      <c r="O647" s="87"/>
      <c r="P647" s="87"/>
      <c r="Q647" s="87"/>
      <c r="R647" s="87"/>
      <c r="S647" s="87"/>
      <c r="T647" s="98"/>
      <c r="Y647" s="141"/>
    </row>
    <row r="648" spans="1:25">
      <c r="A648" s="49"/>
      <c r="B648" s="105">
        <v>1000746</v>
      </c>
      <c r="C648" s="210" t="s">
        <v>1017</v>
      </c>
      <c r="D648" s="188" t="s">
        <v>1018</v>
      </c>
      <c r="E648" s="84"/>
      <c r="F648" s="84"/>
      <c r="G648" s="49">
        <v>6</v>
      </c>
      <c r="H648" s="49" t="s">
        <v>1019</v>
      </c>
      <c r="I648" s="96">
        <v>0</v>
      </c>
      <c r="J648" s="139"/>
      <c r="K648" s="17"/>
      <c r="L648" s="17"/>
      <c r="M648" s="49">
        <v>3</v>
      </c>
      <c r="N648" s="49">
        <v>1</v>
      </c>
      <c r="O648" s="49">
        <v>0</v>
      </c>
      <c r="P648" s="49">
        <v>0</v>
      </c>
      <c r="Q648" s="49">
        <v>0</v>
      </c>
      <c r="R648" s="49"/>
      <c r="S648" s="49">
        <v>0</v>
      </c>
      <c r="T648" s="42"/>
      <c r="Y648" s="112"/>
    </row>
    <row r="649" spans="1:25">
      <c r="A649" s="49"/>
      <c r="B649" s="105">
        <v>1200726</v>
      </c>
      <c r="C649" s="210" t="s">
        <v>1020</v>
      </c>
      <c r="D649" s="188" t="s">
        <v>1021</v>
      </c>
      <c r="E649" s="84"/>
      <c r="F649" s="84"/>
      <c r="G649" s="49">
        <v>6</v>
      </c>
      <c r="H649" s="49" t="s">
        <v>1022</v>
      </c>
      <c r="I649" s="91">
        <v>2</v>
      </c>
      <c r="J649" s="139"/>
      <c r="K649" s="17"/>
      <c r="L649" s="17"/>
      <c r="M649" s="49">
        <v>3</v>
      </c>
      <c r="N649" s="49">
        <v>1</v>
      </c>
      <c r="O649" s="49">
        <v>0</v>
      </c>
      <c r="P649" s="49">
        <v>0</v>
      </c>
      <c r="Q649" s="49">
        <v>0</v>
      </c>
      <c r="R649" s="49"/>
      <c r="S649" s="49">
        <v>0</v>
      </c>
      <c r="T649" s="42"/>
      <c r="Y649" s="112"/>
    </row>
    <row r="650" spans="1:25">
      <c r="A650" s="49"/>
      <c r="B650" s="105">
        <v>1100726</v>
      </c>
      <c r="C650" s="210" t="s">
        <v>1023</v>
      </c>
      <c r="D650" s="188" t="s">
        <v>1024</v>
      </c>
      <c r="E650" s="84"/>
      <c r="F650" s="84"/>
      <c r="G650" s="49">
        <v>6</v>
      </c>
      <c r="H650" s="49" t="s">
        <v>1022</v>
      </c>
      <c r="I650" s="91">
        <v>1</v>
      </c>
      <c r="J650" s="139"/>
      <c r="K650" s="17"/>
      <c r="L650" s="17"/>
      <c r="M650" s="49">
        <v>3</v>
      </c>
      <c r="N650" s="49">
        <v>1</v>
      </c>
      <c r="O650" s="49">
        <v>0</v>
      </c>
      <c r="P650" s="49">
        <v>0</v>
      </c>
      <c r="Q650" s="49">
        <v>0</v>
      </c>
      <c r="R650" s="49"/>
      <c r="S650" s="49">
        <v>0</v>
      </c>
      <c r="T650" s="42"/>
      <c r="Y650" s="112"/>
    </row>
    <row r="651" spans="1:25">
      <c r="A651" s="49"/>
      <c r="B651" s="105">
        <v>1100796</v>
      </c>
      <c r="C651" s="210" t="s">
        <v>1025</v>
      </c>
      <c r="D651" s="188" t="s">
        <v>1026</v>
      </c>
      <c r="E651" s="84"/>
      <c r="F651" s="84"/>
      <c r="G651" s="49">
        <v>6</v>
      </c>
      <c r="H651" s="49" t="s">
        <v>1022</v>
      </c>
      <c r="I651" s="91">
        <v>1</v>
      </c>
      <c r="J651" s="139"/>
      <c r="K651" s="17"/>
      <c r="L651" s="17"/>
      <c r="M651" s="49">
        <v>3</v>
      </c>
      <c r="N651" s="49">
        <v>1</v>
      </c>
      <c r="O651" s="49">
        <v>0</v>
      </c>
      <c r="P651" s="49">
        <v>0</v>
      </c>
      <c r="Q651" s="49">
        <v>0</v>
      </c>
      <c r="R651" s="49"/>
      <c r="S651" s="49">
        <v>0</v>
      </c>
      <c r="T651" s="42"/>
      <c r="Y651" s="112"/>
    </row>
    <row r="652" spans="1:25">
      <c r="A652" s="49"/>
      <c r="B652" s="105">
        <v>1200796</v>
      </c>
      <c r="C652" s="210" t="s">
        <v>1027</v>
      </c>
      <c r="D652" s="188" t="s">
        <v>1028</v>
      </c>
      <c r="E652" s="84"/>
      <c r="F652" s="84"/>
      <c r="G652" s="49">
        <v>6</v>
      </c>
      <c r="H652" s="49" t="s">
        <v>1022</v>
      </c>
      <c r="I652" s="91">
        <v>2</v>
      </c>
      <c r="J652" s="140"/>
      <c r="K652" s="17"/>
      <c r="L652" s="17"/>
      <c r="M652" s="49">
        <v>3</v>
      </c>
      <c r="N652" s="49">
        <v>1</v>
      </c>
      <c r="O652" s="49">
        <v>0</v>
      </c>
      <c r="P652" s="49">
        <v>0</v>
      </c>
      <c r="Q652" s="49">
        <v>0</v>
      </c>
      <c r="R652" s="49"/>
      <c r="S652" s="49">
        <v>0</v>
      </c>
      <c r="T652" s="42"/>
      <c r="Y652" s="112"/>
    </row>
    <row r="653" spans="1:25">
      <c r="A653" s="49"/>
      <c r="B653" s="105">
        <v>1200736</v>
      </c>
      <c r="C653" s="210" t="s">
        <v>1029</v>
      </c>
      <c r="D653" s="188" t="s">
        <v>1030</v>
      </c>
      <c r="E653" s="84"/>
      <c r="F653" s="84"/>
      <c r="G653" s="49">
        <v>6</v>
      </c>
      <c r="H653" s="49" t="s">
        <v>1019</v>
      </c>
      <c r="I653" s="91">
        <v>2</v>
      </c>
      <c r="J653" s="140"/>
      <c r="K653" s="17"/>
      <c r="L653" s="17"/>
      <c r="M653" s="49">
        <v>3</v>
      </c>
      <c r="N653" s="49">
        <v>1</v>
      </c>
      <c r="O653" s="49">
        <v>0</v>
      </c>
      <c r="P653" s="49">
        <v>0</v>
      </c>
      <c r="Q653" s="49">
        <v>0</v>
      </c>
      <c r="R653" s="49"/>
      <c r="S653" s="49">
        <v>0</v>
      </c>
      <c r="T653" s="42"/>
      <c r="X653" s="42"/>
      <c r="Y653" s="112"/>
    </row>
    <row r="654" spans="1:25">
      <c r="A654" s="49"/>
      <c r="B654" s="105">
        <v>1100736</v>
      </c>
      <c r="C654" s="210" t="s">
        <v>1029</v>
      </c>
      <c r="D654" s="188" t="s">
        <v>1031</v>
      </c>
      <c r="E654" s="84"/>
      <c r="F654" s="84"/>
      <c r="G654" s="49">
        <v>6</v>
      </c>
      <c r="H654" s="49" t="s">
        <v>1019</v>
      </c>
      <c r="I654" s="91">
        <v>1</v>
      </c>
      <c r="J654" s="140"/>
      <c r="K654" s="17"/>
      <c r="L654" s="17"/>
      <c r="M654" s="49">
        <v>3</v>
      </c>
      <c r="N654" s="49">
        <v>1</v>
      </c>
      <c r="O654" s="49">
        <v>0</v>
      </c>
      <c r="P654" s="49">
        <v>0</v>
      </c>
      <c r="Q654" s="49">
        <v>0</v>
      </c>
      <c r="S654" s="49">
        <v>0</v>
      </c>
      <c r="T654" s="42"/>
      <c r="X654" s="43"/>
      <c r="Y654" s="112"/>
    </row>
    <row r="655" spans="1:25">
      <c r="A655" s="49"/>
      <c r="B655" s="105">
        <v>1100626</v>
      </c>
      <c r="C655" s="220" t="s">
        <v>4117</v>
      </c>
      <c r="D655" s="188" t="s">
        <v>4118</v>
      </c>
      <c r="E655" s="84"/>
      <c r="F655" s="84"/>
      <c r="G655" s="49">
        <v>6</v>
      </c>
      <c r="H655" s="49" t="s">
        <v>1032</v>
      </c>
      <c r="I655" s="91">
        <v>1</v>
      </c>
      <c r="J655" s="140"/>
      <c r="K655" s="17"/>
      <c r="L655" s="17"/>
      <c r="M655" s="49">
        <v>3</v>
      </c>
      <c r="N655" s="49">
        <v>1</v>
      </c>
      <c r="O655" s="49">
        <v>0</v>
      </c>
      <c r="P655" s="49">
        <v>0</v>
      </c>
      <c r="Q655" s="49">
        <v>0</v>
      </c>
      <c r="R655" s="49"/>
      <c r="S655" s="49">
        <v>0</v>
      </c>
      <c r="T655" s="42"/>
      <c r="X655" s="142"/>
      <c r="Y655" s="112"/>
    </row>
    <row r="656" spans="1:25" s="41" customFormat="1">
      <c r="A656" s="117"/>
      <c r="B656" s="112">
        <v>1100756</v>
      </c>
      <c r="C656" s="220" t="s">
        <v>1033</v>
      </c>
      <c r="D656" s="195" t="s">
        <v>4121</v>
      </c>
      <c r="E656" s="138"/>
      <c r="F656" s="138"/>
      <c r="G656" s="55">
        <v>6</v>
      </c>
      <c r="H656" s="55" t="s">
        <v>1022</v>
      </c>
      <c r="I656" s="139">
        <v>1</v>
      </c>
      <c r="J656" s="140"/>
      <c r="K656" s="65"/>
      <c r="L656" s="65"/>
      <c r="M656" s="55">
        <v>3</v>
      </c>
      <c r="N656" s="55">
        <v>1</v>
      </c>
      <c r="O656" s="55">
        <v>0</v>
      </c>
      <c r="P656" s="55">
        <v>0</v>
      </c>
      <c r="Q656" s="55">
        <v>0</v>
      </c>
      <c r="R656" s="55"/>
      <c r="S656" s="55">
        <v>0</v>
      </c>
      <c r="T656" s="43"/>
      <c r="X656" s="142"/>
      <c r="Y656" s="112"/>
    </row>
    <row r="657" spans="1:25">
      <c r="A657" s="49"/>
      <c r="B657" s="105">
        <v>1200616</v>
      </c>
      <c r="C657" s="211" t="s">
        <v>1034</v>
      </c>
      <c r="D657" s="188"/>
      <c r="E657" s="84"/>
      <c r="F657" s="84"/>
      <c r="G657" s="49">
        <v>6</v>
      </c>
      <c r="H657" s="49" t="s">
        <v>1022</v>
      </c>
      <c r="I657" s="91">
        <v>2</v>
      </c>
      <c r="J657" s="140"/>
      <c r="K657" s="17"/>
      <c r="L657" s="17"/>
      <c r="M657" s="49">
        <v>3</v>
      </c>
      <c r="N657" s="49">
        <v>1</v>
      </c>
      <c r="O657" s="49">
        <v>0</v>
      </c>
      <c r="P657" s="49">
        <v>0</v>
      </c>
      <c r="Q657" s="49">
        <v>0</v>
      </c>
      <c r="R657" s="49"/>
      <c r="S657" s="49">
        <v>0</v>
      </c>
      <c r="T657" s="42"/>
      <c r="X657" s="142"/>
      <c r="Y657" s="112"/>
    </row>
    <row r="658" spans="1:25">
      <c r="A658" s="49"/>
      <c r="B658" s="105">
        <v>1200626</v>
      </c>
      <c r="C658" s="220" t="s">
        <v>4119</v>
      </c>
      <c r="D658" s="188" t="s">
        <v>4120</v>
      </c>
      <c r="E658" s="84"/>
      <c r="F658" s="84"/>
      <c r="G658" s="49">
        <v>6</v>
      </c>
      <c r="H658" s="49" t="s">
        <v>1032</v>
      </c>
      <c r="I658" s="91">
        <v>2</v>
      </c>
      <c r="J658" s="140"/>
      <c r="K658" s="17"/>
      <c r="L658" s="17"/>
      <c r="M658" s="49">
        <v>3</v>
      </c>
      <c r="N658" s="49">
        <v>1</v>
      </c>
      <c r="O658" s="49">
        <v>0</v>
      </c>
      <c r="P658" s="49">
        <v>0</v>
      </c>
      <c r="Q658" s="49">
        <v>0</v>
      </c>
      <c r="R658" s="49"/>
      <c r="S658" s="49">
        <v>0</v>
      </c>
      <c r="T658" s="42"/>
      <c r="X658" s="142"/>
      <c r="Y658" s="112"/>
    </row>
    <row r="659" spans="1:25" s="41" customFormat="1">
      <c r="A659" s="117"/>
      <c r="B659" s="216">
        <v>1200752</v>
      </c>
      <c r="C659" s="204" t="s">
        <v>812</v>
      </c>
      <c r="D659" s="204" t="s">
        <v>4116</v>
      </c>
      <c r="E659" s="138"/>
      <c r="F659" s="138"/>
      <c r="G659" s="54">
        <v>6</v>
      </c>
      <c r="H659" s="55" t="s">
        <v>1022</v>
      </c>
      <c r="I659" s="139">
        <v>2</v>
      </c>
      <c r="J659" s="140"/>
      <c r="K659" s="65"/>
      <c r="L659" s="65"/>
      <c r="M659" s="55">
        <v>3</v>
      </c>
      <c r="N659" s="55">
        <v>1</v>
      </c>
      <c r="O659" s="55">
        <v>0</v>
      </c>
      <c r="P659" s="55">
        <v>0</v>
      </c>
      <c r="Q659" s="55">
        <v>0</v>
      </c>
      <c r="R659" s="55"/>
      <c r="S659" s="55">
        <v>0</v>
      </c>
      <c r="T659" s="43"/>
      <c r="Y659" s="112"/>
    </row>
    <row r="660" spans="1:25" s="41" customFormat="1">
      <c r="A660" s="117"/>
      <c r="B660" s="216">
        <v>1200926</v>
      </c>
      <c r="C660" s="204" t="s">
        <v>4193</v>
      </c>
      <c r="D660" s="204" t="s">
        <v>4116</v>
      </c>
      <c r="E660" s="138"/>
      <c r="F660" s="138"/>
      <c r="G660" s="54">
        <v>6</v>
      </c>
      <c r="H660" s="55" t="s">
        <v>1022</v>
      </c>
      <c r="I660" s="139">
        <v>2</v>
      </c>
      <c r="J660" s="140"/>
      <c r="K660" s="65"/>
      <c r="L660" s="65"/>
      <c r="M660" s="55">
        <v>3</v>
      </c>
      <c r="N660" s="55">
        <v>1</v>
      </c>
      <c r="O660" s="55">
        <v>0</v>
      </c>
      <c r="P660" s="55">
        <v>0</v>
      </c>
      <c r="Q660" s="55">
        <v>0</v>
      </c>
      <c r="R660" s="55"/>
      <c r="S660" s="55">
        <v>0</v>
      </c>
      <c r="T660" s="43"/>
      <c r="Y660" s="112"/>
    </row>
    <row r="661" spans="1:25">
      <c r="A661" s="87" t="s">
        <v>48</v>
      </c>
      <c r="B661" s="206" t="s">
        <v>4086</v>
      </c>
      <c r="C661" s="207"/>
      <c r="D661" s="207"/>
      <c r="E661" s="89"/>
      <c r="F661" s="89"/>
      <c r="G661" s="87"/>
      <c r="H661" s="87"/>
      <c r="I661" s="95"/>
      <c r="J661" s="88"/>
      <c r="K661" s="17"/>
      <c r="L661" s="17"/>
      <c r="M661" s="87"/>
      <c r="N661" s="87"/>
      <c r="O661" s="87"/>
      <c r="P661" s="87"/>
      <c r="Q661" s="87"/>
      <c r="R661" s="87"/>
      <c r="S661" s="87"/>
      <c r="T661" s="98"/>
      <c r="X661" s="43"/>
      <c r="Y661" s="141"/>
    </row>
    <row r="662" spans="1:25">
      <c r="A662" s="49"/>
      <c r="B662" s="105">
        <v>1000955</v>
      </c>
      <c r="C662" s="212" t="s">
        <v>1035</v>
      </c>
      <c r="D662" s="212" t="s">
        <v>1036</v>
      </c>
      <c r="E662" s="84"/>
      <c r="F662" s="84"/>
      <c r="G662" s="49">
        <v>6</v>
      </c>
      <c r="H662" s="49">
        <v>5</v>
      </c>
      <c r="I662" s="91">
        <v>0</v>
      </c>
      <c r="J662" s="49"/>
      <c r="K662" s="17"/>
      <c r="L662" s="17"/>
      <c r="M662" s="49">
        <v>3</v>
      </c>
      <c r="N662" s="49">
        <v>1</v>
      </c>
      <c r="O662" s="49">
        <v>0</v>
      </c>
      <c r="P662" s="49">
        <v>0</v>
      </c>
      <c r="Q662" s="49">
        <v>0</v>
      </c>
      <c r="R662" s="49"/>
      <c r="S662" s="49">
        <v>0</v>
      </c>
      <c r="T662" s="42"/>
      <c r="X662" s="43"/>
      <c r="Y662" s="112"/>
    </row>
    <row r="663" spans="1:25">
      <c r="A663" s="49"/>
      <c r="B663" s="105">
        <v>1000965</v>
      </c>
      <c r="C663" s="212" t="s">
        <v>1037</v>
      </c>
      <c r="D663" s="212" t="s">
        <v>1038</v>
      </c>
      <c r="E663" s="84"/>
      <c r="F663" s="84"/>
      <c r="G663" s="49">
        <v>6</v>
      </c>
      <c r="H663" s="49">
        <v>5</v>
      </c>
      <c r="I663" s="91">
        <v>0</v>
      </c>
      <c r="J663" s="49"/>
      <c r="K663" s="17"/>
      <c r="L663" s="17"/>
      <c r="M663" s="49">
        <v>3</v>
      </c>
      <c r="N663" s="49">
        <v>1</v>
      </c>
      <c r="O663" s="49">
        <v>0</v>
      </c>
      <c r="P663" s="49">
        <v>0</v>
      </c>
      <c r="Q663" s="49">
        <v>0</v>
      </c>
      <c r="R663" s="49"/>
      <c r="S663" s="49">
        <v>0</v>
      </c>
      <c r="T663" s="42"/>
      <c r="Y663" s="112"/>
    </row>
    <row r="664" spans="1:25">
      <c r="A664" s="49"/>
      <c r="B664" s="105">
        <v>1000975</v>
      </c>
      <c r="C664" s="212" t="s">
        <v>1039</v>
      </c>
      <c r="D664" s="212" t="s">
        <v>1040</v>
      </c>
      <c r="E664" s="84"/>
      <c r="F664" s="84"/>
      <c r="G664" s="49">
        <v>6</v>
      </c>
      <c r="H664" s="49">
        <v>5</v>
      </c>
      <c r="I664" s="91">
        <v>0</v>
      </c>
      <c r="J664" s="49"/>
      <c r="K664" s="17"/>
      <c r="L664" s="17"/>
      <c r="M664" s="49">
        <v>3</v>
      </c>
      <c r="N664" s="49">
        <v>1</v>
      </c>
      <c r="O664" s="49">
        <v>0</v>
      </c>
      <c r="P664" s="49">
        <v>0</v>
      </c>
      <c r="Q664" s="49">
        <v>0</v>
      </c>
      <c r="R664" s="49"/>
      <c r="S664" s="49">
        <v>0</v>
      </c>
      <c r="T664" s="42"/>
      <c r="Y664" s="112"/>
    </row>
    <row r="665" spans="1:25">
      <c r="A665" s="49"/>
      <c r="B665" s="105">
        <v>1000985</v>
      </c>
      <c r="C665" s="212" t="s">
        <v>4087</v>
      </c>
      <c r="D665" s="212" t="s">
        <v>1041</v>
      </c>
      <c r="E665" s="84"/>
      <c r="F665" s="84"/>
      <c r="G665" s="49">
        <v>6</v>
      </c>
      <c r="H665" s="49">
        <v>5</v>
      </c>
      <c r="I665" s="91">
        <v>0</v>
      </c>
      <c r="J665" s="49"/>
      <c r="K665" s="17"/>
      <c r="L665" s="17"/>
      <c r="M665" s="49">
        <v>3</v>
      </c>
      <c r="N665" s="49">
        <v>1</v>
      </c>
      <c r="O665" s="49">
        <v>0</v>
      </c>
      <c r="P665" s="49">
        <v>0</v>
      </c>
      <c r="Q665" s="49">
        <v>0</v>
      </c>
      <c r="R665" s="49"/>
      <c r="S665" s="49">
        <v>0</v>
      </c>
      <c r="T665" s="42"/>
      <c r="Y665" s="112"/>
    </row>
    <row r="666" spans="1:25">
      <c r="A666" s="49"/>
      <c r="B666" s="105">
        <v>1000995</v>
      </c>
      <c r="C666" s="212" t="s">
        <v>1042</v>
      </c>
      <c r="D666" s="212" t="s">
        <v>1043</v>
      </c>
      <c r="E666" s="84"/>
      <c r="F666" s="84"/>
      <c r="G666" s="49">
        <v>6</v>
      </c>
      <c r="H666" s="49">
        <v>5</v>
      </c>
      <c r="I666" s="91">
        <v>0</v>
      </c>
      <c r="J666" s="49"/>
      <c r="K666" s="17"/>
      <c r="L666" s="17"/>
      <c r="M666" s="49">
        <v>3</v>
      </c>
      <c r="N666" s="49">
        <v>1</v>
      </c>
      <c r="O666" s="49">
        <v>0</v>
      </c>
      <c r="P666" s="49">
        <v>0</v>
      </c>
      <c r="Q666" s="49">
        <v>0</v>
      </c>
      <c r="R666" s="49"/>
      <c r="S666" s="49">
        <v>0</v>
      </c>
      <c r="T666" s="42"/>
      <c r="Y666" s="112"/>
    </row>
    <row r="667" spans="1:25">
      <c r="A667" s="49"/>
      <c r="B667" s="105">
        <v>1001005</v>
      </c>
      <c r="C667" s="212" t="s">
        <v>1044</v>
      </c>
      <c r="D667" s="212" t="s">
        <v>1045</v>
      </c>
      <c r="E667" s="84"/>
      <c r="F667" s="84"/>
      <c r="G667" s="49">
        <v>6</v>
      </c>
      <c r="H667" s="49">
        <v>5</v>
      </c>
      <c r="I667" s="91">
        <v>0</v>
      </c>
      <c r="J667" s="49"/>
      <c r="K667" s="17"/>
      <c r="L667" s="17"/>
      <c r="M667" s="49">
        <v>3</v>
      </c>
      <c r="N667" s="49">
        <v>1</v>
      </c>
      <c r="O667" s="49">
        <v>0</v>
      </c>
      <c r="P667" s="49">
        <v>0</v>
      </c>
      <c r="Q667" s="49">
        <v>0</v>
      </c>
      <c r="R667" s="49"/>
      <c r="S667" s="49">
        <v>0</v>
      </c>
      <c r="T667" s="42"/>
      <c r="Y667" s="112"/>
    </row>
    <row r="668" spans="1:25">
      <c r="A668" s="49"/>
      <c r="B668" s="105">
        <v>1001015</v>
      </c>
      <c r="C668" s="212" t="s">
        <v>1046</v>
      </c>
      <c r="D668" s="212" t="s">
        <v>1047</v>
      </c>
      <c r="E668" s="84"/>
      <c r="F668" s="84"/>
      <c r="G668" s="49">
        <v>6</v>
      </c>
      <c r="H668" s="49">
        <v>5</v>
      </c>
      <c r="I668" s="91">
        <v>0</v>
      </c>
      <c r="J668" s="49"/>
      <c r="K668" s="17"/>
      <c r="L668" s="17"/>
      <c r="M668" s="49">
        <v>3</v>
      </c>
      <c r="N668" s="49">
        <v>1</v>
      </c>
      <c r="O668" s="49">
        <v>0</v>
      </c>
      <c r="P668" s="49">
        <v>0</v>
      </c>
      <c r="Q668" s="49">
        <v>0</v>
      </c>
      <c r="R668" s="49"/>
      <c r="S668" s="49">
        <v>0</v>
      </c>
      <c r="T668" s="42"/>
      <c r="Y668" s="112"/>
    </row>
    <row r="669" spans="1:25">
      <c r="A669" s="49"/>
      <c r="B669" s="105">
        <v>1001025</v>
      </c>
      <c r="C669" s="212" t="s">
        <v>1048</v>
      </c>
      <c r="D669" s="212" t="s">
        <v>1049</v>
      </c>
      <c r="E669" s="84"/>
      <c r="F669" s="84"/>
      <c r="G669" s="49">
        <v>6</v>
      </c>
      <c r="H669" s="49">
        <v>5</v>
      </c>
      <c r="I669" s="91">
        <v>0</v>
      </c>
      <c r="J669" s="49"/>
      <c r="K669" s="17"/>
      <c r="L669" s="17"/>
      <c r="M669" s="49">
        <v>3</v>
      </c>
      <c r="N669" s="49">
        <v>1</v>
      </c>
      <c r="O669" s="49">
        <v>0</v>
      </c>
      <c r="P669" s="49">
        <v>0</v>
      </c>
      <c r="Q669" s="49">
        <v>0</v>
      </c>
      <c r="R669" s="49"/>
      <c r="S669" s="49">
        <v>0</v>
      </c>
      <c r="T669" s="42"/>
      <c r="Y669" s="112"/>
    </row>
    <row r="670" spans="1:25">
      <c r="A670" s="49"/>
      <c r="B670" s="105">
        <v>1001035</v>
      </c>
      <c r="C670" s="212" t="s">
        <v>1050</v>
      </c>
      <c r="D670" s="212" t="s">
        <v>1051</v>
      </c>
      <c r="E670" s="84"/>
      <c r="F670" s="84"/>
      <c r="G670" s="49">
        <v>6</v>
      </c>
      <c r="H670" s="49">
        <v>5</v>
      </c>
      <c r="I670" s="91">
        <v>0</v>
      </c>
      <c r="J670" s="49"/>
      <c r="K670" s="17"/>
      <c r="L670" s="17"/>
      <c r="M670" s="49">
        <v>3</v>
      </c>
      <c r="N670" s="49">
        <v>1</v>
      </c>
      <c r="O670" s="49">
        <v>0</v>
      </c>
      <c r="P670" s="49">
        <v>0</v>
      </c>
      <c r="Q670" s="49">
        <v>0</v>
      </c>
      <c r="R670" s="49"/>
      <c r="S670" s="49">
        <v>0</v>
      </c>
      <c r="T670" s="42"/>
      <c r="Y670" s="112"/>
    </row>
    <row r="671" spans="1:25">
      <c r="A671" s="49"/>
      <c r="B671" s="105">
        <v>1001045</v>
      </c>
      <c r="C671" s="212" t="s">
        <v>1052</v>
      </c>
      <c r="D671" s="212" t="s">
        <v>1053</v>
      </c>
      <c r="E671" s="84"/>
      <c r="F671" s="84"/>
      <c r="G671" s="49">
        <v>6</v>
      </c>
      <c r="H671" s="49">
        <v>5</v>
      </c>
      <c r="I671" s="91">
        <v>0</v>
      </c>
      <c r="J671" s="49"/>
      <c r="K671" s="17"/>
      <c r="L671" s="17"/>
      <c r="M671" s="49">
        <v>3</v>
      </c>
      <c r="N671" s="49">
        <v>1</v>
      </c>
      <c r="O671" s="49">
        <v>0</v>
      </c>
      <c r="P671" s="49">
        <v>0</v>
      </c>
      <c r="Q671" s="49">
        <v>0</v>
      </c>
      <c r="R671" s="49"/>
      <c r="S671" s="49">
        <v>0</v>
      </c>
      <c r="T671" s="42"/>
      <c r="Y671" s="112"/>
    </row>
    <row r="672" spans="1:25">
      <c r="A672" s="49"/>
      <c r="B672" s="105">
        <v>1001055</v>
      </c>
      <c r="C672" s="212" t="s">
        <v>1054</v>
      </c>
      <c r="D672" s="212" t="s">
        <v>1055</v>
      </c>
      <c r="E672" s="84"/>
      <c r="F672" s="84"/>
      <c r="G672" s="49">
        <v>6</v>
      </c>
      <c r="H672" s="49">
        <v>5</v>
      </c>
      <c r="I672" s="91">
        <v>0</v>
      </c>
      <c r="J672" s="49"/>
      <c r="K672" s="17"/>
      <c r="L672" s="17"/>
      <c r="M672" s="49">
        <v>3</v>
      </c>
      <c r="N672" s="49">
        <v>1</v>
      </c>
      <c r="O672" s="49">
        <v>0</v>
      </c>
      <c r="P672" s="49">
        <v>0</v>
      </c>
      <c r="Q672" s="49">
        <v>0</v>
      </c>
      <c r="R672" s="49"/>
      <c r="S672" s="49">
        <v>0</v>
      </c>
      <c r="T672" s="42"/>
      <c r="Y672" s="112"/>
    </row>
    <row r="673" spans="1:25">
      <c r="A673" s="49"/>
      <c r="B673" s="105">
        <v>1001065</v>
      </c>
      <c r="C673" s="212" t="s">
        <v>1056</v>
      </c>
      <c r="D673" s="212" t="s">
        <v>504</v>
      </c>
      <c r="E673" s="84"/>
      <c r="F673" s="84"/>
      <c r="G673" s="49">
        <v>6</v>
      </c>
      <c r="H673" s="49">
        <v>5</v>
      </c>
      <c r="I673" s="91">
        <v>0</v>
      </c>
      <c r="J673" s="49"/>
      <c r="K673" s="17"/>
      <c r="L673" s="17"/>
      <c r="M673" s="49">
        <v>3</v>
      </c>
      <c r="N673" s="49">
        <v>1</v>
      </c>
      <c r="O673" s="49">
        <v>0</v>
      </c>
      <c r="P673" s="49">
        <v>0</v>
      </c>
      <c r="Q673" s="49">
        <v>0</v>
      </c>
      <c r="R673" s="49"/>
      <c r="S673" s="49">
        <v>0</v>
      </c>
      <c r="T673" s="42"/>
      <c r="Y673" s="112"/>
    </row>
    <row r="674" spans="1:25">
      <c r="A674" s="49"/>
      <c r="B674" s="105">
        <v>1001075</v>
      </c>
      <c r="C674" s="212" t="s">
        <v>1057</v>
      </c>
      <c r="D674" s="212" t="s">
        <v>1058</v>
      </c>
      <c r="E674" s="84"/>
      <c r="F674" s="84"/>
      <c r="G674" s="49">
        <v>6</v>
      </c>
      <c r="H674" s="49">
        <v>5</v>
      </c>
      <c r="I674" s="91">
        <v>0</v>
      </c>
      <c r="J674" s="49"/>
      <c r="K674" s="17"/>
      <c r="L674" s="17"/>
      <c r="M674" s="49">
        <v>3</v>
      </c>
      <c r="N674" s="49">
        <v>1</v>
      </c>
      <c r="O674" s="49">
        <v>0</v>
      </c>
      <c r="P674" s="49">
        <v>0</v>
      </c>
      <c r="Q674" s="49">
        <v>0</v>
      </c>
      <c r="R674" s="49"/>
      <c r="S674" s="49">
        <v>0</v>
      </c>
      <c r="T674" s="42"/>
      <c r="Y674" s="112"/>
    </row>
    <row r="675" spans="1:25">
      <c r="A675" s="49"/>
      <c r="B675" s="105">
        <v>1001085</v>
      </c>
      <c r="C675" s="212" t="s">
        <v>1059</v>
      </c>
      <c r="D675" s="212" t="s">
        <v>1060</v>
      </c>
      <c r="E675" s="84"/>
      <c r="F675" s="84"/>
      <c r="G675" s="49">
        <v>6</v>
      </c>
      <c r="H675" s="49">
        <v>5</v>
      </c>
      <c r="I675" s="91">
        <v>0</v>
      </c>
      <c r="J675" s="49"/>
      <c r="K675" s="17"/>
      <c r="L675" s="17"/>
      <c r="M675" s="49">
        <v>3</v>
      </c>
      <c r="N675" s="49">
        <v>1</v>
      </c>
      <c r="O675" s="49">
        <v>0</v>
      </c>
      <c r="P675" s="49">
        <v>0</v>
      </c>
      <c r="Q675" s="49">
        <v>0</v>
      </c>
      <c r="R675" s="49"/>
      <c r="S675" s="49">
        <v>0</v>
      </c>
      <c r="T675" s="42"/>
      <c r="Y675" s="112"/>
    </row>
    <row r="676" spans="1:25">
      <c r="A676" s="49"/>
      <c r="B676" s="105">
        <v>1001095</v>
      </c>
      <c r="C676" s="212" t="s">
        <v>1061</v>
      </c>
      <c r="D676" s="212" t="s">
        <v>1062</v>
      </c>
      <c r="E676" s="84"/>
      <c r="F676" s="84"/>
      <c r="G676" s="49">
        <v>6</v>
      </c>
      <c r="H676" s="49">
        <v>5</v>
      </c>
      <c r="I676" s="91">
        <v>0</v>
      </c>
      <c r="J676" s="49"/>
      <c r="K676" s="17"/>
      <c r="L676" s="17"/>
      <c r="M676" s="49">
        <v>3</v>
      </c>
      <c r="N676" s="49">
        <v>1</v>
      </c>
      <c r="O676" s="49">
        <v>0</v>
      </c>
      <c r="P676" s="49">
        <v>0</v>
      </c>
      <c r="Q676" s="49">
        <v>0</v>
      </c>
      <c r="R676" s="49"/>
      <c r="S676" s="49">
        <v>0</v>
      </c>
      <c r="T676" s="42"/>
      <c r="Y676" s="112"/>
    </row>
    <row r="677" spans="1:25">
      <c r="A677" s="49"/>
      <c r="B677" s="105">
        <v>1001105</v>
      </c>
      <c r="C677" s="212" t="s">
        <v>1063</v>
      </c>
      <c r="D677" s="212" t="s">
        <v>1064</v>
      </c>
      <c r="E677" s="84"/>
      <c r="F677" s="84"/>
      <c r="G677" s="49">
        <v>6</v>
      </c>
      <c r="H677" s="49">
        <v>5</v>
      </c>
      <c r="I677" s="91">
        <v>0</v>
      </c>
      <c r="J677" s="49"/>
      <c r="K677" s="17"/>
      <c r="L677" s="17"/>
      <c r="M677" s="49">
        <v>3</v>
      </c>
      <c r="N677" s="49">
        <v>1</v>
      </c>
      <c r="O677" s="49">
        <v>0</v>
      </c>
      <c r="P677" s="49">
        <v>0</v>
      </c>
      <c r="Q677" s="49">
        <v>0</v>
      </c>
      <c r="R677" s="49"/>
      <c r="S677" s="49">
        <v>0</v>
      </c>
      <c r="T677" s="42"/>
      <c r="Y677" s="112"/>
    </row>
    <row r="678" spans="1:25">
      <c r="A678" s="49"/>
      <c r="B678" s="105">
        <v>1001115</v>
      </c>
      <c r="C678" s="212" t="s">
        <v>1065</v>
      </c>
      <c r="D678" s="212" t="s">
        <v>1066</v>
      </c>
      <c r="E678" s="84"/>
      <c r="F678" s="84"/>
      <c r="G678" s="49">
        <v>6</v>
      </c>
      <c r="H678" s="49">
        <v>5</v>
      </c>
      <c r="I678" s="91">
        <v>0</v>
      </c>
      <c r="J678" s="49"/>
      <c r="K678" s="17"/>
      <c r="L678" s="17"/>
      <c r="M678" s="49">
        <v>3</v>
      </c>
      <c r="N678" s="49">
        <v>1</v>
      </c>
      <c r="O678" s="49">
        <v>0</v>
      </c>
      <c r="P678" s="49">
        <v>0</v>
      </c>
      <c r="Q678" s="49">
        <v>0</v>
      </c>
      <c r="R678" s="49"/>
      <c r="S678" s="49">
        <v>0</v>
      </c>
      <c r="T678" s="42"/>
      <c r="Y678" s="112"/>
    </row>
    <row r="679" spans="1:25">
      <c r="A679" s="49"/>
      <c r="B679" s="105">
        <v>1001135</v>
      </c>
      <c r="C679" s="212" t="s">
        <v>1067</v>
      </c>
      <c r="D679" s="212" t="s">
        <v>1068</v>
      </c>
      <c r="E679" s="84"/>
      <c r="F679" s="84"/>
      <c r="G679" s="49">
        <v>6</v>
      </c>
      <c r="H679" s="49">
        <v>5</v>
      </c>
      <c r="I679" s="91">
        <v>0</v>
      </c>
      <c r="J679" s="49"/>
      <c r="K679" s="17"/>
      <c r="L679" s="17"/>
      <c r="M679" s="49">
        <v>3</v>
      </c>
      <c r="N679" s="49">
        <v>1</v>
      </c>
      <c r="O679" s="49">
        <v>0</v>
      </c>
      <c r="P679" s="49">
        <v>0</v>
      </c>
      <c r="Q679" s="49">
        <v>0</v>
      </c>
      <c r="R679" s="49"/>
      <c r="S679" s="49">
        <v>0</v>
      </c>
      <c r="T679" s="42"/>
      <c r="Y679" s="112"/>
    </row>
    <row r="680" spans="1:25">
      <c r="A680" s="49"/>
      <c r="B680" s="105">
        <v>1001145</v>
      </c>
      <c r="C680" s="212" t="s">
        <v>1069</v>
      </c>
      <c r="D680" s="212" t="s">
        <v>1070</v>
      </c>
      <c r="E680" s="84"/>
      <c r="F680" s="84"/>
      <c r="G680" s="49">
        <v>6</v>
      </c>
      <c r="H680" s="49">
        <v>5</v>
      </c>
      <c r="I680" s="91">
        <v>0</v>
      </c>
      <c r="J680" s="49"/>
      <c r="K680" s="17"/>
      <c r="L680" s="17"/>
      <c r="M680" s="49">
        <v>3</v>
      </c>
      <c r="N680" s="49">
        <v>1</v>
      </c>
      <c r="O680" s="49">
        <v>0</v>
      </c>
      <c r="P680" s="49">
        <v>0</v>
      </c>
      <c r="Q680" s="49">
        <v>0</v>
      </c>
      <c r="R680" s="49"/>
      <c r="S680" s="49">
        <v>0</v>
      </c>
      <c r="T680" s="42"/>
      <c r="Y680" s="112"/>
    </row>
    <row r="681" spans="1:25">
      <c r="A681" s="49"/>
      <c r="B681" s="105">
        <v>1001155</v>
      </c>
      <c r="C681" s="212" t="s">
        <v>1071</v>
      </c>
      <c r="D681" s="212" t="s">
        <v>1072</v>
      </c>
      <c r="E681" s="84"/>
      <c r="F681" s="84"/>
      <c r="G681" s="49">
        <v>6</v>
      </c>
      <c r="H681" s="49">
        <v>5</v>
      </c>
      <c r="I681" s="91">
        <v>0</v>
      </c>
      <c r="J681" s="49"/>
      <c r="K681" s="17"/>
      <c r="L681" s="17"/>
      <c r="M681" s="49">
        <v>3</v>
      </c>
      <c r="N681" s="49">
        <v>1</v>
      </c>
      <c r="O681" s="49">
        <v>0</v>
      </c>
      <c r="P681" s="49">
        <v>0</v>
      </c>
      <c r="Q681" s="49">
        <v>0</v>
      </c>
      <c r="R681" s="49"/>
      <c r="S681" s="49">
        <v>0</v>
      </c>
      <c r="T681" s="42"/>
      <c r="Y681" s="112"/>
    </row>
    <row r="682" spans="1:25">
      <c r="A682" s="87" t="s">
        <v>48</v>
      </c>
      <c r="B682" s="88" t="s">
        <v>1073</v>
      </c>
      <c r="C682" s="87"/>
      <c r="D682" s="87"/>
      <c r="E682" s="89"/>
      <c r="F682" s="89"/>
      <c r="G682" s="87"/>
      <c r="H682" s="87"/>
      <c r="I682" s="95"/>
      <c r="J682" s="88"/>
      <c r="K682" s="17"/>
      <c r="L682" s="17"/>
      <c r="M682" s="87"/>
      <c r="N682" s="87"/>
      <c r="O682" s="87"/>
      <c r="P682" s="87"/>
      <c r="Q682" s="87"/>
      <c r="R682" s="87"/>
      <c r="S682" s="87"/>
      <c r="T682" s="98"/>
    </row>
    <row r="683" spans="1:25">
      <c r="A683" s="49"/>
      <c r="B683" s="55">
        <v>10041</v>
      </c>
      <c r="C683" s="49" t="s">
        <v>1074</v>
      </c>
      <c r="D683" s="49" t="s">
        <v>1075</v>
      </c>
      <c r="E683" s="84" t="s">
        <v>1076</v>
      </c>
      <c r="F683" s="84" t="s">
        <v>1076</v>
      </c>
      <c r="G683" s="49">
        <v>4</v>
      </c>
      <c r="H683" s="49">
        <v>6</v>
      </c>
      <c r="I683" s="49"/>
      <c r="J683" s="55"/>
      <c r="K683" s="17"/>
      <c r="L683" s="17"/>
      <c r="M683" s="49">
        <v>4</v>
      </c>
      <c r="N683" s="49">
        <v>9999</v>
      </c>
      <c r="O683" s="54">
        <v>0</v>
      </c>
      <c r="P683" s="54">
        <v>0</v>
      </c>
      <c r="Q683" s="54">
        <v>1</v>
      </c>
      <c r="R683" s="54">
        <v>2</v>
      </c>
      <c r="S683" s="54">
        <v>500</v>
      </c>
      <c r="T683" s="70">
        <v>1</v>
      </c>
      <c r="U683" s="44" t="s">
        <v>1077</v>
      </c>
    </row>
    <row r="684" spans="1:25">
      <c r="A684" s="49"/>
      <c r="B684" s="55">
        <v>10042</v>
      </c>
      <c r="C684" s="49" t="s">
        <v>1078</v>
      </c>
      <c r="D684" s="49" t="s">
        <v>1079</v>
      </c>
      <c r="E684" s="143" t="s">
        <v>1080</v>
      </c>
      <c r="F684" s="143" t="s">
        <v>1080</v>
      </c>
      <c r="G684" s="49">
        <v>4</v>
      </c>
      <c r="H684" s="49">
        <v>6</v>
      </c>
      <c r="I684" s="49"/>
      <c r="J684" s="55"/>
      <c r="K684" s="17"/>
      <c r="L684" s="17"/>
      <c r="M684" s="49">
        <v>1</v>
      </c>
      <c r="N684" s="49">
        <v>9999</v>
      </c>
      <c r="O684" s="54">
        <v>0</v>
      </c>
      <c r="P684" s="54">
        <v>0</v>
      </c>
      <c r="Q684" s="54">
        <v>1</v>
      </c>
      <c r="R684" s="54">
        <v>2</v>
      </c>
      <c r="S684" s="54">
        <v>200</v>
      </c>
      <c r="T684" s="70">
        <v>2</v>
      </c>
      <c r="U684" s="44">
        <v>1</v>
      </c>
    </row>
    <row r="685" spans="1:25">
      <c r="A685" s="49"/>
      <c r="B685" s="55">
        <v>10043</v>
      </c>
      <c r="C685" s="49" t="s">
        <v>1081</v>
      </c>
      <c r="D685" s="49" t="s">
        <v>1082</v>
      </c>
      <c r="E685" s="143" t="s">
        <v>1083</v>
      </c>
      <c r="F685" s="143" t="s">
        <v>1083</v>
      </c>
      <c r="G685" s="49">
        <v>4</v>
      </c>
      <c r="H685" s="49">
        <v>6</v>
      </c>
      <c r="I685" s="49"/>
      <c r="J685" s="55"/>
      <c r="K685" s="17"/>
      <c r="L685" s="17"/>
      <c r="M685" s="49">
        <v>2</v>
      </c>
      <c r="N685" s="49">
        <v>9999</v>
      </c>
      <c r="O685" s="54">
        <v>0</v>
      </c>
      <c r="P685" s="54">
        <v>0</v>
      </c>
      <c r="Q685" s="54">
        <v>1</v>
      </c>
      <c r="R685" s="54">
        <v>2</v>
      </c>
      <c r="S685" s="54">
        <v>300</v>
      </c>
      <c r="T685" s="70">
        <v>2</v>
      </c>
      <c r="U685" s="44">
        <v>2</v>
      </c>
    </row>
    <row r="686" spans="1:25">
      <c r="A686" s="49"/>
      <c r="B686" s="55">
        <v>10044</v>
      </c>
      <c r="C686" s="49" t="s">
        <v>1084</v>
      </c>
      <c r="D686" s="49" t="s">
        <v>1085</v>
      </c>
      <c r="E686" s="143" t="s">
        <v>1086</v>
      </c>
      <c r="F686" s="143" t="s">
        <v>1086</v>
      </c>
      <c r="G686" s="49">
        <v>4</v>
      </c>
      <c r="H686" s="49">
        <v>6</v>
      </c>
      <c r="I686" s="49"/>
      <c r="J686" s="55"/>
      <c r="K686" s="17"/>
      <c r="L686" s="17"/>
      <c r="M686" s="49">
        <v>3</v>
      </c>
      <c r="N686" s="49">
        <v>9999</v>
      </c>
      <c r="O686" s="54">
        <v>0</v>
      </c>
      <c r="P686" s="54">
        <v>0</v>
      </c>
      <c r="Q686" s="54">
        <v>1</v>
      </c>
      <c r="R686" s="54">
        <v>2</v>
      </c>
      <c r="S686" s="54">
        <v>400</v>
      </c>
      <c r="T686" s="70">
        <v>2</v>
      </c>
      <c r="U686" s="44">
        <v>3</v>
      </c>
    </row>
    <row r="687" spans="1:25">
      <c r="A687" s="49"/>
      <c r="B687" s="55">
        <v>10045</v>
      </c>
      <c r="C687" s="49" t="s">
        <v>1087</v>
      </c>
      <c r="D687" s="49" t="s">
        <v>1088</v>
      </c>
      <c r="E687" s="143" t="s">
        <v>1089</v>
      </c>
      <c r="F687" s="143" t="s">
        <v>1089</v>
      </c>
      <c r="G687" s="49">
        <v>4</v>
      </c>
      <c r="H687" s="49">
        <v>6</v>
      </c>
      <c r="I687" s="49"/>
      <c r="J687" s="55"/>
      <c r="K687" s="17"/>
      <c r="L687" s="17"/>
      <c r="M687" s="49">
        <v>4</v>
      </c>
      <c r="N687" s="49">
        <v>9999</v>
      </c>
      <c r="O687" s="54">
        <v>0</v>
      </c>
      <c r="P687" s="54">
        <v>0</v>
      </c>
      <c r="Q687" s="54">
        <v>1</v>
      </c>
      <c r="R687" s="54">
        <v>2</v>
      </c>
      <c r="S687" s="54">
        <v>500</v>
      </c>
      <c r="T687" s="70">
        <v>2</v>
      </c>
      <c r="U687" s="44">
        <v>4</v>
      </c>
    </row>
    <row r="688" spans="1:25">
      <c r="A688" s="49"/>
      <c r="B688" s="55">
        <v>10046</v>
      </c>
      <c r="C688" s="49" t="s">
        <v>1090</v>
      </c>
      <c r="D688" s="49" t="s">
        <v>1091</v>
      </c>
      <c r="E688" s="143" t="s">
        <v>1092</v>
      </c>
      <c r="F688" s="143" t="s">
        <v>1092</v>
      </c>
      <c r="G688" s="49">
        <v>4</v>
      </c>
      <c r="H688" s="49">
        <v>6</v>
      </c>
      <c r="I688" s="49"/>
      <c r="J688" s="55"/>
      <c r="K688" s="17"/>
      <c r="L688" s="17"/>
      <c r="M688" s="49">
        <v>5</v>
      </c>
      <c r="N688" s="49">
        <v>9999</v>
      </c>
      <c r="O688" s="54">
        <v>0</v>
      </c>
      <c r="P688" s="54">
        <v>0</v>
      </c>
      <c r="Q688" s="54">
        <v>1</v>
      </c>
      <c r="R688" s="54">
        <v>2</v>
      </c>
      <c r="S688" s="54">
        <v>600</v>
      </c>
      <c r="T688" s="70"/>
    </row>
    <row r="689" spans="1:22">
      <c r="A689" s="49"/>
      <c r="B689" s="55">
        <v>10051</v>
      </c>
      <c r="C689" s="48" t="s">
        <v>1093</v>
      </c>
      <c r="D689" s="48" t="s">
        <v>103</v>
      </c>
      <c r="E689" s="84" t="s">
        <v>1094</v>
      </c>
      <c r="F689" s="84" t="s">
        <v>1094</v>
      </c>
      <c r="G689" s="49">
        <v>3</v>
      </c>
      <c r="H689" s="49">
        <v>1</v>
      </c>
      <c r="I689" s="49"/>
      <c r="J689" s="55"/>
      <c r="K689" s="17"/>
      <c r="L689" s="17"/>
      <c r="M689" s="49">
        <v>4</v>
      </c>
      <c r="N689" s="49">
        <v>9999</v>
      </c>
      <c r="O689" s="54">
        <v>0</v>
      </c>
      <c r="P689" s="54">
        <v>0</v>
      </c>
      <c r="Q689" s="54">
        <v>1</v>
      </c>
      <c r="R689" s="54">
        <v>2</v>
      </c>
      <c r="S689" s="150">
        <v>700</v>
      </c>
      <c r="T689" s="151">
        <v>1</v>
      </c>
      <c r="U689" s="44" t="s">
        <v>1095</v>
      </c>
      <c r="V689" s="44" t="s">
        <v>1096</v>
      </c>
    </row>
    <row r="690" spans="1:22">
      <c r="A690" s="49"/>
      <c r="B690" s="55">
        <v>10052</v>
      </c>
      <c r="C690" s="48" t="s">
        <v>1097</v>
      </c>
      <c r="D690" s="48" t="s">
        <v>145</v>
      </c>
      <c r="E690" s="84" t="s">
        <v>1098</v>
      </c>
      <c r="F690" s="84" t="s">
        <v>1098</v>
      </c>
      <c r="G690" s="49">
        <v>3</v>
      </c>
      <c r="H690" s="49">
        <v>1</v>
      </c>
      <c r="I690" s="49"/>
      <c r="J690" s="55"/>
      <c r="K690" s="17"/>
      <c r="L690" s="17"/>
      <c r="M690" s="49">
        <v>4</v>
      </c>
      <c r="N690" s="49">
        <v>9999</v>
      </c>
      <c r="O690" s="54">
        <v>0</v>
      </c>
      <c r="P690" s="54">
        <v>0</v>
      </c>
      <c r="Q690" s="54">
        <v>1</v>
      </c>
      <c r="R690" s="54">
        <v>2</v>
      </c>
      <c r="S690" s="150">
        <v>700</v>
      </c>
      <c r="T690" s="151">
        <v>1</v>
      </c>
      <c r="U690" s="44" t="s">
        <v>1099</v>
      </c>
      <c r="V690" s="44" t="s">
        <v>1096</v>
      </c>
    </row>
    <row r="691" spans="1:22">
      <c r="A691" s="49"/>
      <c r="B691" s="55">
        <v>10053</v>
      </c>
      <c r="C691" s="49" t="s">
        <v>1100</v>
      </c>
      <c r="D691" s="48" t="s">
        <v>109</v>
      </c>
      <c r="E691" s="84" t="s">
        <v>1101</v>
      </c>
      <c r="F691" s="84" t="s">
        <v>1101</v>
      </c>
      <c r="G691" s="49">
        <v>3</v>
      </c>
      <c r="H691" s="49">
        <v>1</v>
      </c>
      <c r="I691" s="49"/>
      <c r="J691" s="55"/>
      <c r="K691" s="17"/>
      <c r="L691" s="17"/>
      <c r="M691" s="49">
        <v>4</v>
      </c>
      <c r="N691" s="49">
        <v>9999</v>
      </c>
      <c r="O691" s="54">
        <v>0</v>
      </c>
      <c r="P691" s="54">
        <v>0</v>
      </c>
      <c r="Q691" s="54">
        <v>1</v>
      </c>
      <c r="R691" s="54">
        <v>2</v>
      </c>
      <c r="S691" s="150">
        <v>700</v>
      </c>
      <c r="T691" s="151">
        <v>1</v>
      </c>
      <c r="U691" s="44" t="s">
        <v>1102</v>
      </c>
      <c r="V691" s="44" t="s">
        <v>1096</v>
      </c>
    </row>
    <row r="692" spans="1:22">
      <c r="A692" s="49"/>
      <c r="B692" s="55">
        <v>10054</v>
      </c>
      <c r="C692" s="144" t="s">
        <v>1103</v>
      </c>
      <c r="D692" s="144" t="s">
        <v>174</v>
      </c>
      <c r="E692" s="75" t="s">
        <v>1104</v>
      </c>
      <c r="F692" s="75" t="s">
        <v>1104</v>
      </c>
      <c r="G692" s="49">
        <v>3</v>
      </c>
      <c r="H692" s="49">
        <v>1</v>
      </c>
      <c r="I692" s="49"/>
      <c r="J692" s="55"/>
      <c r="K692" s="17"/>
      <c r="L692" s="17"/>
      <c r="M692" s="49">
        <v>4</v>
      </c>
      <c r="N692" s="49">
        <v>9999</v>
      </c>
      <c r="O692" s="54">
        <v>0</v>
      </c>
      <c r="P692" s="54">
        <v>0</v>
      </c>
      <c r="Q692" s="54">
        <v>1</v>
      </c>
      <c r="R692" s="54">
        <v>2</v>
      </c>
      <c r="S692" s="150">
        <v>700</v>
      </c>
      <c r="T692" s="151"/>
      <c r="V692" s="44" t="s">
        <v>1096</v>
      </c>
    </row>
    <row r="693" spans="1:22">
      <c r="A693" s="49"/>
      <c r="B693" s="55">
        <v>10055</v>
      </c>
      <c r="C693" s="54" t="s">
        <v>1105</v>
      </c>
      <c r="D693" s="54" t="s">
        <v>177</v>
      </c>
      <c r="E693" s="84" t="s">
        <v>1106</v>
      </c>
      <c r="F693" s="84" t="s">
        <v>1106</v>
      </c>
      <c r="G693" s="49">
        <v>3</v>
      </c>
      <c r="H693" s="49">
        <v>1</v>
      </c>
      <c r="I693" s="49"/>
      <c r="J693" s="55"/>
      <c r="K693" s="17"/>
      <c r="L693" s="17"/>
      <c r="M693" s="49">
        <v>4</v>
      </c>
      <c r="N693" s="49">
        <v>9999</v>
      </c>
      <c r="O693" s="54">
        <v>0</v>
      </c>
      <c r="P693" s="54">
        <v>0</v>
      </c>
      <c r="Q693" s="54">
        <v>1</v>
      </c>
      <c r="R693" s="54">
        <v>2</v>
      </c>
      <c r="S693" s="150">
        <v>700</v>
      </c>
      <c r="T693" s="151">
        <v>1</v>
      </c>
      <c r="U693" s="44" t="s">
        <v>1107</v>
      </c>
      <c r="V693" s="44" t="s">
        <v>1096</v>
      </c>
    </row>
    <row r="694" spans="1:22">
      <c r="A694" s="49"/>
      <c r="B694" s="55">
        <v>10056</v>
      </c>
      <c r="C694" s="54" t="s">
        <v>1108</v>
      </c>
      <c r="D694" s="54" t="s">
        <v>113</v>
      </c>
      <c r="E694" s="75" t="s">
        <v>1109</v>
      </c>
      <c r="F694" s="75" t="s">
        <v>1109</v>
      </c>
      <c r="G694" s="49">
        <v>3</v>
      </c>
      <c r="H694" s="49">
        <v>1</v>
      </c>
      <c r="I694" s="49"/>
      <c r="J694" s="55"/>
      <c r="K694" s="17"/>
      <c r="L694" s="17"/>
      <c r="M694" s="49">
        <v>4</v>
      </c>
      <c r="N694" s="49">
        <v>9999</v>
      </c>
      <c r="O694" s="54">
        <v>0</v>
      </c>
      <c r="P694" s="54">
        <v>0</v>
      </c>
      <c r="Q694" s="54">
        <v>1</v>
      </c>
      <c r="R694" s="54">
        <v>2</v>
      </c>
      <c r="S694" s="150">
        <v>700</v>
      </c>
      <c r="T694" s="151"/>
      <c r="V694" s="44" t="s">
        <v>1096</v>
      </c>
    </row>
    <row r="695" spans="1:22">
      <c r="A695" s="49"/>
      <c r="B695" s="55">
        <v>10057</v>
      </c>
      <c r="C695" s="54" t="s">
        <v>1110</v>
      </c>
      <c r="D695" s="54" t="s">
        <v>147</v>
      </c>
      <c r="E695" s="84" t="s">
        <v>1111</v>
      </c>
      <c r="F695" s="84" t="s">
        <v>1111</v>
      </c>
      <c r="G695" s="49">
        <v>3</v>
      </c>
      <c r="H695" s="49">
        <v>1</v>
      </c>
      <c r="I695" s="49"/>
      <c r="J695" s="55"/>
      <c r="K695" s="17"/>
      <c r="L695" s="17"/>
      <c r="M695" s="49">
        <v>4</v>
      </c>
      <c r="N695" s="49">
        <v>9999</v>
      </c>
      <c r="O695" s="54">
        <v>0</v>
      </c>
      <c r="P695" s="54">
        <v>0</v>
      </c>
      <c r="Q695" s="54">
        <v>1</v>
      </c>
      <c r="R695" s="54">
        <v>2</v>
      </c>
      <c r="S695" s="150">
        <v>450</v>
      </c>
      <c r="T695" s="151">
        <v>1</v>
      </c>
      <c r="U695" s="44" t="s">
        <v>1112</v>
      </c>
      <c r="V695" s="44" t="s">
        <v>1096</v>
      </c>
    </row>
    <row r="696" spans="1:22">
      <c r="A696" s="49"/>
      <c r="B696" s="55">
        <v>10058</v>
      </c>
      <c r="C696" s="144" t="s">
        <v>1113</v>
      </c>
      <c r="D696" s="54" t="s">
        <v>137</v>
      </c>
      <c r="E696" s="75" t="s">
        <v>1114</v>
      </c>
      <c r="F696" s="75" t="s">
        <v>1114</v>
      </c>
      <c r="G696" s="49">
        <v>3</v>
      </c>
      <c r="H696" s="49">
        <v>1</v>
      </c>
      <c r="I696" s="49"/>
      <c r="J696" s="55"/>
      <c r="K696" s="17"/>
      <c r="L696" s="17"/>
      <c r="M696" s="49">
        <v>4</v>
      </c>
      <c r="N696" s="49">
        <v>9999</v>
      </c>
      <c r="O696" s="54">
        <v>0</v>
      </c>
      <c r="P696" s="54">
        <v>0</v>
      </c>
      <c r="Q696" s="54">
        <v>1</v>
      </c>
      <c r="R696" s="54">
        <v>2</v>
      </c>
      <c r="S696" s="150">
        <v>450</v>
      </c>
      <c r="T696" s="151"/>
      <c r="V696" s="44" t="s">
        <v>1096</v>
      </c>
    </row>
    <row r="697" spans="1:22">
      <c r="A697" s="49"/>
      <c r="B697" s="55">
        <v>10059</v>
      </c>
      <c r="C697" s="54" t="s">
        <v>1115</v>
      </c>
      <c r="D697" s="54" t="s">
        <v>128</v>
      </c>
      <c r="E697" s="75" t="s">
        <v>1116</v>
      </c>
      <c r="F697" s="75" t="s">
        <v>1116</v>
      </c>
      <c r="G697" s="49">
        <v>3</v>
      </c>
      <c r="H697" s="49">
        <v>1</v>
      </c>
      <c r="I697" s="49"/>
      <c r="J697" s="55"/>
      <c r="K697" s="17"/>
      <c r="L697" s="17"/>
      <c r="M697" s="49">
        <v>4</v>
      </c>
      <c r="N697" s="49">
        <v>9999</v>
      </c>
      <c r="O697" s="54">
        <v>0</v>
      </c>
      <c r="P697" s="54">
        <v>0</v>
      </c>
      <c r="Q697" s="54">
        <v>1</v>
      </c>
      <c r="R697" s="54">
        <v>2</v>
      </c>
      <c r="S697" s="150">
        <v>450</v>
      </c>
      <c r="T697" s="151"/>
      <c r="V697" s="44" t="s">
        <v>1096</v>
      </c>
    </row>
    <row r="698" spans="1:22">
      <c r="A698" s="49"/>
      <c r="B698" s="55">
        <v>10060</v>
      </c>
      <c r="C698" s="144" t="s">
        <v>1117</v>
      </c>
      <c r="D698" s="54" t="s">
        <v>122</v>
      </c>
      <c r="E698" s="84" t="s">
        <v>1118</v>
      </c>
      <c r="F698" s="84" t="s">
        <v>1118</v>
      </c>
      <c r="G698" s="49">
        <v>3</v>
      </c>
      <c r="H698" s="49">
        <v>1</v>
      </c>
      <c r="I698" s="49"/>
      <c r="J698" s="55"/>
      <c r="K698" s="17"/>
      <c r="L698" s="17"/>
      <c r="M698" s="49">
        <v>4</v>
      </c>
      <c r="N698" s="49">
        <v>9999</v>
      </c>
      <c r="O698" s="54">
        <v>0</v>
      </c>
      <c r="P698" s="54">
        <v>0</v>
      </c>
      <c r="Q698" s="54">
        <v>1</v>
      </c>
      <c r="R698" s="54">
        <v>2</v>
      </c>
      <c r="S698" s="150">
        <v>200</v>
      </c>
      <c r="T698" s="151">
        <v>1</v>
      </c>
      <c r="U698" s="44" t="s">
        <v>1119</v>
      </c>
      <c r="V698" s="44" t="s">
        <v>1096</v>
      </c>
    </row>
    <row r="699" spans="1:22">
      <c r="A699" s="49"/>
      <c r="B699" s="55">
        <v>10061</v>
      </c>
      <c r="C699" s="144" t="s">
        <v>1120</v>
      </c>
      <c r="D699" s="54" t="s">
        <v>125</v>
      </c>
      <c r="E699" s="75" t="s">
        <v>1121</v>
      </c>
      <c r="F699" s="75" t="s">
        <v>1121</v>
      </c>
      <c r="G699" s="49">
        <v>3</v>
      </c>
      <c r="H699" s="49">
        <v>1</v>
      </c>
      <c r="I699" s="49"/>
      <c r="J699" s="55"/>
      <c r="K699" s="17"/>
      <c r="L699" s="17"/>
      <c r="M699" s="49">
        <v>4</v>
      </c>
      <c r="N699" s="49">
        <v>9999</v>
      </c>
      <c r="O699" s="54">
        <v>0</v>
      </c>
      <c r="P699" s="54">
        <v>0</v>
      </c>
      <c r="Q699" s="54">
        <v>1</v>
      </c>
      <c r="R699" s="54">
        <v>2</v>
      </c>
      <c r="S699" s="150">
        <v>450</v>
      </c>
      <c r="T699" s="151"/>
      <c r="V699" s="44" t="s">
        <v>1096</v>
      </c>
    </row>
    <row r="700" spans="1:22" ht="17.25" customHeight="1">
      <c r="A700" s="49"/>
      <c r="B700" s="55">
        <v>10062</v>
      </c>
      <c r="C700" s="55" t="s">
        <v>1122</v>
      </c>
      <c r="D700" s="54" t="s">
        <v>116</v>
      </c>
      <c r="E700" s="84" t="s">
        <v>1123</v>
      </c>
      <c r="F700" s="84" t="s">
        <v>1124</v>
      </c>
      <c r="G700" s="49">
        <v>3</v>
      </c>
      <c r="H700" s="49">
        <v>1</v>
      </c>
      <c r="I700" s="49"/>
      <c r="J700" s="55"/>
      <c r="K700" s="17"/>
      <c r="L700" s="17"/>
      <c r="M700" s="49">
        <v>4</v>
      </c>
      <c r="N700" s="49">
        <v>9999</v>
      </c>
      <c r="O700" s="54">
        <v>0</v>
      </c>
      <c r="P700" s="54">
        <v>0</v>
      </c>
      <c r="Q700" s="54">
        <v>1</v>
      </c>
      <c r="R700" s="54">
        <v>2</v>
      </c>
      <c r="S700" s="150">
        <v>450</v>
      </c>
      <c r="T700" s="151">
        <v>1</v>
      </c>
      <c r="U700" s="44" t="s">
        <v>1125</v>
      </c>
      <c r="V700" s="44" t="s">
        <v>1096</v>
      </c>
    </row>
    <row r="701" spans="1:22">
      <c r="A701" s="49"/>
      <c r="B701" s="55">
        <v>10063</v>
      </c>
      <c r="C701" s="54" t="s">
        <v>1126</v>
      </c>
      <c r="D701" s="54" t="s">
        <v>100</v>
      </c>
      <c r="E701" s="84" t="s">
        <v>1127</v>
      </c>
      <c r="F701" s="84" t="s">
        <v>1127</v>
      </c>
      <c r="G701" s="49">
        <v>3</v>
      </c>
      <c r="H701" s="49">
        <v>1</v>
      </c>
      <c r="I701" s="49"/>
      <c r="J701" s="55"/>
      <c r="K701" s="17"/>
      <c r="L701" s="17"/>
      <c r="M701" s="49">
        <v>4</v>
      </c>
      <c r="N701" s="49">
        <v>9999</v>
      </c>
      <c r="O701" s="54">
        <v>0</v>
      </c>
      <c r="P701" s="54">
        <v>0</v>
      </c>
      <c r="Q701" s="54">
        <v>1</v>
      </c>
      <c r="R701" s="54">
        <v>2</v>
      </c>
      <c r="S701" s="150">
        <v>200</v>
      </c>
      <c r="T701" s="151">
        <v>1</v>
      </c>
      <c r="U701" s="44" t="s">
        <v>1128</v>
      </c>
      <c r="V701" s="44" t="s">
        <v>1096</v>
      </c>
    </row>
    <row r="702" spans="1:22">
      <c r="A702" s="49"/>
      <c r="B702" s="55">
        <v>10064</v>
      </c>
      <c r="C702" s="54" t="s">
        <v>1129</v>
      </c>
      <c r="D702" s="54" t="s">
        <v>140</v>
      </c>
      <c r="E702" s="84" t="s">
        <v>1130</v>
      </c>
      <c r="F702" s="84" t="s">
        <v>1130</v>
      </c>
      <c r="G702" s="49">
        <v>3</v>
      </c>
      <c r="H702" s="49">
        <v>1</v>
      </c>
      <c r="I702" s="49"/>
      <c r="J702" s="55"/>
      <c r="K702" s="17"/>
      <c r="L702" s="17"/>
      <c r="M702" s="49">
        <v>4</v>
      </c>
      <c r="N702" s="49">
        <v>9999</v>
      </c>
      <c r="O702" s="54">
        <v>0</v>
      </c>
      <c r="P702" s="54">
        <v>0</v>
      </c>
      <c r="Q702" s="54">
        <v>1</v>
      </c>
      <c r="R702" s="54">
        <v>2</v>
      </c>
      <c r="S702" s="150">
        <v>450</v>
      </c>
      <c r="T702" s="151">
        <v>1</v>
      </c>
      <c r="U702" s="44" t="s">
        <v>1131</v>
      </c>
      <c r="V702" s="44" t="s">
        <v>1096</v>
      </c>
    </row>
    <row r="703" spans="1:22">
      <c r="A703" s="49"/>
      <c r="B703" s="55">
        <v>10065</v>
      </c>
      <c r="C703" s="54" t="s">
        <v>1132</v>
      </c>
      <c r="D703" s="54" t="s">
        <v>134</v>
      </c>
      <c r="E703" s="84" t="s">
        <v>1133</v>
      </c>
      <c r="F703" s="84" t="s">
        <v>1133</v>
      </c>
      <c r="G703" s="49">
        <v>3</v>
      </c>
      <c r="H703" s="49">
        <v>1</v>
      </c>
      <c r="I703" s="49"/>
      <c r="J703" s="55"/>
      <c r="K703" s="17"/>
      <c r="L703" s="17"/>
      <c r="M703" s="49">
        <v>4</v>
      </c>
      <c r="N703" s="49">
        <v>9999</v>
      </c>
      <c r="O703" s="54">
        <v>0</v>
      </c>
      <c r="P703" s="54">
        <v>0</v>
      </c>
      <c r="Q703" s="54">
        <v>1</v>
      </c>
      <c r="R703" s="54">
        <v>2</v>
      </c>
      <c r="S703" s="150">
        <v>450</v>
      </c>
      <c r="T703" s="151">
        <v>1</v>
      </c>
      <c r="U703" s="44" t="s">
        <v>1134</v>
      </c>
      <c r="V703" s="44" t="s">
        <v>1096</v>
      </c>
    </row>
    <row r="704" spans="1:22">
      <c r="A704" s="49"/>
      <c r="B704" s="55">
        <v>10066</v>
      </c>
      <c r="C704" s="54" t="s">
        <v>1135</v>
      </c>
      <c r="D704" s="54" t="s">
        <v>189</v>
      </c>
      <c r="E704" s="145" t="s">
        <v>1136</v>
      </c>
      <c r="F704" s="145" t="s">
        <v>1136</v>
      </c>
      <c r="G704" s="49">
        <v>3</v>
      </c>
      <c r="H704" s="49">
        <v>1</v>
      </c>
      <c r="I704" s="49"/>
      <c r="J704" s="55"/>
      <c r="K704" s="17"/>
      <c r="L704" s="17"/>
      <c r="M704" s="49">
        <v>4</v>
      </c>
      <c r="N704" s="49">
        <v>9999</v>
      </c>
      <c r="O704" s="54">
        <v>0</v>
      </c>
      <c r="P704" s="54">
        <v>0</v>
      </c>
      <c r="Q704" s="54">
        <v>1</v>
      </c>
      <c r="R704" s="54">
        <v>2</v>
      </c>
      <c r="S704" s="150">
        <v>450</v>
      </c>
      <c r="T704" s="151"/>
      <c r="V704" s="44" t="s">
        <v>1096</v>
      </c>
    </row>
    <row r="705" spans="1:25">
      <c r="A705" s="49"/>
      <c r="B705" s="55">
        <v>10067</v>
      </c>
      <c r="C705" s="70" t="s">
        <v>1137</v>
      </c>
      <c r="D705" s="54" t="s">
        <v>165</v>
      </c>
      <c r="E705" s="84" t="s">
        <v>1138</v>
      </c>
      <c r="F705" s="84" t="s">
        <v>1138</v>
      </c>
      <c r="G705" s="49">
        <v>3</v>
      </c>
      <c r="H705" s="49">
        <v>1</v>
      </c>
      <c r="I705" s="49"/>
      <c r="J705" s="43"/>
      <c r="K705" s="17"/>
      <c r="L705" s="17"/>
      <c r="M705" s="49">
        <v>4</v>
      </c>
      <c r="N705" s="49">
        <v>9999</v>
      </c>
      <c r="O705" s="54">
        <v>0</v>
      </c>
      <c r="P705" s="54">
        <v>0</v>
      </c>
      <c r="Q705" s="54">
        <v>1</v>
      </c>
      <c r="R705" s="54">
        <v>2</v>
      </c>
      <c r="S705" s="150">
        <v>450</v>
      </c>
      <c r="T705" s="151">
        <v>1</v>
      </c>
      <c r="U705" s="44" t="s">
        <v>1139</v>
      </c>
      <c r="V705" s="44" t="s">
        <v>1096</v>
      </c>
    </row>
    <row r="706" spans="1:25">
      <c r="A706" s="49"/>
      <c r="B706" s="55">
        <v>10068</v>
      </c>
      <c r="C706" s="70" t="s">
        <v>1140</v>
      </c>
      <c r="D706" s="54" t="s">
        <v>186</v>
      </c>
      <c r="E706" s="84" t="s">
        <v>1141</v>
      </c>
      <c r="F706" s="84" t="s">
        <v>1141</v>
      </c>
      <c r="G706" s="49">
        <v>3</v>
      </c>
      <c r="H706" s="49">
        <v>1</v>
      </c>
      <c r="I706" s="49"/>
      <c r="J706" s="43"/>
      <c r="K706" s="17"/>
      <c r="L706" s="17"/>
      <c r="M706" s="49">
        <v>4</v>
      </c>
      <c r="N706" s="49">
        <v>9999</v>
      </c>
      <c r="O706" s="54">
        <v>0</v>
      </c>
      <c r="P706" s="54">
        <v>0</v>
      </c>
      <c r="Q706" s="54">
        <v>1</v>
      </c>
      <c r="R706" s="54">
        <v>2</v>
      </c>
      <c r="S706" s="150">
        <v>450</v>
      </c>
      <c r="T706" s="151">
        <v>1</v>
      </c>
      <c r="U706" s="44" t="s">
        <v>1142</v>
      </c>
      <c r="V706" s="44" t="s">
        <v>1096</v>
      </c>
    </row>
    <row r="707" spans="1:25">
      <c r="A707" s="49"/>
      <c r="B707" s="55">
        <v>10069</v>
      </c>
      <c r="C707" s="70" t="s">
        <v>1143</v>
      </c>
      <c r="D707" s="54" t="s">
        <v>143</v>
      </c>
      <c r="E707" s="84" t="s">
        <v>1144</v>
      </c>
      <c r="F707" s="84" t="s">
        <v>1144</v>
      </c>
      <c r="G707" s="49">
        <v>3</v>
      </c>
      <c r="H707" s="49">
        <v>1</v>
      </c>
      <c r="I707" s="49"/>
      <c r="J707" s="43"/>
      <c r="K707" s="17"/>
      <c r="L707" s="17"/>
      <c r="M707" s="49">
        <v>4</v>
      </c>
      <c r="N707" s="49">
        <v>9999</v>
      </c>
      <c r="O707" s="54">
        <v>0</v>
      </c>
      <c r="P707" s="54">
        <v>0</v>
      </c>
      <c r="Q707" s="54">
        <v>1</v>
      </c>
      <c r="R707" s="54">
        <v>2</v>
      </c>
      <c r="S707" s="150">
        <v>450</v>
      </c>
      <c r="T707" s="151">
        <v>1</v>
      </c>
      <c r="U707" s="44" t="s">
        <v>1145</v>
      </c>
      <c r="V707" s="44" t="s">
        <v>1096</v>
      </c>
    </row>
    <row r="708" spans="1:25" s="41" customFormat="1">
      <c r="A708" s="49"/>
      <c r="B708" s="55">
        <v>10070</v>
      </c>
      <c r="C708" s="70" t="s">
        <v>1146</v>
      </c>
      <c r="D708" s="54" t="s">
        <v>131</v>
      </c>
      <c r="E708" s="84" t="s">
        <v>1147</v>
      </c>
      <c r="F708" s="84" t="s">
        <v>1147</v>
      </c>
      <c r="G708" s="49">
        <v>3</v>
      </c>
      <c r="H708" s="49">
        <v>1</v>
      </c>
      <c r="I708" s="49"/>
      <c r="J708" s="43"/>
      <c r="K708" s="17"/>
      <c r="L708" s="17"/>
      <c r="M708" s="49">
        <v>4</v>
      </c>
      <c r="N708" s="49">
        <v>9999</v>
      </c>
      <c r="O708" s="54">
        <v>0</v>
      </c>
      <c r="P708" s="54">
        <v>0</v>
      </c>
      <c r="Q708" s="54">
        <v>1</v>
      </c>
      <c r="R708" s="54">
        <v>2</v>
      </c>
      <c r="S708" s="150">
        <v>700</v>
      </c>
      <c r="T708" s="151"/>
      <c r="V708" s="44" t="s">
        <v>1096</v>
      </c>
    </row>
    <row r="709" spans="1:25">
      <c r="A709" s="49"/>
      <c r="B709" s="55">
        <v>10071</v>
      </c>
      <c r="C709" s="54" t="s">
        <v>1148</v>
      </c>
      <c r="D709" s="54" t="s">
        <v>106</v>
      </c>
      <c r="E709" s="84" t="s">
        <v>1149</v>
      </c>
      <c r="F709" s="84" t="s">
        <v>1149</v>
      </c>
      <c r="G709" s="49">
        <v>3</v>
      </c>
      <c r="H709" s="49">
        <v>1</v>
      </c>
      <c r="I709" s="49"/>
      <c r="J709" s="55"/>
      <c r="K709" s="17"/>
      <c r="L709" s="17"/>
      <c r="M709" s="49">
        <v>4</v>
      </c>
      <c r="N709" s="49">
        <v>9999</v>
      </c>
      <c r="O709" s="54">
        <v>0</v>
      </c>
      <c r="P709" s="54">
        <v>0</v>
      </c>
      <c r="Q709" s="54">
        <v>1</v>
      </c>
      <c r="R709" s="54">
        <v>2</v>
      </c>
      <c r="S709" s="150">
        <v>200</v>
      </c>
      <c r="T709" s="151"/>
      <c r="V709" s="44" t="s">
        <v>1096</v>
      </c>
    </row>
    <row r="710" spans="1:25">
      <c r="A710" s="49"/>
      <c r="B710" s="55">
        <v>10072</v>
      </c>
      <c r="C710" s="54" t="s">
        <v>1150</v>
      </c>
      <c r="D710" s="54" t="s">
        <v>150</v>
      </c>
      <c r="E710" s="84" t="s">
        <v>1151</v>
      </c>
      <c r="F710" s="84" t="s">
        <v>1151</v>
      </c>
      <c r="G710" s="49">
        <v>3</v>
      </c>
      <c r="H710" s="49">
        <v>1</v>
      </c>
      <c r="I710" s="49"/>
      <c r="J710" s="55"/>
      <c r="K710" s="17"/>
      <c r="L710" s="17"/>
      <c r="M710" s="49">
        <v>4</v>
      </c>
      <c r="N710" s="49">
        <v>9999</v>
      </c>
      <c r="O710" s="54">
        <v>0</v>
      </c>
      <c r="P710" s="54">
        <v>0</v>
      </c>
      <c r="Q710" s="54">
        <v>1</v>
      </c>
      <c r="R710" s="54">
        <v>2</v>
      </c>
      <c r="S710" s="150">
        <v>200</v>
      </c>
      <c r="T710" s="151"/>
      <c r="V710" s="44" t="s">
        <v>1096</v>
      </c>
    </row>
    <row r="711" spans="1:25">
      <c r="A711" s="49"/>
      <c r="B711" s="55">
        <v>10073</v>
      </c>
      <c r="C711" s="54" t="s">
        <v>1152</v>
      </c>
      <c r="D711" s="54" t="s">
        <v>119</v>
      </c>
      <c r="E711" s="84" t="s">
        <v>1153</v>
      </c>
      <c r="F711" s="84" t="s">
        <v>1153</v>
      </c>
      <c r="G711" s="49">
        <v>3</v>
      </c>
      <c r="H711" s="49">
        <v>1</v>
      </c>
      <c r="I711" s="49"/>
      <c r="J711" s="55"/>
      <c r="K711" s="17"/>
      <c r="L711" s="17"/>
      <c r="M711" s="49">
        <v>4</v>
      </c>
      <c r="N711" s="49">
        <v>9999</v>
      </c>
      <c r="O711" s="54">
        <v>0</v>
      </c>
      <c r="P711" s="54">
        <v>0</v>
      </c>
      <c r="Q711" s="54">
        <v>1</v>
      </c>
      <c r="R711" s="54">
        <v>2</v>
      </c>
      <c r="S711" s="150">
        <v>200</v>
      </c>
      <c r="T711" s="151"/>
      <c r="V711" s="44" t="s">
        <v>1096</v>
      </c>
    </row>
    <row r="712" spans="1:25" s="41" customFormat="1">
      <c r="A712" s="49"/>
      <c r="B712" s="55">
        <v>10074</v>
      </c>
      <c r="C712" s="70" t="s">
        <v>1154</v>
      </c>
      <c r="D712" s="54" t="s">
        <v>201</v>
      </c>
      <c r="E712" s="84" t="s">
        <v>1155</v>
      </c>
      <c r="F712" s="84" t="s">
        <v>1155</v>
      </c>
      <c r="G712" s="49">
        <v>3</v>
      </c>
      <c r="H712" s="49">
        <v>1</v>
      </c>
      <c r="I712" s="49"/>
      <c r="J712" s="43"/>
      <c r="K712" s="17"/>
      <c r="L712" s="17"/>
      <c r="M712" s="49">
        <v>4</v>
      </c>
      <c r="N712" s="49">
        <v>9999</v>
      </c>
      <c r="O712" s="54">
        <v>0</v>
      </c>
      <c r="P712" s="54">
        <v>0</v>
      </c>
      <c r="Q712" s="54">
        <v>1</v>
      </c>
      <c r="R712" s="54">
        <v>2</v>
      </c>
      <c r="S712" s="150">
        <v>200</v>
      </c>
      <c r="T712" s="151"/>
      <c r="V712" s="44" t="s">
        <v>1096</v>
      </c>
    </row>
    <row r="713" spans="1:25">
      <c r="A713" s="49"/>
      <c r="B713" s="55">
        <v>10075</v>
      </c>
      <c r="C713" s="54" t="s">
        <v>1156</v>
      </c>
      <c r="D713" s="54" t="s">
        <v>204</v>
      </c>
      <c r="E713" s="84" t="s">
        <v>4001</v>
      </c>
      <c r="F713" s="84" t="s">
        <v>4001</v>
      </c>
      <c r="G713" s="49">
        <v>3</v>
      </c>
      <c r="H713" s="49">
        <v>1</v>
      </c>
      <c r="I713" s="49"/>
      <c r="J713" s="55"/>
      <c r="K713" s="17"/>
      <c r="L713" s="17"/>
      <c r="M713" s="49">
        <v>4</v>
      </c>
      <c r="N713" s="49">
        <v>9999</v>
      </c>
      <c r="O713" s="54">
        <v>0</v>
      </c>
      <c r="P713" s="54">
        <v>0</v>
      </c>
      <c r="Q713" s="54">
        <v>1</v>
      </c>
      <c r="R713" s="54">
        <v>2</v>
      </c>
      <c r="S713" s="150">
        <v>200</v>
      </c>
      <c r="T713" s="151"/>
      <c r="V713" s="44" t="s">
        <v>1096</v>
      </c>
    </row>
    <row r="714" spans="1:25">
      <c r="A714" s="49"/>
      <c r="B714" s="55">
        <v>10076</v>
      </c>
      <c r="C714" s="54" t="s">
        <v>1157</v>
      </c>
      <c r="D714" s="54" t="s">
        <v>4164</v>
      </c>
      <c r="E714" s="84" t="s">
        <v>1158</v>
      </c>
      <c r="F714" s="84" t="s">
        <v>1158</v>
      </c>
      <c r="G714" s="49">
        <v>3</v>
      </c>
      <c r="H714" s="49">
        <v>1</v>
      </c>
      <c r="I714" s="49"/>
      <c r="J714" s="55"/>
      <c r="K714" s="17"/>
      <c r="L714" s="17"/>
      <c r="M714" s="49">
        <v>4</v>
      </c>
      <c r="N714" s="49">
        <v>9999</v>
      </c>
      <c r="O714" s="54">
        <v>0</v>
      </c>
      <c r="P714" s="54">
        <v>0</v>
      </c>
      <c r="Q714" s="54">
        <v>1</v>
      </c>
      <c r="R714" s="54">
        <v>2</v>
      </c>
      <c r="S714" s="150">
        <v>200</v>
      </c>
      <c r="T714" s="151"/>
      <c r="V714" s="44" t="s">
        <v>1096</v>
      </c>
    </row>
    <row r="715" spans="1:25" s="105" customFormat="1">
      <c r="A715" s="159" t="s">
        <v>48</v>
      </c>
      <c r="B715" s="103" t="s">
        <v>4161</v>
      </c>
      <c r="C715" s="159"/>
      <c r="D715" s="159"/>
      <c r="E715" s="160"/>
      <c r="F715" s="160"/>
      <c r="G715" s="159"/>
      <c r="H715" s="159"/>
      <c r="I715" s="159"/>
      <c r="J715" s="103"/>
      <c r="K715" s="18"/>
      <c r="L715" s="18"/>
      <c r="M715" s="159"/>
      <c r="N715" s="159"/>
      <c r="O715" s="159"/>
      <c r="P715" s="159"/>
      <c r="Q715" s="159"/>
      <c r="R715" s="159"/>
      <c r="S715" s="159"/>
      <c r="T715" s="161"/>
      <c r="Y715" s="112"/>
    </row>
    <row r="716" spans="1:25" s="41" customFormat="1">
      <c r="A716" s="49"/>
      <c r="B716" s="55">
        <v>10077</v>
      </c>
      <c r="C716" s="70" t="s">
        <v>4160</v>
      </c>
      <c r="D716" t="s">
        <v>4163</v>
      </c>
      <c r="E716" s="84" t="s">
        <v>4162</v>
      </c>
      <c r="F716" s="84" t="s">
        <v>4162</v>
      </c>
      <c r="G716" s="49">
        <v>3</v>
      </c>
      <c r="H716" s="49">
        <v>1</v>
      </c>
      <c r="I716" s="49"/>
      <c r="J716" s="43"/>
      <c r="K716" s="17"/>
      <c r="L716" s="17"/>
      <c r="M716" s="49">
        <v>4</v>
      </c>
      <c r="N716" s="49">
        <v>9999</v>
      </c>
      <c r="O716" s="54">
        <v>0</v>
      </c>
      <c r="P716" s="54">
        <v>0</v>
      </c>
      <c r="Q716" s="54">
        <v>1</v>
      </c>
      <c r="R716" s="54">
        <v>2</v>
      </c>
      <c r="S716" s="150">
        <v>700</v>
      </c>
      <c r="T716" s="151"/>
      <c r="V716" s="44" t="s">
        <v>1096</v>
      </c>
    </row>
    <row r="717" spans="1:25" s="41" customFormat="1">
      <c r="A717" s="55"/>
      <c r="B717" s="51">
        <v>10101</v>
      </c>
      <c r="C717" s="146" t="s">
        <v>1159</v>
      </c>
      <c r="D717" s="52" t="s">
        <v>1160</v>
      </c>
      <c r="E717" s="138" t="s">
        <v>1161</v>
      </c>
      <c r="F717" s="138" t="s">
        <v>1161</v>
      </c>
      <c r="G717" s="55">
        <v>4</v>
      </c>
      <c r="H717" s="55">
        <v>5</v>
      </c>
      <c r="I717" s="55"/>
      <c r="J717" s="70"/>
      <c r="K717" s="17"/>
      <c r="L717" s="17"/>
      <c r="M717" s="55">
        <v>1</v>
      </c>
      <c r="N717" s="49">
        <v>9999</v>
      </c>
      <c r="O717" s="54">
        <v>0</v>
      </c>
      <c r="P717" s="54">
        <v>0</v>
      </c>
      <c r="Q717" s="54">
        <v>1</v>
      </c>
      <c r="R717" s="54">
        <v>2</v>
      </c>
      <c r="S717" s="152">
        <f t="shared" ref="S717:S748" si="3">100*M717</f>
        <v>100</v>
      </c>
      <c r="T717" s="153">
        <v>1</v>
      </c>
      <c r="U717" s="41" t="s">
        <v>1162</v>
      </c>
    </row>
    <row r="718" spans="1:25" s="41" customFormat="1">
      <c r="A718" s="55"/>
      <c r="B718" s="54">
        <v>10102</v>
      </c>
      <c r="C718" s="147" t="s">
        <v>1163</v>
      </c>
      <c r="D718" s="55" t="s">
        <v>1164</v>
      </c>
      <c r="E718" s="138" t="s">
        <v>1165</v>
      </c>
      <c r="F718" s="138" t="s">
        <v>1165</v>
      </c>
      <c r="G718" s="55">
        <v>4</v>
      </c>
      <c r="H718" s="55">
        <v>5</v>
      </c>
      <c r="I718" s="55"/>
      <c r="J718" s="70"/>
      <c r="K718" s="17"/>
      <c r="L718" s="17"/>
      <c r="M718" s="55">
        <v>1</v>
      </c>
      <c r="N718" s="49">
        <v>9999</v>
      </c>
      <c r="O718" s="54">
        <v>0</v>
      </c>
      <c r="P718" s="54">
        <v>0</v>
      </c>
      <c r="Q718" s="54">
        <v>1</v>
      </c>
      <c r="R718" s="54">
        <v>2</v>
      </c>
      <c r="S718" s="152">
        <f t="shared" si="3"/>
        <v>100</v>
      </c>
      <c r="T718" s="153">
        <v>1</v>
      </c>
      <c r="U718" s="41" t="s">
        <v>1166</v>
      </c>
    </row>
    <row r="719" spans="1:25" s="41" customFormat="1">
      <c r="A719" s="55"/>
      <c r="B719" s="54">
        <v>10103</v>
      </c>
      <c r="C719" s="147" t="s">
        <v>1167</v>
      </c>
      <c r="D719" s="55" t="s">
        <v>1168</v>
      </c>
      <c r="E719" s="138" t="s">
        <v>1169</v>
      </c>
      <c r="F719" s="138" t="s">
        <v>1169</v>
      </c>
      <c r="G719" s="55">
        <v>4</v>
      </c>
      <c r="H719" s="55">
        <v>5</v>
      </c>
      <c r="I719" s="55"/>
      <c r="J719" s="70"/>
      <c r="K719" s="17"/>
      <c r="L719" s="17"/>
      <c r="M719" s="55">
        <v>1</v>
      </c>
      <c r="N719" s="49">
        <v>9999</v>
      </c>
      <c r="O719" s="54">
        <v>0</v>
      </c>
      <c r="P719" s="54">
        <v>0</v>
      </c>
      <c r="Q719" s="54">
        <v>1</v>
      </c>
      <c r="R719" s="54">
        <v>2</v>
      </c>
      <c r="S719" s="152">
        <f t="shared" si="3"/>
        <v>100</v>
      </c>
      <c r="T719" s="153">
        <v>1</v>
      </c>
      <c r="U719" s="41" t="s">
        <v>1170</v>
      </c>
    </row>
    <row r="720" spans="1:25" s="41" customFormat="1">
      <c r="A720" s="55"/>
      <c r="B720" s="54">
        <v>10104</v>
      </c>
      <c r="C720" s="147" t="s">
        <v>1171</v>
      </c>
      <c r="D720" s="55" t="s">
        <v>1172</v>
      </c>
      <c r="E720" s="138" t="s">
        <v>1173</v>
      </c>
      <c r="F720" s="138" t="s">
        <v>1173</v>
      </c>
      <c r="G720" s="55">
        <v>4</v>
      </c>
      <c r="H720" s="55">
        <v>5</v>
      </c>
      <c r="I720" s="55"/>
      <c r="J720" s="70"/>
      <c r="K720" s="17"/>
      <c r="L720" s="17"/>
      <c r="M720" s="55">
        <v>1</v>
      </c>
      <c r="N720" s="49">
        <v>9999</v>
      </c>
      <c r="O720" s="54">
        <v>0</v>
      </c>
      <c r="P720" s="54">
        <v>0</v>
      </c>
      <c r="Q720" s="54">
        <v>1</v>
      </c>
      <c r="R720" s="54">
        <v>2</v>
      </c>
      <c r="S720" s="152">
        <f t="shared" si="3"/>
        <v>100</v>
      </c>
      <c r="T720" s="153">
        <v>1</v>
      </c>
      <c r="U720" s="41" t="s">
        <v>1174</v>
      </c>
    </row>
    <row r="721" spans="1:26" s="41" customFormat="1">
      <c r="A721" s="55"/>
      <c r="B721" s="54">
        <v>10105</v>
      </c>
      <c r="C721" s="147" t="s">
        <v>1175</v>
      </c>
      <c r="D721" s="55" t="s">
        <v>1176</v>
      </c>
      <c r="E721" s="138" t="s">
        <v>1177</v>
      </c>
      <c r="F721" s="138" t="s">
        <v>1177</v>
      </c>
      <c r="G721" s="55">
        <v>4</v>
      </c>
      <c r="H721" s="55">
        <v>5</v>
      </c>
      <c r="I721" s="55"/>
      <c r="J721" s="70"/>
      <c r="K721" s="17"/>
      <c r="L721" s="17"/>
      <c r="M721" s="55">
        <v>1</v>
      </c>
      <c r="N721" s="49">
        <v>9999</v>
      </c>
      <c r="O721" s="54">
        <v>0</v>
      </c>
      <c r="P721" s="54">
        <v>0</v>
      </c>
      <c r="Q721" s="54">
        <v>1</v>
      </c>
      <c r="R721" s="54">
        <v>2</v>
      </c>
      <c r="S721" s="152">
        <f t="shared" si="3"/>
        <v>100</v>
      </c>
      <c r="T721" s="153">
        <v>1</v>
      </c>
      <c r="U721" s="41" t="s">
        <v>1178</v>
      </c>
    </row>
    <row r="722" spans="1:26" s="41" customFormat="1">
      <c r="A722" s="55"/>
      <c r="B722" s="54">
        <v>10106</v>
      </c>
      <c r="C722" s="147" t="s">
        <v>1179</v>
      </c>
      <c r="D722" s="52" t="s">
        <v>1180</v>
      </c>
      <c r="E722" s="138" t="s">
        <v>1181</v>
      </c>
      <c r="F722" s="138" t="s">
        <v>1181</v>
      </c>
      <c r="G722" s="55">
        <v>4</v>
      </c>
      <c r="H722" s="55">
        <v>5</v>
      </c>
      <c r="I722" s="55"/>
      <c r="J722" s="70"/>
      <c r="K722" s="17"/>
      <c r="L722" s="17"/>
      <c r="M722" s="55">
        <v>2</v>
      </c>
      <c r="N722" s="49">
        <v>9999</v>
      </c>
      <c r="O722" s="54">
        <v>0</v>
      </c>
      <c r="P722" s="54">
        <v>0</v>
      </c>
      <c r="Q722" s="54">
        <v>1</v>
      </c>
      <c r="R722" s="54">
        <v>2</v>
      </c>
      <c r="S722" s="152">
        <f t="shared" si="3"/>
        <v>200</v>
      </c>
      <c r="T722" s="153">
        <v>1</v>
      </c>
      <c r="U722" s="41" t="s">
        <v>1182</v>
      </c>
    </row>
    <row r="723" spans="1:26" s="41" customFormat="1">
      <c r="A723" s="55"/>
      <c r="B723" s="54">
        <v>10107</v>
      </c>
      <c r="C723" s="147" t="s">
        <v>1183</v>
      </c>
      <c r="D723" s="55" t="s">
        <v>1184</v>
      </c>
      <c r="E723" s="138" t="s">
        <v>1185</v>
      </c>
      <c r="F723" s="138" t="s">
        <v>1185</v>
      </c>
      <c r="G723" s="55">
        <v>4</v>
      </c>
      <c r="H723" s="55">
        <v>5</v>
      </c>
      <c r="I723" s="55"/>
      <c r="J723" s="70"/>
      <c r="K723" s="17"/>
      <c r="L723" s="17"/>
      <c r="M723" s="55">
        <v>2</v>
      </c>
      <c r="N723" s="49">
        <v>9999</v>
      </c>
      <c r="O723" s="54">
        <v>0</v>
      </c>
      <c r="P723" s="54">
        <v>0</v>
      </c>
      <c r="Q723" s="54">
        <v>1</v>
      </c>
      <c r="R723" s="54">
        <v>2</v>
      </c>
      <c r="S723" s="152">
        <f t="shared" si="3"/>
        <v>200</v>
      </c>
      <c r="T723" s="153">
        <v>1</v>
      </c>
      <c r="U723" s="41" t="s">
        <v>1186</v>
      </c>
      <c r="Z723" s="41" t="s">
        <v>1187</v>
      </c>
    </row>
    <row r="724" spans="1:26" s="41" customFormat="1">
      <c r="A724" s="55"/>
      <c r="B724" s="54">
        <v>10108</v>
      </c>
      <c r="C724" s="147" t="s">
        <v>1188</v>
      </c>
      <c r="D724" s="55" t="s">
        <v>1189</v>
      </c>
      <c r="E724" s="138" t="s">
        <v>1190</v>
      </c>
      <c r="F724" s="138" t="s">
        <v>1190</v>
      </c>
      <c r="G724" s="55">
        <v>4</v>
      </c>
      <c r="H724" s="55">
        <v>5</v>
      </c>
      <c r="I724" s="55"/>
      <c r="J724" s="70"/>
      <c r="K724" s="17"/>
      <c r="L724" s="17"/>
      <c r="M724" s="55">
        <v>2</v>
      </c>
      <c r="N724" s="49">
        <v>9999</v>
      </c>
      <c r="O724" s="54">
        <v>0</v>
      </c>
      <c r="P724" s="54">
        <v>0</v>
      </c>
      <c r="Q724" s="54">
        <v>1</v>
      </c>
      <c r="R724" s="54">
        <v>2</v>
      </c>
      <c r="S724" s="152">
        <f t="shared" si="3"/>
        <v>200</v>
      </c>
      <c r="T724" s="153">
        <v>1</v>
      </c>
      <c r="U724" s="41" t="s">
        <v>1191</v>
      </c>
      <c r="Z724" s="41" t="s">
        <v>1187</v>
      </c>
    </row>
    <row r="725" spans="1:26" s="41" customFormat="1">
      <c r="A725" s="55"/>
      <c r="B725" s="54">
        <v>10109</v>
      </c>
      <c r="C725" s="147" t="s">
        <v>1192</v>
      </c>
      <c r="D725" s="55" t="s">
        <v>1193</v>
      </c>
      <c r="E725" s="138" t="s">
        <v>1194</v>
      </c>
      <c r="F725" s="138" t="s">
        <v>1194</v>
      </c>
      <c r="G725" s="55">
        <v>4</v>
      </c>
      <c r="H725" s="55">
        <v>5</v>
      </c>
      <c r="I725" s="55"/>
      <c r="J725" s="70"/>
      <c r="K725" s="17"/>
      <c r="L725" s="17"/>
      <c r="M725" s="55">
        <v>2</v>
      </c>
      <c r="N725" s="49">
        <v>9999</v>
      </c>
      <c r="O725" s="54">
        <v>0</v>
      </c>
      <c r="P725" s="54">
        <v>0</v>
      </c>
      <c r="Q725" s="54">
        <v>1</v>
      </c>
      <c r="R725" s="54">
        <v>2</v>
      </c>
      <c r="S725" s="152">
        <f t="shared" si="3"/>
        <v>200</v>
      </c>
      <c r="T725" s="153">
        <v>1</v>
      </c>
      <c r="U725" s="41" t="s">
        <v>1195</v>
      </c>
    </row>
    <row r="726" spans="1:26" s="41" customFormat="1">
      <c r="A726" s="55"/>
      <c r="B726" s="54">
        <v>10110</v>
      </c>
      <c r="C726" s="147" t="s">
        <v>1196</v>
      </c>
      <c r="D726" s="55" t="s">
        <v>1197</v>
      </c>
      <c r="E726" s="138" t="s">
        <v>1198</v>
      </c>
      <c r="F726" s="138" t="s">
        <v>1198</v>
      </c>
      <c r="G726" s="55">
        <v>4</v>
      </c>
      <c r="H726" s="55">
        <v>5</v>
      </c>
      <c r="I726" s="55"/>
      <c r="J726" s="70"/>
      <c r="K726" s="17"/>
      <c r="L726" s="17"/>
      <c r="M726" s="55">
        <v>2</v>
      </c>
      <c r="N726" s="49">
        <v>9999</v>
      </c>
      <c r="O726" s="54">
        <v>0</v>
      </c>
      <c r="P726" s="54">
        <v>0</v>
      </c>
      <c r="Q726" s="54">
        <v>1</v>
      </c>
      <c r="R726" s="54">
        <v>2</v>
      </c>
      <c r="S726" s="152">
        <f t="shared" si="3"/>
        <v>200</v>
      </c>
      <c r="T726" s="153">
        <v>1</v>
      </c>
      <c r="U726" s="41" t="s">
        <v>1199</v>
      </c>
    </row>
    <row r="727" spans="1:26" s="41" customFormat="1">
      <c r="A727" s="55"/>
      <c r="B727" s="54">
        <v>10111</v>
      </c>
      <c r="C727" s="147" t="s">
        <v>1200</v>
      </c>
      <c r="D727" s="52" t="s">
        <v>1201</v>
      </c>
      <c r="E727" s="138" t="s">
        <v>1202</v>
      </c>
      <c r="F727" s="138" t="s">
        <v>1202</v>
      </c>
      <c r="G727" s="55">
        <v>4</v>
      </c>
      <c r="H727" s="55">
        <v>5</v>
      </c>
      <c r="I727" s="55"/>
      <c r="J727" s="70"/>
      <c r="K727" s="17"/>
      <c r="L727" s="17"/>
      <c r="M727" s="55">
        <v>2</v>
      </c>
      <c r="N727" s="49">
        <v>9999</v>
      </c>
      <c r="O727" s="54">
        <v>0</v>
      </c>
      <c r="P727" s="54">
        <v>0</v>
      </c>
      <c r="Q727" s="54">
        <v>1</v>
      </c>
      <c r="R727" s="54">
        <v>2</v>
      </c>
      <c r="S727" s="152">
        <f t="shared" si="3"/>
        <v>200</v>
      </c>
      <c r="T727" s="153">
        <v>1</v>
      </c>
      <c r="U727" s="41" t="s">
        <v>1203</v>
      </c>
      <c r="Z727" s="41" t="s">
        <v>1187</v>
      </c>
    </row>
    <row r="728" spans="1:26" s="41" customFormat="1">
      <c r="A728" s="55"/>
      <c r="B728" s="54">
        <v>10112</v>
      </c>
      <c r="C728" s="147" t="s">
        <v>1204</v>
      </c>
      <c r="D728" s="55" t="s">
        <v>1205</v>
      </c>
      <c r="E728" s="138" t="s">
        <v>1206</v>
      </c>
      <c r="F728" s="138" t="s">
        <v>1206</v>
      </c>
      <c r="G728" s="55">
        <v>4</v>
      </c>
      <c r="H728" s="55">
        <v>5</v>
      </c>
      <c r="I728" s="55"/>
      <c r="J728" s="70"/>
      <c r="K728" s="17"/>
      <c r="L728" s="17"/>
      <c r="M728" s="55">
        <v>2</v>
      </c>
      <c r="N728" s="49">
        <v>9999</v>
      </c>
      <c r="O728" s="54">
        <v>0</v>
      </c>
      <c r="P728" s="54">
        <v>0</v>
      </c>
      <c r="Q728" s="54">
        <v>1</v>
      </c>
      <c r="R728" s="54">
        <v>2</v>
      </c>
      <c r="S728" s="152">
        <f t="shared" si="3"/>
        <v>200</v>
      </c>
      <c r="T728" s="153">
        <v>1</v>
      </c>
      <c r="U728" s="41" t="s">
        <v>1207</v>
      </c>
      <c r="Z728" s="41" t="s">
        <v>1187</v>
      </c>
    </row>
    <row r="729" spans="1:26" s="41" customFormat="1">
      <c r="A729" s="55"/>
      <c r="B729" s="54">
        <v>10113</v>
      </c>
      <c r="C729" s="147" t="s">
        <v>1208</v>
      </c>
      <c r="D729" s="55" t="s">
        <v>1209</v>
      </c>
      <c r="E729" s="138" t="s">
        <v>1210</v>
      </c>
      <c r="F729" s="138" t="s">
        <v>1210</v>
      </c>
      <c r="G729" s="55">
        <v>4</v>
      </c>
      <c r="H729" s="55">
        <v>5</v>
      </c>
      <c r="I729" s="55"/>
      <c r="J729" s="70"/>
      <c r="K729" s="17"/>
      <c r="L729" s="17"/>
      <c r="M729" s="55">
        <v>2</v>
      </c>
      <c r="N729" s="49">
        <v>9999</v>
      </c>
      <c r="O729" s="54">
        <v>0</v>
      </c>
      <c r="P729" s="54">
        <v>0</v>
      </c>
      <c r="Q729" s="54">
        <v>1</v>
      </c>
      <c r="R729" s="54">
        <v>2</v>
      </c>
      <c r="S729" s="152">
        <f t="shared" si="3"/>
        <v>200</v>
      </c>
      <c r="T729" s="153">
        <v>1</v>
      </c>
      <c r="U729" s="41" t="s">
        <v>1211</v>
      </c>
    </row>
    <row r="730" spans="1:26" s="41" customFormat="1">
      <c r="A730" s="55"/>
      <c r="B730" s="54">
        <v>10114</v>
      </c>
      <c r="C730" s="147" t="s">
        <v>1212</v>
      </c>
      <c r="D730" s="55" t="s">
        <v>1213</v>
      </c>
      <c r="E730" s="138" t="s">
        <v>1214</v>
      </c>
      <c r="F730" s="138" t="s">
        <v>1214</v>
      </c>
      <c r="G730" s="55">
        <v>4</v>
      </c>
      <c r="H730" s="55">
        <v>5</v>
      </c>
      <c r="I730" s="55"/>
      <c r="J730" s="70"/>
      <c r="K730" s="17"/>
      <c r="L730" s="17"/>
      <c r="M730" s="55">
        <v>2</v>
      </c>
      <c r="N730" s="49">
        <v>9999</v>
      </c>
      <c r="O730" s="54">
        <v>0</v>
      </c>
      <c r="P730" s="54">
        <v>0</v>
      </c>
      <c r="Q730" s="54">
        <v>1</v>
      </c>
      <c r="R730" s="54">
        <v>2</v>
      </c>
      <c r="S730" s="152">
        <f t="shared" si="3"/>
        <v>200</v>
      </c>
      <c r="T730" s="153">
        <v>1</v>
      </c>
      <c r="U730" s="41" t="s">
        <v>1215</v>
      </c>
    </row>
    <row r="731" spans="1:26" s="41" customFormat="1">
      <c r="A731" s="55"/>
      <c r="B731" s="54">
        <v>10115</v>
      </c>
      <c r="C731" s="147" t="s">
        <v>1216</v>
      </c>
      <c r="D731" s="55" t="s">
        <v>1217</v>
      </c>
      <c r="E731" s="138" t="s">
        <v>1218</v>
      </c>
      <c r="F731" s="138" t="s">
        <v>1218</v>
      </c>
      <c r="G731" s="55">
        <v>4</v>
      </c>
      <c r="H731" s="55">
        <v>5</v>
      </c>
      <c r="I731" s="55"/>
      <c r="J731" s="70"/>
      <c r="K731" s="17"/>
      <c r="L731" s="17"/>
      <c r="M731" s="55">
        <v>2</v>
      </c>
      <c r="N731" s="49">
        <v>9999</v>
      </c>
      <c r="O731" s="54">
        <v>0</v>
      </c>
      <c r="P731" s="54">
        <v>0</v>
      </c>
      <c r="Q731" s="54">
        <v>1</v>
      </c>
      <c r="R731" s="54">
        <v>2</v>
      </c>
      <c r="S731" s="152">
        <f t="shared" si="3"/>
        <v>200</v>
      </c>
      <c r="T731" s="153">
        <v>1</v>
      </c>
      <c r="U731" s="41" t="s">
        <v>1219</v>
      </c>
      <c r="Z731" s="41" t="s">
        <v>1187</v>
      </c>
    </row>
    <row r="732" spans="1:26" s="41" customFormat="1">
      <c r="A732" s="55"/>
      <c r="B732" s="54">
        <v>10116</v>
      </c>
      <c r="C732" s="148" t="s">
        <v>1220</v>
      </c>
      <c r="D732" s="52" t="s">
        <v>1221</v>
      </c>
      <c r="E732" s="138" t="s">
        <v>1222</v>
      </c>
      <c r="F732" s="138" t="s">
        <v>1222</v>
      </c>
      <c r="G732" s="55">
        <v>4</v>
      </c>
      <c r="H732" s="55">
        <v>5</v>
      </c>
      <c r="I732" s="55"/>
      <c r="J732" s="70"/>
      <c r="K732" s="17"/>
      <c r="L732" s="17"/>
      <c r="M732" s="55">
        <v>3</v>
      </c>
      <c r="N732" s="49">
        <v>9999</v>
      </c>
      <c r="O732" s="54">
        <v>0</v>
      </c>
      <c r="P732" s="54">
        <v>0</v>
      </c>
      <c r="Q732" s="54">
        <v>1</v>
      </c>
      <c r="R732" s="54">
        <v>2</v>
      </c>
      <c r="S732" s="152">
        <f t="shared" si="3"/>
        <v>300</v>
      </c>
      <c r="T732" s="153">
        <v>1</v>
      </c>
      <c r="U732" s="41" t="s">
        <v>1223</v>
      </c>
      <c r="Z732" s="41" t="s">
        <v>1187</v>
      </c>
    </row>
    <row r="733" spans="1:26" s="41" customFormat="1">
      <c r="A733" s="55"/>
      <c r="B733" s="54">
        <v>10117</v>
      </c>
      <c r="C733" s="148" t="s">
        <v>1224</v>
      </c>
      <c r="D733" s="55" t="s">
        <v>1225</v>
      </c>
      <c r="E733" s="138" t="s">
        <v>1226</v>
      </c>
      <c r="F733" s="138" t="s">
        <v>1226</v>
      </c>
      <c r="G733" s="55">
        <v>4</v>
      </c>
      <c r="H733" s="55">
        <v>5</v>
      </c>
      <c r="I733" s="55"/>
      <c r="J733" s="70"/>
      <c r="K733" s="17"/>
      <c r="L733" s="17"/>
      <c r="M733" s="55">
        <v>3</v>
      </c>
      <c r="N733" s="49">
        <v>9999</v>
      </c>
      <c r="O733" s="54">
        <v>0</v>
      </c>
      <c r="P733" s="54">
        <v>0</v>
      </c>
      <c r="Q733" s="54">
        <v>1</v>
      </c>
      <c r="R733" s="54">
        <v>2</v>
      </c>
      <c r="S733" s="152">
        <f t="shared" si="3"/>
        <v>300</v>
      </c>
      <c r="T733" s="153">
        <v>1</v>
      </c>
      <c r="U733" s="41" t="s">
        <v>1227</v>
      </c>
    </row>
    <row r="734" spans="1:26" s="41" customFormat="1">
      <c r="A734" s="55"/>
      <c r="B734" s="54">
        <v>10118</v>
      </c>
      <c r="C734" s="148" t="s">
        <v>1228</v>
      </c>
      <c r="D734" s="55" t="s">
        <v>1229</v>
      </c>
      <c r="E734" s="138" t="s">
        <v>1230</v>
      </c>
      <c r="F734" s="138" t="s">
        <v>1230</v>
      </c>
      <c r="G734" s="55">
        <v>4</v>
      </c>
      <c r="H734" s="55">
        <v>5</v>
      </c>
      <c r="I734" s="55"/>
      <c r="J734" s="70"/>
      <c r="K734" s="17"/>
      <c r="L734" s="17"/>
      <c r="M734" s="55">
        <v>3</v>
      </c>
      <c r="N734" s="49">
        <v>9999</v>
      </c>
      <c r="O734" s="54">
        <v>0</v>
      </c>
      <c r="P734" s="54">
        <v>0</v>
      </c>
      <c r="Q734" s="54">
        <v>1</v>
      </c>
      <c r="R734" s="54">
        <v>2</v>
      </c>
      <c r="S734" s="152">
        <f t="shared" si="3"/>
        <v>300</v>
      </c>
      <c r="T734" s="153">
        <v>1</v>
      </c>
      <c r="U734" s="41" t="s">
        <v>1231</v>
      </c>
    </row>
    <row r="735" spans="1:26" s="41" customFormat="1">
      <c r="A735" s="55"/>
      <c r="B735" s="54">
        <v>10119</v>
      </c>
      <c r="C735" s="148" t="s">
        <v>1232</v>
      </c>
      <c r="D735" s="55" t="s">
        <v>1233</v>
      </c>
      <c r="E735" s="138" t="s">
        <v>1234</v>
      </c>
      <c r="F735" s="138" t="s">
        <v>1234</v>
      </c>
      <c r="G735" s="55">
        <v>4</v>
      </c>
      <c r="H735" s="55">
        <v>5</v>
      </c>
      <c r="I735" s="55"/>
      <c r="J735" s="70"/>
      <c r="K735" s="17"/>
      <c r="L735" s="17"/>
      <c r="M735" s="55">
        <v>3</v>
      </c>
      <c r="N735" s="49">
        <v>9999</v>
      </c>
      <c r="O735" s="54">
        <v>0</v>
      </c>
      <c r="P735" s="54">
        <v>0</v>
      </c>
      <c r="Q735" s="54">
        <v>1</v>
      </c>
      <c r="R735" s="54">
        <v>2</v>
      </c>
      <c r="S735" s="152">
        <f t="shared" si="3"/>
        <v>300</v>
      </c>
      <c r="T735" s="153">
        <v>1</v>
      </c>
      <c r="U735" s="41" t="s">
        <v>1235</v>
      </c>
      <c r="Z735" s="41" t="s">
        <v>1187</v>
      </c>
    </row>
    <row r="736" spans="1:26" s="41" customFormat="1">
      <c r="A736" s="55"/>
      <c r="B736" s="54">
        <v>10120</v>
      </c>
      <c r="C736" s="148" t="s">
        <v>1236</v>
      </c>
      <c r="D736" s="55" t="s">
        <v>1237</v>
      </c>
      <c r="E736" s="138" t="s">
        <v>1238</v>
      </c>
      <c r="F736" s="138" t="s">
        <v>1238</v>
      </c>
      <c r="G736" s="55">
        <v>4</v>
      </c>
      <c r="H736" s="55">
        <v>5</v>
      </c>
      <c r="I736" s="55"/>
      <c r="J736" s="70"/>
      <c r="K736" s="17"/>
      <c r="L736" s="17"/>
      <c r="M736" s="55">
        <v>3</v>
      </c>
      <c r="N736" s="49">
        <v>9999</v>
      </c>
      <c r="O736" s="54">
        <v>0</v>
      </c>
      <c r="P736" s="54">
        <v>0</v>
      </c>
      <c r="Q736" s="54">
        <v>1</v>
      </c>
      <c r="R736" s="54">
        <v>2</v>
      </c>
      <c r="S736" s="152">
        <f t="shared" si="3"/>
        <v>300</v>
      </c>
      <c r="T736" s="153">
        <v>1</v>
      </c>
      <c r="U736" s="41" t="s">
        <v>1239</v>
      </c>
      <c r="Z736" s="41" t="s">
        <v>1187</v>
      </c>
    </row>
    <row r="737" spans="1:26" s="41" customFormat="1">
      <c r="A737" s="55"/>
      <c r="B737" s="54">
        <v>10121</v>
      </c>
      <c r="C737" s="148" t="s">
        <v>1240</v>
      </c>
      <c r="D737" s="52" t="s">
        <v>1241</v>
      </c>
      <c r="E737" s="138" t="s">
        <v>1242</v>
      </c>
      <c r="F737" s="138" t="s">
        <v>1242</v>
      </c>
      <c r="G737" s="55">
        <v>4</v>
      </c>
      <c r="H737" s="55">
        <v>5</v>
      </c>
      <c r="I737" s="55"/>
      <c r="J737" s="70"/>
      <c r="K737" s="17"/>
      <c r="L737" s="17"/>
      <c r="M737" s="55">
        <v>3</v>
      </c>
      <c r="N737" s="49">
        <v>9999</v>
      </c>
      <c r="O737" s="54">
        <v>0</v>
      </c>
      <c r="P737" s="54">
        <v>0</v>
      </c>
      <c r="Q737" s="54">
        <v>1</v>
      </c>
      <c r="R737" s="54">
        <v>2</v>
      </c>
      <c r="S737" s="152">
        <f t="shared" si="3"/>
        <v>300</v>
      </c>
      <c r="T737" s="153">
        <v>1</v>
      </c>
      <c r="U737" s="41" t="s">
        <v>1243</v>
      </c>
    </row>
    <row r="738" spans="1:26" s="41" customFormat="1">
      <c r="A738" s="55"/>
      <c r="B738" s="54">
        <v>10122</v>
      </c>
      <c r="C738" s="148" t="s">
        <v>1244</v>
      </c>
      <c r="D738" s="55" t="s">
        <v>1245</v>
      </c>
      <c r="E738" s="138" t="s">
        <v>1246</v>
      </c>
      <c r="F738" s="138" t="s">
        <v>1246</v>
      </c>
      <c r="G738" s="55">
        <v>4</v>
      </c>
      <c r="H738" s="55">
        <v>5</v>
      </c>
      <c r="I738" s="55"/>
      <c r="J738" s="70"/>
      <c r="K738" s="17"/>
      <c r="L738" s="17"/>
      <c r="M738" s="55">
        <v>3</v>
      </c>
      <c r="N738" s="49">
        <v>9999</v>
      </c>
      <c r="O738" s="54">
        <v>0</v>
      </c>
      <c r="P738" s="54">
        <v>0</v>
      </c>
      <c r="Q738" s="54">
        <v>1</v>
      </c>
      <c r="R738" s="54">
        <v>2</v>
      </c>
      <c r="S738" s="152">
        <f t="shared" si="3"/>
        <v>300</v>
      </c>
      <c r="T738" s="153">
        <v>1</v>
      </c>
      <c r="U738" s="41" t="s">
        <v>1247</v>
      </c>
    </row>
    <row r="739" spans="1:26" s="41" customFormat="1">
      <c r="A739" s="55"/>
      <c r="B739" s="54">
        <v>10123</v>
      </c>
      <c r="C739" s="148" t="s">
        <v>1248</v>
      </c>
      <c r="D739" s="55" t="s">
        <v>1249</v>
      </c>
      <c r="E739" s="138" t="s">
        <v>1250</v>
      </c>
      <c r="F739" s="138" t="s">
        <v>1250</v>
      </c>
      <c r="G739" s="55">
        <v>4</v>
      </c>
      <c r="H739" s="55">
        <v>5</v>
      </c>
      <c r="I739" s="55"/>
      <c r="J739" s="70"/>
      <c r="K739" s="17"/>
      <c r="L739" s="17"/>
      <c r="M739" s="55">
        <v>3</v>
      </c>
      <c r="N739" s="49">
        <v>9999</v>
      </c>
      <c r="O739" s="54">
        <v>0</v>
      </c>
      <c r="P739" s="54">
        <v>0</v>
      </c>
      <c r="Q739" s="54">
        <v>1</v>
      </c>
      <c r="R739" s="54">
        <v>2</v>
      </c>
      <c r="S739" s="152">
        <f t="shared" si="3"/>
        <v>300</v>
      </c>
      <c r="T739" s="153">
        <v>1</v>
      </c>
      <c r="U739" s="41" t="s">
        <v>1251</v>
      </c>
      <c r="Z739" s="41" t="s">
        <v>1187</v>
      </c>
    </row>
    <row r="740" spans="1:26" s="41" customFormat="1">
      <c r="A740" s="55"/>
      <c r="B740" s="54">
        <v>10124</v>
      </c>
      <c r="C740" s="148" t="s">
        <v>1252</v>
      </c>
      <c r="D740" s="55" t="s">
        <v>1253</v>
      </c>
      <c r="E740" s="138" t="s">
        <v>1254</v>
      </c>
      <c r="F740" s="138" t="s">
        <v>1254</v>
      </c>
      <c r="G740" s="55">
        <v>4</v>
      </c>
      <c r="H740" s="55">
        <v>5</v>
      </c>
      <c r="I740" s="55"/>
      <c r="J740" s="70"/>
      <c r="K740" s="17"/>
      <c r="L740" s="17"/>
      <c r="M740" s="55">
        <v>3</v>
      </c>
      <c r="N740" s="49">
        <v>9999</v>
      </c>
      <c r="O740" s="54">
        <v>0</v>
      </c>
      <c r="P740" s="54">
        <v>0</v>
      </c>
      <c r="Q740" s="54">
        <v>1</v>
      </c>
      <c r="R740" s="54">
        <v>2</v>
      </c>
      <c r="S740" s="152">
        <f t="shared" si="3"/>
        <v>300</v>
      </c>
      <c r="T740" s="153">
        <v>1</v>
      </c>
      <c r="U740" s="41" t="s">
        <v>1255</v>
      </c>
      <c r="Z740" s="41" t="s">
        <v>1187</v>
      </c>
    </row>
    <row r="741" spans="1:26" s="41" customFormat="1">
      <c r="A741" s="55"/>
      <c r="B741" s="54">
        <v>10125</v>
      </c>
      <c r="C741" s="148" t="s">
        <v>1256</v>
      </c>
      <c r="D741" s="55" t="s">
        <v>1257</v>
      </c>
      <c r="E741" s="138" t="s">
        <v>1258</v>
      </c>
      <c r="F741" s="138" t="s">
        <v>1258</v>
      </c>
      <c r="G741" s="55">
        <v>4</v>
      </c>
      <c r="H741" s="55">
        <v>5</v>
      </c>
      <c r="I741" s="55"/>
      <c r="J741" s="70"/>
      <c r="K741" s="17"/>
      <c r="L741" s="17"/>
      <c r="M741" s="55">
        <v>3</v>
      </c>
      <c r="N741" s="49">
        <v>9999</v>
      </c>
      <c r="O741" s="54">
        <v>0</v>
      </c>
      <c r="P741" s="54">
        <v>0</v>
      </c>
      <c r="Q741" s="54">
        <v>1</v>
      </c>
      <c r="R741" s="54">
        <v>2</v>
      </c>
      <c r="S741" s="152">
        <f t="shared" si="3"/>
        <v>300</v>
      </c>
      <c r="T741" s="153">
        <v>1</v>
      </c>
      <c r="U741" s="41" t="s">
        <v>1259</v>
      </c>
    </row>
    <row r="742" spans="1:26" s="41" customFormat="1">
      <c r="A742" s="43"/>
      <c r="B742" s="54">
        <v>10126</v>
      </c>
      <c r="C742" s="148" t="s">
        <v>1260</v>
      </c>
      <c r="D742" s="52" t="s">
        <v>1261</v>
      </c>
      <c r="E742" s="138" t="s">
        <v>1262</v>
      </c>
      <c r="F742" s="138" t="s">
        <v>1262</v>
      </c>
      <c r="G742" s="55">
        <v>4</v>
      </c>
      <c r="H742" s="55">
        <v>5</v>
      </c>
      <c r="I742" s="55"/>
      <c r="J742" s="70"/>
      <c r="K742" s="17"/>
      <c r="L742" s="17"/>
      <c r="M742" s="55">
        <v>3</v>
      </c>
      <c r="N742" s="49">
        <v>9999</v>
      </c>
      <c r="O742" s="54">
        <v>0</v>
      </c>
      <c r="P742" s="54">
        <v>0</v>
      </c>
      <c r="Q742" s="54">
        <v>1</v>
      </c>
      <c r="R742" s="54">
        <v>2</v>
      </c>
      <c r="S742" s="152">
        <f t="shared" si="3"/>
        <v>300</v>
      </c>
      <c r="T742" s="153">
        <v>1</v>
      </c>
      <c r="U742" s="41" t="s">
        <v>1263</v>
      </c>
    </row>
    <row r="743" spans="1:26" s="41" customFormat="1">
      <c r="A743" s="43"/>
      <c r="B743" s="54">
        <v>10127</v>
      </c>
      <c r="C743" s="148" t="s">
        <v>1264</v>
      </c>
      <c r="D743" s="55" t="s">
        <v>1265</v>
      </c>
      <c r="E743" s="138" t="s">
        <v>1266</v>
      </c>
      <c r="F743" s="138" t="s">
        <v>1266</v>
      </c>
      <c r="G743" s="55">
        <v>4</v>
      </c>
      <c r="H743" s="55">
        <v>5</v>
      </c>
      <c r="I743" s="55"/>
      <c r="J743" s="70"/>
      <c r="K743" s="17"/>
      <c r="L743" s="17"/>
      <c r="M743" s="55">
        <v>3</v>
      </c>
      <c r="N743" s="49">
        <v>9999</v>
      </c>
      <c r="O743" s="54">
        <v>0</v>
      </c>
      <c r="P743" s="54">
        <v>0</v>
      </c>
      <c r="Q743" s="54">
        <v>1</v>
      </c>
      <c r="R743" s="54">
        <v>2</v>
      </c>
      <c r="S743" s="152">
        <f t="shared" si="3"/>
        <v>300</v>
      </c>
      <c r="T743" s="153">
        <v>1</v>
      </c>
      <c r="U743" s="41" t="s">
        <v>1267</v>
      </c>
      <c r="Z743" s="41" t="s">
        <v>1187</v>
      </c>
    </row>
    <row r="744" spans="1:26" s="41" customFormat="1">
      <c r="A744" s="43"/>
      <c r="B744" s="54">
        <v>10128</v>
      </c>
      <c r="C744" s="148" t="s">
        <v>1268</v>
      </c>
      <c r="D744" s="55" t="s">
        <v>1269</v>
      </c>
      <c r="E744" s="138" t="s">
        <v>1270</v>
      </c>
      <c r="F744" s="138" t="s">
        <v>1270</v>
      </c>
      <c r="G744" s="55">
        <v>4</v>
      </c>
      <c r="H744" s="55">
        <v>5</v>
      </c>
      <c r="I744" s="55"/>
      <c r="J744" s="70"/>
      <c r="K744" s="17"/>
      <c r="L744" s="17"/>
      <c r="M744" s="55">
        <v>3</v>
      </c>
      <c r="N744" s="49">
        <v>9999</v>
      </c>
      <c r="O744" s="54">
        <v>0</v>
      </c>
      <c r="P744" s="54">
        <v>0</v>
      </c>
      <c r="Q744" s="54">
        <v>1</v>
      </c>
      <c r="R744" s="54">
        <v>2</v>
      </c>
      <c r="S744" s="152">
        <f t="shared" si="3"/>
        <v>300</v>
      </c>
      <c r="T744" s="153">
        <v>1</v>
      </c>
      <c r="U744" s="41" t="s">
        <v>1271</v>
      </c>
      <c r="Z744" s="41" t="s">
        <v>1187</v>
      </c>
    </row>
    <row r="745" spans="1:26" s="41" customFormat="1">
      <c r="A745" s="43"/>
      <c r="B745" s="54">
        <v>10129</v>
      </c>
      <c r="C745" s="148" t="s">
        <v>1272</v>
      </c>
      <c r="D745" s="55" t="s">
        <v>1273</v>
      </c>
      <c r="E745" s="138" t="s">
        <v>1274</v>
      </c>
      <c r="F745" s="138" t="s">
        <v>1274</v>
      </c>
      <c r="G745" s="55">
        <v>4</v>
      </c>
      <c r="H745" s="55">
        <v>5</v>
      </c>
      <c r="I745" s="55"/>
      <c r="J745" s="70"/>
      <c r="K745" s="17"/>
      <c r="L745" s="17"/>
      <c r="M745" s="55">
        <v>3</v>
      </c>
      <c r="N745" s="49">
        <v>9999</v>
      </c>
      <c r="O745" s="54">
        <v>0</v>
      </c>
      <c r="P745" s="54">
        <v>0</v>
      </c>
      <c r="Q745" s="54">
        <v>1</v>
      </c>
      <c r="R745" s="54">
        <v>2</v>
      </c>
      <c r="S745" s="152">
        <f t="shared" si="3"/>
        <v>300</v>
      </c>
      <c r="T745" s="153">
        <v>1</v>
      </c>
      <c r="U745" s="41" t="s">
        <v>1275</v>
      </c>
    </row>
    <row r="746" spans="1:26" s="41" customFormat="1">
      <c r="A746" s="43"/>
      <c r="B746" s="54">
        <v>10130</v>
      </c>
      <c r="C746" s="148" t="s">
        <v>1276</v>
      </c>
      <c r="D746" s="55" t="s">
        <v>1277</v>
      </c>
      <c r="E746" s="138" t="s">
        <v>1278</v>
      </c>
      <c r="F746" s="138" t="s">
        <v>1278</v>
      </c>
      <c r="G746" s="55">
        <v>4</v>
      </c>
      <c r="H746" s="55">
        <v>5</v>
      </c>
      <c r="I746" s="55"/>
      <c r="J746" s="70"/>
      <c r="K746" s="17"/>
      <c r="L746" s="17"/>
      <c r="M746" s="55">
        <v>3</v>
      </c>
      <c r="N746" s="49">
        <v>9999</v>
      </c>
      <c r="O746" s="54">
        <v>0</v>
      </c>
      <c r="P746" s="54">
        <v>0</v>
      </c>
      <c r="Q746" s="54">
        <v>1</v>
      </c>
      <c r="R746" s="54">
        <v>2</v>
      </c>
      <c r="S746" s="152">
        <f t="shared" si="3"/>
        <v>300</v>
      </c>
      <c r="T746" s="153">
        <v>1</v>
      </c>
      <c r="U746" s="41" t="s">
        <v>1279</v>
      </c>
    </row>
    <row r="747" spans="1:26" s="41" customFormat="1">
      <c r="A747" s="43"/>
      <c r="B747" s="54">
        <v>10131</v>
      </c>
      <c r="C747" s="149" t="s">
        <v>1280</v>
      </c>
      <c r="D747" s="52" t="s">
        <v>1281</v>
      </c>
      <c r="E747" s="138" t="s">
        <v>1282</v>
      </c>
      <c r="F747" s="138" t="s">
        <v>1282</v>
      </c>
      <c r="G747" s="55">
        <v>4</v>
      </c>
      <c r="H747" s="55">
        <v>5</v>
      </c>
      <c r="I747" s="55"/>
      <c r="J747" s="70"/>
      <c r="K747" s="17"/>
      <c r="L747" s="17"/>
      <c r="M747" s="55">
        <v>4</v>
      </c>
      <c r="N747" s="49">
        <v>9999</v>
      </c>
      <c r="O747" s="54">
        <v>0</v>
      </c>
      <c r="P747" s="54">
        <v>0</v>
      </c>
      <c r="Q747" s="54">
        <v>1</v>
      </c>
      <c r="R747" s="54">
        <v>2</v>
      </c>
      <c r="S747" s="152">
        <f t="shared" si="3"/>
        <v>400</v>
      </c>
      <c r="T747" s="153">
        <v>1</v>
      </c>
      <c r="U747" s="41" t="s">
        <v>1283</v>
      </c>
      <c r="V747" s="41" t="s">
        <v>1096</v>
      </c>
      <c r="Z747" s="41" t="s">
        <v>1187</v>
      </c>
    </row>
    <row r="748" spans="1:26" s="41" customFormat="1">
      <c r="A748" s="43"/>
      <c r="B748" s="54">
        <v>10132</v>
      </c>
      <c r="C748" s="149" t="s">
        <v>1284</v>
      </c>
      <c r="D748" s="55" t="s">
        <v>1285</v>
      </c>
      <c r="E748" s="138" t="s">
        <v>1286</v>
      </c>
      <c r="F748" s="138" t="s">
        <v>1286</v>
      </c>
      <c r="G748" s="55">
        <v>4</v>
      </c>
      <c r="H748" s="55">
        <v>5</v>
      </c>
      <c r="I748" s="55"/>
      <c r="J748" s="70"/>
      <c r="K748" s="17"/>
      <c r="L748" s="17"/>
      <c r="M748" s="55">
        <v>4</v>
      </c>
      <c r="N748" s="49">
        <v>9999</v>
      </c>
      <c r="O748" s="54">
        <v>0</v>
      </c>
      <c r="P748" s="54">
        <v>0</v>
      </c>
      <c r="Q748" s="54">
        <v>1</v>
      </c>
      <c r="R748" s="54">
        <v>2</v>
      </c>
      <c r="S748" s="152">
        <f t="shared" si="3"/>
        <v>400</v>
      </c>
      <c r="T748" s="153">
        <v>1</v>
      </c>
      <c r="U748" s="41" t="s">
        <v>1287</v>
      </c>
      <c r="V748" s="41" t="s">
        <v>1096</v>
      </c>
      <c r="Z748" s="41" t="s">
        <v>1187</v>
      </c>
    </row>
    <row r="749" spans="1:26" s="41" customFormat="1">
      <c r="A749" s="43"/>
      <c r="B749" s="54">
        <v>10133</v>
      </c>
      <c r="C749" s="149" t="s">
        <v>1288</v>
      </c>
      <c r="D749" s="55" t="s">
        <v>1289</v>
      </c>
      <c r="E749" s="138" t="s">
        <v>1290</v>
      </c>
      <c r="F749" s="138" t="s">
        <v>1290</v>
      </c>
      <c r="G749" s="55">
        <v>4</v>
      </c>
      <c r="H749" s="55">
        <v>5</v>
      </c>
      <c r="I749" s="55"/>
      <c r="J749" s="70"/>
      <c r="K749" s="17"/>
      <c r="L749" s="17"/>
      <c r="M749" s="55">
        <v>4</v>
      </c>
      <c r="N749" s="49">
        <v>9999</v>
      </c>
      <c r="O749" s="54">
        <v>0</v>
      </c>
      <c r="P749" s="54">
        <v>0</v>
      </c>
      <c r="Q749" s="54">
        <v>1</v>
      </c>
      <c r="R749" s="54">
        <v>2</v>
      </c>
      <c r="S749" s="152">
        <f t="shared" ref="S749:S780" si="4">100*M749</f>
        <v>400</v>
      </c>
      <c r="T749" s="153">
        <v>1</v>
      </c>
      <c r="U749" s="41" t="s">
        <v>1291</v>
      </c>
      <c r="V749" s="41" t="s">
        <v>1096</v>
      </c>
    </row>
    <row r="750" spans="1:26" s="41" customFormat="1">
      <c r="A750" s="43"/>
      <c r="B750" s="54">
        <v>10134</v>
      </c>
      <c r="C750" s="149" t="s">
        <v>1292</v>
      </c>
      <c r="D750" s="55" t="s">
        <v>1293</v>
      </c>
      <c r="E750" s="138" t="s">
        <v>1294</v>
      </c>
      <c r="F750" s="138" t="s">
        <v>1294</v>
      </c>
      <c r="G750" s="55">
        <v>4</v>
      </c>
      <c r="H750" s="55">
        <v>5</v>
      </c>
      <c r="I750" s="55"/>
      <c r="J750" s="70"/>
      <c r="K750" s="17"/>
      <c r="L750" s="17"/>
      <c r="M750" s="55">
        <v>4</v>
      </c>
      <c r="N750" s="49">
        <v>9999</v>
      </c>
      <c r="O750" s="54">
        <v>0</v>
      </c>
      <c r="P750" s="54">
        <v>0</v>
      </c>
      <c r="Q750" s="54">
        <v>1</v>
      </c>
      <c r="R750" s="54">
        <v>2</v>
      </c>
      <c r="S750" s="152">
        <f t="shared" si="4"/>
        <v>400</v>
      </c>
      <c r="T750" s="153">
        <v>1</v>
      </c>
      <c r="U750" s="41" t="s">
        <v>1295</v>
      </c>
      <c r="V750" s="41" t="s">
        <v>1096</v>
      </c>
    </row>
    <row r="751" spans="1:26" s="41" customFormat="1">
      <c r="A751" s="43"/>
      <c r="B751" s="54">
        <v>10135</v>
      </c>
      <c r="C751" s="149" t="s">
        <v>1296</v>
      </c>
      <c r="D751" s="55" t="s">
        <v>1297</v>
      </c>
      <c r="E751" s="138" t="s">
        <v>1298</v>
      </c>
      <c r="F751" s="138" t="s">
        <v>1298</v>
      </c>
      <c r="G751" s="55">
        <v>4</v>
      </c>
      <c r="H751" s="55">
        <v>5</v>
      </c>
      <c r="I751" s="55"/>
      <c r="J751" s="70"/>
      <c r="K751" s="17"/>
      <c r="L751" s="17"/>
      <c r="M751" s="55">
        <v>4</v>
      </c>
      <c r="N751" s="49">
        <v>9999</v>
      </c>
      <c r="O751" s="54">
        <v>0</v>
      </c>
      <c r="P751" s="54">
        <v>0</v>
      </c>
      <c r="Q751" s="54">
        <v>1</v>
      </c>
      <c r="R751" s="54">
        <v>2</v>
      </c>
      <c r="S751" s="152">
        <f t="shared" si="4"/>
        <v>400</v>
      </c>
      <c r="T751" s="153">
        <v>1</v>
      </c>
      <c r="U751" s="41" t="s">
        <v>1299</v>
      </c>
      <c r="V751" s="41" t="s">
        <v>1096</v>
      </c>
      <c r="Z751" s="41" t="s">
        <v>1187</v>
      </c>
    </row>
    <row r="752" spans="1:26" s="41" customFormat="1">
      <c r="A752" s="43"/>
      <c r="B752" s="54">
        <v>10136</v>
      </c>
      <c r="C752" s="149" t="s">
        <v>1300</v>
      </c>
      <c r="D752" s="52" t="s">
        <v>1301</v>
      </c>
      <c r="E752" s="138" t="s">
        <v>1302</v>
      </c>
      <c r="F752" s="138" t="s">
        <v>1302</v>
      </c>
      <c r="G752" s="55">
        <v>4</v>
      </c>
      <c r="H752" s="55">
        <v>5</v>
      </c>
      <c r="I752" s="55"/>
      <c r="J752" s="70"/>
      <c r="K752" s="17"/>
      <c r="L752" s="17"/>
      <c r="M752" s="55">
        <v>4</v>
      </c>
      <c r="N752" s="49">
        <v>9999</v>
      </c>
      <c r="O752" s="54">
        <v>0</v>
      </c>
      <c r="P752" s="54">
        <v>0</v>
      </c>
      <c r="Q752" s="54">
        <v>1</v>
      </c>
      <c r="R752" s="54">
        <v>2</v>
      </c>
      <c r="S752" s="152">
        <f t="shared" si="4"/>
        <v>400</v>
      </c>
      <c r="T752" s="153">
        <v>1</v>
      </c>
      <c r="U752" s="41" t="s">
        <v>1303</v>
      </c>
      <c r="V752" s="41" t="s">
        <v>1096</v>
      </c>
      <c r="Z752" s="41" t="s">
        <v>1187</v>
      </c>
    </row>
    <row r="753" spans="1:26" s="41" customFormat="1">
      <c r="A753" s="43"/>
      <c r="B753" s="54">
        <v>10137</v>
      </c>
      <c r="C753" s="149" t="s">
        <v>1304</v>
      </c>
      <c r="D753" s="55" t="s">
        <v>1305</v>
      </c>
      <c r="E753" s="138" t="s">
        <v>1306</v>
      </c>
      <c r="F753" s="138" t="s">
        <v>1306</v>
      </c>
      <c r="G753" s="55">
        <v>4</v>
      </c>
      <c r="H753" s="55">
        <v>5</v>
      </c>
      <c r="I753" s="55"/>
      <c r="J753" s="70"/>
      <c r="K753" s="17"/>
      <c r="L753" s="17"/>
      <c r="M753" s="55">
        <v>4</v>
      </c>
      <c r="N753" s="49">
        <v>9999</v>
      </c>
      <c r="O753" s="54">
        <v>0</v>
      </c>
      <c r="P753" s="54">
        <v>0</v>
      </c>
      <c r="Q753" s="54">
        <v>1</v>
      </c>
      <c r="R753" s="54">
        <v>2</v>
      </c>
      <c r="S753" s="152">
        <f t="shared" si="4"/>
        <v>400</v>
      </c>
      <c r="T753" s="153">
        <v>1</v>
      </c>
      <c r="U753" s="41" t="s">
        <v>1307</v>
      </c>
      <c r="V753" s="41" t="s">
        <v>1096</v>
      </c>
    </row>
    <row r="754" spans="1:26" s="41" customFormat="1">
      <c r="A754" s="43"/>
      <c r="B754" s="54">
        <v>10138</v>
      </c>
      <c r="C754" s="149" t="s">
        <v>1308</v>
      </c>
      <c r="D754" s="55" t="s">
        <v>1309</v>
      </c>
      <c r="E754" s="138" t="s">
        <v>1310</v>
      </c>
      <c r="F754" s="138" t="s">
        <v>1310</v>
      </c>
      <c r="G754" s="55">
        <v>4</v>
      </c>
      <c r="H754" s="55">
        <v>5</v>
      </c>
      <c r="I754" s="55"/>
      <c r="J754" s="70"/>
      <c r="K754" s="17"/>
      <c r="L754" s="17"/>
      <c r="M754" s="55">
        <v>4</v>
      </c>
      <c r="N754" s="49">
        <v>9999</v>
      </c>
      <c r="O754" s="54">
        <v>0</v>
      </c>
      <c r="P754" s="54">
        <v>0</v>
      </c>
      <c r="Q754" s="54">
        <v>1</v>
      </c>
      <c r="R754" s="54">
        <v>2</v>
      </c>
      <c r="S754" s="152">
        <f t="shared" si="4"/>
        <v>400</v>
      </c>
      <c r="T754" s="153">
        <v>1</v>
      </c>
      <c r="U754" s="41" t="s">
        <v>1311</v>
      </c>
      <c r="V754" s="41" t="s">
        <v>1096</v>
      </c>
    </row>
    <row r="755" spans="1:26" s="41" customFormat="1">
      <c r="A755" s="43"/>
      <c r="B755" s="54">
        <v>10139</v>
      </c>
      <c r="C755" s="149" t="s">
        <v>1312</v>
      </c>
      <c r="D755" s="55" t="s">
        <v>1313</v>
      </c>
      <c r="E755" s="138" t="s">
        <v>1314</v>
      </c>
      <c r="F755" s="138" t="s">
        <v>1314</v>
      </c>
      <c r="G755" s="55">
        <v>4</v>
      </c>
      <c r="H755" s="55">
        <v>5</v>
      </c>
      <c r="I755" s="55"/>
      <c r="J755" s="70"/>
      <c r="K755" s="17"/>
      <c r="L755" s="17"/>
      <c r="M755" s="55">
        <v>4</v>
      </c>
      <c r="N755" s="49">
        <v>9999</v>
      </c>
      <c r="O755" s="54">
        <v>0</v>
      </c>
      <c r="P755" s="54">
        <v>0</v>
      </c>
      <c r="Q755" s="54">
        <v>1</v>
      </c>
      <c r="R755" s="54">
        <v>2</v>
      </c>
      <c r="S755" s="152">
        <f t="shared" si="4"/>
        <v>400</v>
      </c>
      <c r="T755" s="153">
        <v>1</v>
      </c>
      <c r="U755" s="41" t="s">
        <v>1315</v>
      </c>
      <c r="V755" s="41" t="s">
        <v>1096</v>
      </c>
      <c r="Z755" s="41" t="s">
        <v>1187</v>
      </c>
    </row>
    <row r="756" spans="1:26" s="41" customFormat="1">
      <c r="A756" s="43"/>
      <c r="B756" s="54">
        <v>10140</v>
      </c>
      <c r="C756" s="149" t="s">
        <v>1316</v>
      </c>
      <c r="D756" s="55" t="s">
        <v>1317</v>
      </c>
      <c r="E756" s="138" t="s">
        <v>1318</v>
      </c>
      <c r="F756" s="138" t="s">
        <v>1318</v>
      </c>
      <c r="G756" s="55">
        <v>4</v>
      </c>
      <c r="H756" s="55">
        <v>5</v>
      </c>
      <c r="I756" s="55"/>
      <c r="J756" s="70"/>
      <c r="K756" s="17"/>
      <c r="L756" s="17"/>
      <c r="M756" s="55">
        <v>4</v>
      </c>
      <c r="N756" s="49">
        <v>9999</v>
      </c>
      <c r="O756" s="54">
        <v>0</v>
      </c>
      <c r="P756" s="54">
        <v>0</v>
      </c>
      <c r="Q756" s="54">
        <v>1</v>
      </c>
      <c r="R756" s="54">
        <v>2</v>
      </c>
      <c r="S756" s="152">
        <f t="shared" si="4"/>
        <v>400</v>
      </c>
      <c r="T756" s="153">
        <v>1</v>
      </c>
      <c r="U756" s="41" t="s">
        <v>1319</v>
      </c>
      <c r="V756" s="41" t="s">
        <v>1096</v>
      </c>
      <c r="Z756" s="41" t="s">
        <v>1187</v>
      </c>
    </row>
    <row r="757" spans="1:26" s="41" customFormat="1">
      <c r="A757" s="43"/>
      <c r="B757" s="54">
        <v>10141</v>
      </c>
      <c r="C757" s="149" t="s">
        <v>1320</v>
      </c>
      <c r="D757" s="52" t="s">
        <v>1321</v>
      </c>
      <c r="E757" s="138" t="s">
        <v>1322</v>
      </c>
      <c r="F757" s="138" t="s">
        <v>1322</v>
      </c>
      <c r="G757" s="55">
        <v>4</v>
      </c>
      <c r="H757" s="55">
        <v>5</v>
      </c>
      <c r="I757" s="55"/>
      <c r="J757" s="70"/>
      <c r="K757" s="17"/>
      <c r="L757" s="17"/>
      <c r="M757" s="55">
        <v>4</v>
      </c>
      <c r="N757" s="49">
        <v>9999</v>
      </c>
      <c r="O757" s="54">
        <v>0</v>
      </c>
      <c r="P757" s="54">
        <v>0</v>
      </c>
      <c r="Q757" s="54">
        <v>1</v>
      </c>
      <c r="R757" s="54">
        <v>2</v>
      </c>
      <c r="S757" s="152">
        <f t="shared" si="4"/>
        <v>400</v>
      </c>
      <c r="T757" s="153">
        <v>1</v>
      </c>
      <c r="U757" s="41" t="s">
        <v>1323</v>
      </c>
      <c r="V757" s="41" t="s">
        <v>1096</v>
      </c>
    </row>
    <row r="758" spans="1:26" s="41" customFormat="1">
      <c r="A758" s="43"/>
      <c r="B758" s="54">
        <v>10142</v>
      </c>
      <c r="C758" s="149" t="s">
        <v>1324</v>
      </c>
      <c r="D758" s="55" t="s">
        <v>1325</v>
      </c>
      <c r="E758" s="138" t="s">
        <v>1326</v>
      </c>
      <c r="F758" s="138" t="s">
        <v>1326</v>
      </c>
      <c r="G758" s="55">
        <v>4</v>
      </c>
      <c r="H758" s="55">
        <v>5</v>
      </c>
      <c r="I758" s="55"/>
      <c r="J758" s="70"/>
      <c r="K758" s="17"/>
      <c r="L758" s="17"/>
      <c r="M758" s="55">
        <v>4</v>
      </c>
      <c r="N758" s="49">
        <v>9999</v>
      </c>
      <c r="O758" s="54">
        <v>0</v>
      </c>
      <c r="P758" s="54">
        <v>0</v>
      </c>
      <c r="Q758" s="54">
        <v>1</v>
      </c>
      <c r="R758" s="54">
        <v>2</v>
      </c>
      <c r="S758" s="152">
        <f t="shared" si="4"/>
        <v>400</v>
      </c>
      <c r="T758" s="153">
        <v>1</v>
      </c>
      <c r="U758" s="41" t="s">
        <v>1327</v>
      </c>
      <c r="V758" s="41" t="s">
        <v>1096</v>
      </c>
    </row>
    <row r="759" spans="1:26" s="41" customFormat="1">
      <c r="A759" s="43"/>
      <c r="B759" s="54">
        <v>10143</v>
      </c>
      <c r="C759" s="149" t="s">
        <v>1328</v>
      </c>
      <c r="D759" s="55" t="s">
        <v>1329</v>
      </c>
      <c r="E759" s="138" t="s">
        <v>1330</v>
      </c>
      <c r="F759" s="138" t="s">
        <v>1330</v>
      </c>
      <c r="G759" s="55">
        <v>4</v>
      </c>
      <c r="H759" s="55">
        <v>5</v>
      </c>
      <c r="I759" s="55"/>
      <c r="J759" s="70"/>
      <c r="K759" s="17"/>
      <c r="L759" s="17"/>
      <c r="M759" s="55">
        <v>4</v>
      </c>
      <c r="N759" s="49">
        <v>9999</v>
      </c>
      <c r="O759" s="54">
        <v>0</v>
      </c>
      <c r="P759" s="54">
        <v>0</v>
      </c>
      <c r="Q759" s="54">
        <v>1</v>
      </c>
      <c r="R759" s="54">
        <v>2</v>
      </c>
      <c r="S759" s="152">
        <f t="shared" si="4"/>
        <v>400</v>
      </c>
      <c r="T759" s="153">
        <v>1</v>
      </c>
      <c r="U759" s="41" t="s">
        <v>1331</v>
      </c>
      <c r="V759" s="41" t="s">
        <v>1096</v>
      </c>
      <c r="Z759" s="41" t="s">
        <v>1187</v>
      </c>
    </row>
    <row r="760" spans="1:26" s="41" customFormat="1">
      <c r="A760" s="43"/>
      <c r="B760" s="54">
        <v>10144</v>
      </c>
      <c r="C760" s="149" t="s">
        <v>1332</v>
      </c>
      <c r="D760" s="55" t="s">
        <v>1333</v>
      </c>
      <c r="E760" s="138" t="s">
        <v>1334</v>
      </c>
      <c r="F760" s="138" t="s">
        <v>1334</v>
      </c>
      <c r="G760" s="55">
        <v>4</v>
      </c>
      <c r="H760" s="55">
        <v>5</v>
      </c>
      <c r="I760" s="55"/>
      <c r="J760" s="70"/>
      <c r="K760" s="17"/>
      <c r="L760" s="17"/>
      <c r="M760" s="55">
        <v>4</v>
      </c>
      <c r="N760" s="49">
        <v>9999</v>
      </c>
      <c r="O760" s="54">
        <v>0</v>
      </c>
      <c r="P760" s="54">
        <v>0</v>
      </c>
      <c r="Q760" s="54">
        <v>1</v>
      </c>
      <c r="R760" s="54">
        <v>2</v>
      </c>
      <c r="S760" s="152">
        <f t="shared" si="4"/>
        <v>400</v>
      </c>
      <c r="T760" s="153">
        <v>1</v>
      </c>
      <c r="U760" s="41" t="s">
        <v>1335</v>
      </c>
      <c r="V760" s="41" t="s">
        <v>1096</v>
      </c>
      <c r="Z760" s="41" t="s">
        <v>1187</v>
      </c>
    </row>
    <row r="761" spans="1:26" s="41" customFormat="1">
      <c r="A761" s="43"/>
      <c r="B761" s="54">
        <v>10145</v>
      </c>
      <c r="C761" s="149" t="s">
        <v>1336</v>
      </c>
      <c r="D761" s="55" t="s">
        <v>1337</v>
      </c>
      <c r="E761" s="138" t="s">
        <v>1338</v>
      </c>
      <c r="F761" s="138" t="s">
        <v>1338</v>
      </c>
      <c r="G761" s="55">
        <v>4</v>
      </c>
      <c r="H761" s="55">
        <v>5</v>
      </c>
      <c r="I761" s="55"/>
      <c r="J761" s="70"/>
      <c r="K761" s="17"/>
      <c r="L761" s="17"/>
      <c r="M761" s="55">
        <v>4</v>
      </c>
      <c r="N761" s="49">
        <v>9999</v>
      </c>
      <c r="O761" s="54">
        <v>0</v>
      </c>
      <c r="P761" s="54">
        <v>0</v>
      </c>
      <c r="Q761" s="54">
        <v>1</v>
      </c>
      <c r="R761" s="54">
        <v>2</v>
      </c>
      <c r="S761" s="152">
        <f t="shared" si="4"/>
        <v>400</v>
      </c>
      <c r="T761" s="153">
        <v>1</v>
      </c>
      <c r="U761" s="41" t="s">
        <v>1339</v>
      </c>
      <c r="V761" s="41" t="s">
        <v>1096</v>
      </c>
    </row>
    <row r="762" spans="1:26" s="41" customFormat="1">
      <c r="A762" s="43"/>
      <c r="B762" s="54">
        <v>10146</v>
      </c>
      <c r="C762" s="149" t="s">
        <v>1340</v>
      </c>
      <c r="D762" s="52" t="s">
        <v>1341</v>
      </c>
      <c r="E762" s="138" t="s">
        <v>1342</v>
      </c>
      <c r="F762" s="138" t="s">
        <v>1342</v>
      </c>
      <c r="G762" s="55">
        <v>4</v>
      </c>
      <c r="H762" s="55">
        <v>5</v>
      </c>
      <c r="I762" s="55"/>
      <c r="J762" s="70"/>
      <c r="K762" s="17"/>
      <c r="L762" s="17"/>
      <c r="M762" s="55">
        <v>4</v>
      </c>
      <c r="N762" s="49">
        <v>9999</v>
      </c>
      <c r="O762" s="54">
        <v>0</v>
      </c>
      <c r="P762" s="54">
        <v>0</v>
      </c>
      <c r="Q762" s="54">
        <v>1</v>
      </c>
      <c r="R762" s="54">
        <v>2</v>
      </c>
      <c r="S762" s="152">
        <f t="shared" si="4"/>
        <v>400</v>
      </c>
      <c r="T762" s="153">
        <v>1</v>
      </c>
      <c r="U762" s="41" t="s">
        <v>1343</v>
      </c>
      <c r="V762" s="41" t="s">
        <v>1096</v>
      </c>
    </row>
    <row r="763" spans="1:26" s="41" customFormat="1">
      <c r="A763" s="43"/>
      <c r="B763" s="54">
        <v>10147</v>
      </c>
      <c r="C763" s="149" t="s">
        <v>1344</v>
      </c>
      <c r="D763" s="55" t="s">
        <v>1345</v>
      </c>
      <c r="E763" s="138" t="s">
        <v>1346</v>
      </c>
      <c r="F763" s="138" t="s">
        <v>1346</v>
      </c>
      <c r="G763" s="55">
        <v>4</v>
      </c>
      <c r="H763" s="55">
        <v>5</v>
      </c>
      <c r="I763" s="55"/>
      <c r="J763" s="70"/>
      <c r="K763" s="17"/>
      <c r="L763" s="17"/>
      <c r="M763" s="55">
        <v>4</v>
      </c>
      <c r="N763" s="49">
        <v>9999</v>
      </c>
      <c r="O763" s="54">
        <v>0</v>
      </c>
      <c r="P763" s="54">
        <v>0</v>
      </c>
      <c r="Q763" s="54">
        <v>1</v>
      </c>
      <c r="R763" s="54">
        <v>2</v>
      </c>
      <c r="S763" s="152">
        <f t="shared" si="4"/>
        <v>400</v>
      </c>
      <c r="T763" s="153">
        <v>1</v>
      </c>
      <c r="U763" s="41" t="s">
        <v>1347</v>
      </c>
      <c r="V763" s="41" t="s">
        <v>1096</v>
      </c>
      <c r="Z763" s="41" t="s">
        <v>1187</v>
      </c>
    </row>
    <row r="764" spans="1:26" s="41" customFormat="1">
      <c r="A764" s="43"/>
      <c r="B764" s="54">
        <v>10148</v>
      </c>
      <c r="C764" s="149" t="s">
        <v>1348</v>
      </c>
      <c r="D764" s="55" t="s">
        <v>1349</v>
      </c>
      <c r="E764" s="138" t="s">
        <v>1350</v>
      </c>
      <c r="F764" s="138" t="s">
        <v>1350</v>
      </c>
      <c r="G764" s="55">
        <v>4</v>
      </c>
      <c r="H764" s="55">
        <v>5</v>
      </c>
      <c r="I764" s="55"/>
      <c r="J764" s="70"/>
      <c r="K764" s="17"/>
      <c r="L764" s="17"/>
      <c r="M764" s="55">
        <v>4</v>
      </c>
      <c r="N764" s="49">
        <v>9999</v>
      </c>
      <c r="O764" s="54">
        <v>0</v>
      </c>
      <c r="P764" s="54">
        <v>0</v>
      </c>
      <c r="Q764" s="54">
        <v>1</v>
      </c>
      <c r="R764" s="54">
        <v>2</v>
      </c>
      <c r="S764" s="152">
        <f t="shared" si="4"/>
        <v>400</v>
      </c>
      <c r="T764" s="153">
        <v>1</v>
      </c>
      <c r="U764" s="41" t="s">
        <v>1351</v>
      </c>
      <c r="V764" s="41" t="s">
        <v>1096</v>
      </c>
      <c r="Z764" s="41" t="s">
        <v>1187</v>
      </c>
    </row>
    <row r="765" spans="1:26" s="41" customFormat="1">
      <c r="A765" s="43"/>
      <c r="B765" s="54">
        <v>10149</v>
      </c>
      <c r="C765" s="149" t="s">
        <v>1352</v>
      </c>
      <c r="D765" s="55" t="s">
        <v>1353</v>
      </c>
      <c r="E765" s="138" t="s">
        <v>1354</v>
      </c>
      <c r="F765" s="138" t="s">
        <v>1354</v>
      </c>
      <c r="G765" s="55">
        <v>4</v>
      </c>
      <c r="H765" s="55">
        <v>5</v>
      </c>
      <c r="I765" s="55"/>
      <c r="J765" s="70"/>
      <c r="K765" s="17"/>
      <c r="L765" s="17"/>
      <c r="M765" s="55">
        <v>4</v>
      </c>
      <c r="N765" s="49">
        <v>9999</v>
      </c>
      <c r="O765" s="54">
        <v>0</v>
      </c>
      <c r="P765" s="54">
        <v>0</v>
      </c>
      <c r="Q765" s="54">
        <v>1</v>
      </c>
      <c r="R765" s="54">
        <v>2</v>
      </c>
      <c r="S765" s="152">
        <f t="shared" si="4"/>
        <v>400</v>
      </c>
      <c r="T765" s="153">
        <v>1</v>
      </c>
      <c r="U765" s="41" t="s">
        <v>1355</v>
      </c>
      <c r="V765" s="41" t="s">
        <v>1096</v>
      </c>
    </row>
    <row r="766" spans="1:26" s="41" customFormat="1">
      <c r="A766" s="43"/>
      <c r="B766" s="54">
        <v>10150</v>
      </c>
      <c r="C766" s="149" t="s">
        <v>1356</v>
      </c>
      <c r="D766" s="55" t="s">
        <v>1357</v>
      </c>
      <c r="E766" s="138" t="s">
        <v>1358</v>
      </c>
      <c r="F766" s="138" t="s">
        <v>1358</v>
      </c>
      <c r="G766" s="55">
        <v>4</v>
      </c>
      <c r="H766" s="55">
        <v>5</v>
      </c>
      <c r="I766" s="55"/>
      <c r="J766" s="70"/>
      <c r="K766" s="17"/>
      <c r="L766" s="17"/>
      <c r="M766" s="55">
        <v>4</v>
      </c>
      <c r="N766" s="49">
        <v>9999</v>
      </c>
      <c r="O766" s="54">
        <v>0</v>
      </c>
      <c r="P766" s="54">
        <v>0</v>
      </c>
      <c r="Q766" s="54">
        <v>1</v>
      </c>
      <c r="R766" s="54">
        <v>2</v>
      </c>
      <c r="S766" s="152">
        <f t="shared" si="4"/>
        <v>400</v>
      </c>
      <c r="T766" s="153">
        <v>1</v>
      </c>
      <c r="U766" s="41" t="s">
        <v>1359</v>
      </c>
      <c r="V766" s="41" t="s">
        <v>1096</v>
      </c>
    </row>
    <row r="767" spans="1:26" s="41" customFormat="1">
      <c r="A767" s="43"/>
      <c r="B767" s="54">
        <v>10151</v>
      </c>
      <c r="C767" s="154" t="s">
        <v>1360</v>
      </c>
      <c r="D767" s="52" t="s">
        <v>1361</v>
      </c>
      <c r="E767" s="138" t="s">
        <v>1362</v>
      </c>
      <c r="F767" s="138" t="s">
        <v>1362</v>
      </c>
      <c r="G767" s="55">
        <v>4</v>
      </c>
      <c r="H767" s="55">
        <v>5</v>
      </c>
      <c r="I767" s="55"/>
      <c r="J767" s="70"/>
      <c r="K767" s="17"/>
      <c r="L767" s="17"/>
      <c r="M767" s="55">
        <v>5</v>
      </c>
      <c r="N767" s="49">
        <v>9999</v>
      </c>
      <c r="O767" s="54">
        <v>0</v>
      </c>
      <c r="P767" s="54">
        <v>0</v>
      </c>
      <c r="Q767" s="54">
        <v>1</v>
      </c>
      <c r="R767" s="54">
        <v>2</v>
      </c>
      <c r="S767" s="152">
        <f t="shared" si="4"/>
        <v>500</v>
      </c>
      <c r="T767" s="153">
        <v>1</v>
      </c>
      <c r="U767" s="41" t="s">
        <v>1363</v>
      </c>
      <c r="V767" s="41" t="s">
        <v>1096</v>
      </c>
      <c r="Z767" s="41" t="s">
        <v>1187</v>
      </c>
    </row>
    <row r="768" spans="1:26" s="41" customFormat="1">
      <c r="A768" s="43"/>
      <c r="B768" s="54">
        <v>10152</v>
      </c>
      <c r="C768" s="154" t="s">
        <v>1364</v>
      </c>
      <c r="D768" s="55" t="s">
        <v>1365</v>
      </c>
      <c r="E768" s="138" t="s">
        <v>1366</v>
      </c>
      <c r="F768" s="138" t="s">
        <v>1366</v>
      </c>
      <c r="G768" s="55">
        <v>4</v>
      </c>
      <c r="H768" s="55">
        <v>5</v>
      </c>
      <c r="I768" s="55"/>
      <c r="J768" s="70"/>
      <c r="K768" s="17"/>
      <c r="L768" s="17"/>
      <c r="M768" s="55">
        <v>5</v>
      </c>
      <c r="N768" s="49">
        <v>9999</v>
      </c>
      <c r="O768" s="54">
        <v>0</v>
      </c>
      <c r="P768" s="54">
        <v>0</v>
      </c>
      <c r="Q768" s="54">
        <v>1</v>
      </c>
      <c r="R768" s="54">
        <v>2</v>
      </c>
      <c r="S768" s="152">
        <f t="shared" si="4"/>
        <v>500</v>
      </c>
      <c r="T768" s="153">
        <v>1</v>
      </c>
      <c r="U768" s="41" t="s">
        <v>1367</v>
      </c>
      <c r="V768" s="41" t="s">
        <v>1096</v>
      </c>
      <c r="Z768" s="41" t="s">
        <v>1187</v>
      </c>
    </row>
    <row r="769" spans="1:26" s="41" customFormat="1">
      <c r="A769" s="43"/>
      <c r="B769" s="54">
        <v>10153</v>
      </c>
      <c r="C769" s="154" t="s">
        <v>1368</v>
      </c>
      <c r="D769" s="55" t="s">
        <v>1369</v>
      </c>
      <c r="E769" s="138" t="s">
        <v>1370</v>
      </c>
      <c r="F769" s="138" t="s">
        <v>1370</v>
      </c>
      <c r="G769" s="55">
        <v>4</v>
      </c>
      <c r="H769" s="55">
        <v>5</v>
      </c>
      <c r="I769" s="55"/>
      <c r="J769" s="70"/>
      <c r="K769" s="17"/>
      <c r="L769" s="17"/>
      <c r="M769" s="55">
        <v>5</v>
      </c>
      <c r="N769" s="49">
        <v>9999</v>
      </c>
      <c r="O769" s="54">
        <v>0</v>
      </c>
      <c r="P769" s="54">
        <v>0</v>
      </c>
      <c r="Q769" s="54">
        <v>1</v>
      </c>
      <c r="R769" s="54">
        <v>2</v>
      </c>
      <c r="S769" s="152">
        <f t="shared" si="4"/>
        <v>500</v>
      </c>
      <c r="T769" s="153">
        <v>1</v>
      </c>
      <c r="U769" s="41" t="s">
        <v>1371</v>
      </c>
      <c r="V769" s="41" t="s">
        <v>1096</v>
      </c>
    </row>
    <row r="770" spans="1:26" s="41" customFormat="1">
      <c r="A770" s="43"/>
      <c r="B770" s="54">
        <v>10154</v>
      </c>
      <c r="C770" s="154" t="s">
        <v>1372</v>
      </c>
      <c r="D770" s="55" t="s">
        <v>1373</v>
      </c>
      <c r="E770" s="138" t="s">
        <v>1374</v>
      </c>
      <c r="F770" s="138" t="s">
        <v>1374</v>
      </c>
      <c r="G770" s="55">
        <v>4</v>
      </c>
      <c r="H770" s="55">
        <v>5</v>
      </c>
      <c r="I770" s="55"/>
      <c r="J770" s="70"/>
      <c r="K770" s="17"/>
      <c r="L770" s="17"/>
      <c r="M770" s="55">
        <v>5</v>
      </c>
      <c r="N770" s="49">
        <v>9999</v>
      </c>
      <c r="O770" s="54">
        <v>0</v>
      </c>
      <c r="P770" s="54">
        <v>0</v>
      </c>
      <c r="Q770" s="54">
        <v>1</v>
      </c>
      <c r="R770" s="54">
        <v>2</v>
      </c>
      <c r="S770" s="152">
        <f t="shared" si="4"/>
        <v>500</v>
      </c>
      <c r="T770" s="153">
        <v>1</v>
      </c>
      <c r="U770" s="41" t="s">
        <v>1375</v>
      </c>
      <c r="V770" s="41" t="s">
        <v>1096</v>
      </c>
    </row>
    <row r="771" spans="1:26" s="41" customFormat="1">
      <c r="A771" s="43"/>
      <c r="B771" s="54">
        <v>10155</v>
      </c>
      <c r="C771" s="154" t="s">
        <v>1376</v>
      </c>
      <c r="D771" s="55" t="s">
        <v>1377</v>
      </c>
      <c r="E771" s="138" t="s">
        <v>1378</v>
      </c>
      <c r="F771" s="138" t="s">
        <v>1378</v>
      </c>
      <c r="G771" s="55">
        <v>4</v>
      </c>
      <c r="H771" s="55">
        <v>5</v>
      </c>
      <c r="I771" s="55"/>
      <c r="J771" s="70"/>
      <c r="K771" s="17"/>
      <c r="L771" s="17"/>
      <c r="M771" s="55">
        <v>5</v>
      </c>
      <c r="N771" s="49">
        <v>9999</v>
      </c>
      <c r="O771" s="54">
        <v>0</v>
      </c>
      <c r="P771" s="54">
        <v>0</v>
      </c>
      <c r="Q771" s="54">
        <v>1</v>
      </c>
      <c r="R771" s="54">
        <v>2</v>
      </c>
      <c r="S771" s="152">
        <f t="shared" si="4"/>
        <v>500</v>
      </c>
      <c r="T771" s="153">
        <v>1</v>
      </c>
      <c r="U771" s="41" t="s">
        <v>1379</v>
      </c>
      <c r="V771" s="41" t="s">
        <v>1096</v>
      </c>
      <c r="Z771" s="41" t="s">
        <v>1187</v>
      </c>
    </row>
    <row r="772" spans="1:26" s="41" customFormat="1">
      <c r="A772" s="43"/>
      <c r="B772" s="54">
        <v>10156</v>
      </c>
      <c r="C772" s="154" t="s">
        <v>1380</v>
      </c>
      <c r="D772" s="52" t="s">
        <v>1381</v>
      </c>
      <c r="E772" s="138" t="s">
        <v>1382</v>
      </c>
      <c r="F772" s="138" t="s">
        <v>1382</v>
      </c>
      <c r="G772" s="55">
        <v>4</v>
      </c>
      <c r="H772" s="55">
        <v>5</v>
      </c>
      <c r="I772" s="55"/>
      <c r="J772" s="70"/>
      <c r="K772" s="17"/>
      <c r="L772" s="17"/>
      <c r="M772" s="55">
        <v>5</v>
      </c>
      <c r="N772" s="49">
        <v>9999</v>
      </c>
      <c r="O772" s="54">
        <v>0</v>
      </c>
      <c r="P772" s="54">
        <v>0</v>
      </c>
      <c r="Q772" s="54">
        <v>1</v>
      </c>
      <c r="R772" s="54">
        <v>2</v>
      </c>
      <c r="S772" s="152">
        <f t="shared" si="4"/>
        <v>500</v>
      </c>
      <c r="T772" s="153">
        <v>1</v>
      </c>
      <c r="U772" s="41" t="s">
        <v>1383</v>
      </c>
      <c r="V772" s="41" t="s">
        <v>1096</v>
      </c>
      <c r="Z772" s="41" t="s">
        <v>1187</v>
      </c>
    </row>
    <row r="773" spans="1:26" s="41" customFormat="1">
      <c r="A773" s="43"/>
      <c r="B773" s="54">
        <v>10157</v>
      </c>
      <c r="C773" s="154" t="s">
        <v>1384</v>
      </c>
      <c r="D773" s="55" t="s">
        <v>1385</v>
      </c>
      <c r="E773" s="138" t="s">
        <v>1386</v>
      </c>
      <c r="F773" s="138" t="s">
        <v>1386</v>
      </c>
      <c r="G773" s="55">
        <v>4</v>
      </c>
      <c r="H773" s="55">
        <v>5</v>
      </c>
      <c r="I773" s="55"/>
      <c r="J773" s="70"/>
      <c r="K773" s="17"/>
      <c r="L773" s="17"/>
      <c r="M773" s="55">
        <v>5</v>
      </c>
      <c r="N773" s="49">
        <v>9999</v>
      </c>
      <c r="O773" s="54">
        <v>0</v>
      </c>
      <c r="P773" s="54">
        <v>0</v>
      </c>
      <c r="Q773" s="54">
        <v>1</v>
      </c>
      <c r="R773" s="54">
        <v>2</v>
      </c>
      <c r="S773" s="152">
        <f t="shared" si="4"/>
        <v>500</v>
      </c>
      <c r="T773" s="153">
        <v>1</v>
      </c>
      <c r="U773" s="41" t="s">
        <v>1387</v>
      </c>
      <c r="V773" s="41" t="s">
        <v>1096</v>
      </c>
    </row>
    <row r="774" spans="1:26" s="41" customFormat="1">
      <c r="A774" s="43"/>
      <c r="B774" s="54">
        <v>10158</v>
      </c>
      <c r="C774" s="154" t="s">
        <v>1388</v>
      </c>
      <c r="D774" s="55" t="s">
        <v>1389</v>
      </c>
      <c r="E774" s="138" t="s">
        <v>1390</v>
      </c>
      <c r="F774" s="138" t="s">
        <v>1390</v>
      </c>
      <c r="G774" s="55">
        <v>4</v>
      </c>
      <c r="H774" s="55">
        <v>5</v>
      </c>
      <c r="I774" s="55"/>
      <c r="J774" s="70"/>
      <c r="K774" s="17"/>
      <c r="L774" s="17"/>
      <c r="M774" s="55">
        <v>5</v>
      </c>
      <c r="N774" s="49">
        <v>9999</v>
      </c>
      <c r="O774" s="54">
        <v>0</v>
      </c>
      <c r="P774" s="54">
        <v>0</v>
      </c>
      <c r="Q774" s="54">
        <v>1</v>
      </c>
      <c r="R774" s="54">
        <v>2</v>
      </c>
      <c r="S774" s="152">
        <f t="shared" si="4"/>
        <v>500</v>
      </c>
      <c r="T774" s="153">
        <v>1</v>
      </c>
      <c r="U774" s="41" t="s">
        <v>1391</v>
      </c>
      <c r="V774" s="41" t="s">
        <v>1096</v>
      </c>
    </row>
    <row r="775" spans="1:26" s="41" customFormat="1">
      <c r="A775" s="43"/>
      <c r="B775" s="54">
        <v>10159</v>
      </c>
      <c r="C775" s="154" t="s">
        <v>1392</v>
      </c>
      <c r="D775" s="55" t="s">
        <v>1393</v>
      </c>
      <c r="E775" s="138" t="s">
        <v>1394</v>
      </c>
      <c r="F775" s="138" t="s">
        <v>1394</v>
      </c>
      <c r="G775" s="55">
        <v>4</v>
      </c>
      <c r="H775" s="55">
        <v>5</v>
      </c>
      <c r="I775" s="55"/>
      <c r="J775" s="70"/>
      <c r="K775" s="17"/>
      <c r="L775" s="17"/>
      <c r="M775" s="55">
        <v>5</v>
      </c>
      <c r="N775" s="49">
        <v>9999</v>
      </c>
      <c r="O775" s="54">
        <v>0</v>
      </c>
      <c r="P775" s="54">
        <v>0</v>
      </c>
      <c r="Q775" s="54">
        <v>1</v>
      </c>
      <c r="R775" s="54">
        <v>2</v>
      </c>
      <c r="S775" s="152">
        <f t="shared" si="4"/>
        <v>500</v>
      </c>
      <c r="T775" s="153">
        <v>1</v>
      </c>
      <c r="U775" s="41" t="s">
        <v>1395</v>
      </c>
      <c r="V775" s="41" t="s">
        <v>1096</v>
      </c>
      <c r="Z775" s="41" t="s">
        <v>1187</v>
      </c>
    </row>
    <row r="776" spans="1:26" s="41" customFormat="1">
      <c r="A776" s="43"/>
      <c r="B776" s="54">
        <v>10160</v>
      </c>
      <c r="C776" s="154" t="s">
        <v>1396</v>
      </c>
      <c r="D776" s="55" t="s">
        <v>1397</v>
      </c>
      <c r="E776" s="138" t="s">
        <v>1398</v>
      </c>
      <c r="F776" s="138" t="s">
        <v>1398</v>
      </c>
      <c r="G776" s="55">
        <v>4</v>
      </c>
      <c r="H776" s="55">
        <v>5</v>
      </c>
      <c r="I776" s="55"/>
      <c r="J776" s="70"/>
      <c r="K776" s="17"/>
      <c r="L776" s="17"/>
      <c r="M776" s="55">
        <v>5</v>
      </c>
      <c r="N776" s="49">
        <v>9999</v>
      </c>
      <c r="O776" s="54">
        <v>0</v>
      </c>
      <c r="P776" s="54">
        <v>0</v>
      </c>
      <c r="Q776" s="54">
        <v>1</v>
      </c>
      <c r="R776" s="54">
        <v>2</v>
      </c>
      <c r="S776" s="152">
        <f t="shared" si="4"/>
        <v>500</v>
      </c>
      <c r="T776" s="153">
        <v>1</v>
      </c>
      <c r="U776" s="41" t="s">
        <v>1399</v>
      </c>
      <c r="V776" s="41" t="s">
        <v>1096</v>
      </c>
      <c r="Z776" s="41" t="s">
        <v>1187</v>
      </c>
    </row>
    <row r="777" spans="1:26" s="41" customFormat="1">
      <c r="A777" s="43"/>
      <c r="B777" s="54">
        <v>10161</v>
      </c>
      <c r="C777" s="154" t="s">
        <v>1400</v>
      </c>
      <c r="D777" s="52" t="s">
        <v>1401</v>
      </c>
      <c r="E777" s="138" t="s">
        <v>1402</v>
      </c>
      <c r="F777" s="138" t="s">
        <v>1402</v>
      </c>
      <c r="G777" s="55">
        <v>4</v>
      </c>
      <c r="H777" s="55">
        <v>5</v>
      </c>
      <c r="I777" s="55"/>
      <c r="J777" s="70"/>
      <c r="K777" s="17"/>
      <c r="L777" s="17"/>
      <c r="M777" s="55">
        <v>5</v>
      </c>
      <c r="N777" s="49">
        <v>9999</v>
      </c>
      <c r="O777" s="54">
        <v>0</v>
      </c>
      <c r="P777" s="54">
        <v>0</v>
      </c>
      <c r="Q777" s="54">
        <v>1</v>
      </c>
      <c r="R777" s="54">
        <v>2</v>
      </c>
      <c r="S777" s="152">
        <f t="shared" si="4"/>
        <v>500</v>
      </c>
      <c r="T777" s="153">
        <v>1</v>
      </c>
      <c r="U777" s="41" t="s">
        <v>1403</v>
      </c>
      <c r="V777" s="41" t="s">
        <v>1096</v>
      </c>
    </row>
    <row r="778" spans="1:26" s="41" customFormat="1">
      <c r="A778" s="43"/>
      <c r="B778" s="54">
        <v>10162</v>
      </c>
      <c r="C778" s="154" t="s">
        <v>1404</v>
      </c>
      <c r="D778" s="55" t="s">
        <v>1405</v>
      </c>
      <c r="E778" s="138" t="s">
        <v>1406</v>
      </c>
      <c r="F778" s="138" t="s">
        <v>1406</v>
      </c>
      <c r="G778" s="55">
        <v>4</v>
      </c>
      <c r="H778" s="55">
        <v>5</v>
      </c>
      <c r="I778" s="55"/>
      <c r="J778" s="70"/>
      <c r="K778" s="17"/>
      <c r="L778" s="17"/>
      <c r="M778" s="55">
        <v>5</v>
      </c>
      <c r="N778" s="49">
        <v>9999</v>
      </c>
      <c r="O778" s="54">
        <v>0</v>
      </c>
      <c r="P778" s="54">
        <v>0</v>
      </c>
      <c r="Q778" s="54">
        <v>1</v>
      </c>
      <c r="R778" s="54">
        <v>2</v>
      </c>
      <c r="S778" s="152">
        <f t="shared" si="4"/>
        <v>500</v>
      </c>
      <c r="T778" s="153">
        <v>1</v>
      </c>
      <c r="U778" s="41" t="s">
        <v>1407</v>
      </c>
      <c r="V778" s="41" t="s">
        <v>1096</v>
      </c>
    </row>
    <row r="779" spans="1:26" s="41" customFormat="1">
      <c r="A779" s="43"/>
      <c r="B779" s="54">
        <v>10163</v>
      </c>
      <c r="C779" s="154" t="s">
        <v>1408</v>
      </c>
      <c r="D779" s="55" t="s">
        <v>1409</v>
      </c>
      <c r="E779" s="138" t="s">
        <v>1410</v>
      </c>
      <c r="F779" s="138" t="s">
        <v>1410</v>
      </c>
      <c r="G779" s="55">
        <v>4</v>
      </c>
      <c r="H779" s="55">
        <v>5</v>
      </c>
      <c r="I779" s="55"/>
      <c r="J779" s="70"/>
      <c r="K779" s="17"/>
      <c r="L779" s="17"/>
      <c r="M779" s="55">
        <v>5</v>
      </c>
      <c r="N779" s="49">
        <v>9999</v>
      </c>
      <c r="O779" s="54">
        <v>0</v>
      </c>
      <c r="P779" s="54">
        <v>0</v>
      </c>
      <c r="Q779" s="54">
        <v>1</v>
      </c>
      <c r="R779" s="54">
        <v>2</v>
      </c>
      <c r="S779" s="152">
        <f t="shared" si="4"/>
        <v>500</v>
      </c>
      <c r="T779" s="153">
        <v>1</v>
      </c>
      <c r="U779" s="41" t="s">
        <v>1411</v>
      </c>
      <c r="V779" s="41" t="s">
        <v>1096</v>
      </c>
    </row>
    <row r="780" spans="1:26" s="41" customFormat="1">
      <c r="A780" s="43"/>
      <c r="B780" s="54">
        <v>10164</v>
      </c>
      <c r="C780" s="154" t="s">
        <v>1412</v>
      </c>
      <c r="D780" s="55" t="s">
        <v>1413</v>
      </c>
      <c r="E780" s="138" t="s">
        <v>1414</v>
      </c>
      <c r="F780" s="138" t="s">
        <v>1414</v>
      </c>
      <c r="G780" s="55">
        <v>4</v>
      </c>
      <c r="H780" s="55">
        <v>5</v>
      </c>
      <c r="I780" s="55"/>
      <c r="J780" s="70"/>
      <c r="K780" s="17"/>
      <c r="L780" s="17"/>
      <c r="M780" s="55">
        <v>5</v>
      </c>
      <c r="N780" s="49">
        <v>9999</v>
      </c>
      <c r="O780" s="54">
        <v>0</v>
      </c>
      <c r="P780" s="54">
        <v>0</v>
      </c>
      <c r="Q780" s="54">
        <v>1</v>
      </c>
      <c r="R780" s="54">
        <v>2</v>
      </c>
      <c r="S780" s="152">
        <f t="shared" si="4"/>
        <v>500</v>
      </c>
      <c r="T780" s="153">
        <v>1</v>
      </c>
      <c r="U780" s="41" t="s">
        <v>1415</v>
      </c>
      <c r="V780" s="41" t="s">
        <v>1096</v>
      </c>
    </row>
    <row r="781" spans="1:26" s="41" customFormat="1">
      <c r="A781" s="43"/>
      <c r="B781" s="54">
        <v>10165</v>
      </c>
      <c r="C781" s="154" t="s">
        <v>1416</v>
      </c>
      <c r="D781" s="55" t="s">
        <v>1417</v>
      </c>
      <c r="E781" s="138" t="s">
        <v>1418</v>
      </c>
      <c r="F781" s="138" t="s">
        <v>1418</v>
      </c>
      <c r="G781" s="55">
        <v>4</v>
      </c>
      <c r="H781" s="55">
        <v>5</v>
      </c>
      <c r="I781" s="55"/>
      <c r="J781" s="70"/>
      <c r="K781" s="17"/>
      <c r="L781" s="17"/>
      <c r="M781" s="55">
        <v>5</v>
      </c>
      <c r="N781" s="49">
        <v>9999</v>
      </c>
      <c r="O781" s="54">
        <v>0</v>
      </c>
      <c r="P781" s="54">
        <v>0</v>
      </c>
      <c r="Q781" s="54">
        <v>1</v>
      </c>
      <c r="R781" s="54">
        <v>2</v>
      </c>
      <c r="S781" s="152">
        <f t="shared" ref="S781:S786" si="5">100*M781</f>
        <v>500</v>
      </c>
      <c r="T781" s="153">
        <v>1</v>
      </c>
      <c r="U781" s="41" t="s">
        <v>1419</v>
      </c>
      <c r="V781" s="41" t="s">
        <v>1096</v>
      </c>
      <c r="X781" s="118"/>
    </row>
    <row r="782" spans="1:26" s="41" customFormat="1">
      <c r="A782" s="43"/>
      <c r="B782" s="54">
        <v>10166</v>
      </c>
      <c r="C782" s="154" t="s">
        <v>1420</v>
      </c>
      <c r="D782" s="52" t="s">
        <v>1421</v>
      </c>
      <c r="E782" s="138" t="s">
        <v>1422</v>
      </c>
      <c r="F782" s="138" t="s">
        <v>1422</v>
      </c>
      <c r="G782" s="55">
        <v>4</v>
      </c>
      <c r="H782" s="55">
        <v>5</v>
      </c>
      <c r="I782" s="55"/>
      <c r="J782" s="70"/>
      <c r="K782" s="17"/>
      <c r="L782" s="17"/>
      <c r="M782" s="55">
        <v>5</v>
      </c>
      <c r="N782" s="49">
        <v>9999</v>
      </c>
      <c r="O782" s="54">
        <v>0</v>
      </c>
      <c r="P782" s="54">
        <v>0</v>
      </c>
      <c r="Q782" s="54">
        <v>1</v>
      </c>
      <c r="R782" s="54">
        <v>2</v>
      </c>
      <c r="S782" s="152">
        <f t="shared" si="5"/>
        <v>500</v>
      </c>
      <c r="T782" s="153">
        <v>1</v>
      </c>
      <c r="U782" s="41" t="s">
        <v>1423</v>
      </c>
      <c r="V782" s="41" t="s">
        <v>1096</v>
      </c>
      <c r="X782" s="118"/>
    </row>
    <row r="783" spans="1:26" s="41" customFormat="1">
      <c r="A783" s="43"/>
      <c r="B783" s="54">
        <v>10167</v>
      </c>
      <c r="C783" s="154" t="s">
        <v>1424</v>
      </c>
      <c r="D783" s="55" t="s">
        <v>1425</v>
      </c>
      <c r="E783" s="138" t="s">
        <v>1426</v>
      </c>
      <c r="F783" s="138" t="s">
        <v>1426</v>
      </c>
      <c r="G783" s="55">
        <v>4</v>
      </c>
      <c r="H783" s="55">
        <v>5</v>
      </c>
      <c r="I783" s="55"/>
      <c r="J783" s="70"/>
      <c r="K783" s="17"/>
      <c r="L783" s="17"/>
      <c r="M783" s="55">
        <v>5</v>
      </c>
      <c r="N783" s="49">
        <v>9999</v>
      </c>
      <c r="O783" s="54">
        <v>0</v>
      </c>
      <c r="P783" s="54">
        <v>0</v>
      </c>
      <c r="Q783" s="54">
        <v>1</v>
      </c>
      <c r="R783" s="54">
        <v>2</v>
      </c>
      <c r="S783" s="152">
        <f t="shared" si="5"/>
        <v>500</v>
      </c>
      <c r="T783" s="153">
        <v>1</v>
      </c>
      <c r="U783" s="41" t="s">
        <v>1427</v>
      </c>
      <c r="V783" s="41" t="s">
        <v>1096</v>
      </c>
    </row>
    <row r="784" spans="1:26" s="41" customFormat="1">
      <c r="A784" s="43"/>
      <c r="B784" s="54">
        <v>10168</v>
      </c>
      <c r="C784" s="154" t="s">
        <v>1428</v>
      </c>
      <c r="D784" s="55" t="s">
        <v>1429</v>
      </c>
      <c r="E784" s="138" t="s">
        <v>1430</v>
      </c>
      <c r="F784" s="138" t="s">
        <v>1430</v>
      </c>
      <c r="G784" s="55">
        <v>4</v>
      </c>
      <c r="H784" s="55">
        <v>5</v>
      </c>
      <c r="I784" s="55"/>
      <c r="J784" s="70"/>
      <c r="K784" s="17"/>
      <c r="L784" s="17"/>
      <c r="M784" s="55">
        <v>5</v>
      </c>
      <c r="N784" s="49">
        <v>9999</v>
      </c>
      <c r="O784" s="54">
        <v>0</v>
      </c>
      <c r="P784" s="54">
        <v>0</v>
      </c>
      <c r="Q784" s="54">
        <v>1</v>
      </c>
      <c r="R784" s="54">
        <v>2</v>
      </c>
      <c r="S784" s="152">
        <f t="shared" si="5"/>
        <v>500</v>
      </c>
      <c r="T784" s="153">
        <v>1</v>
      </c>
      <c r="U784" s="41" t="s">
        <v>1431</v>
      </c>
      <c r="V784" s="41" t="s">
        <v>1096</v>
      </c>
    </row>
    <row r="785" spans="1:24" s="41" customFormat="1">
      <c r="A785" s="43"/>
      <c r="B785" s="54">
        <v>10169</v>
      </c>
      <c r="C785" s="154" t="s">
        <v>1432</v>
      </c>
      <c r="D785" s="55" t="s">
        <v>1433</v>
      </c>
      <c r="E785" s="138" t="s">
        <v>1434</v>
      </c>
      <c r="F785" s="138" t="s">
        <v>1434</v>
      </c>
      <c r="G785" s="55">
        <v>4</v>
      </c>
      <c r="H785" s="55">
        <v>5</v>
      </c>
      <c r="I785" s="55"/>
      <c r="J785" s="70"/>
      <c r="K785" s="17"/>
      <c r="L785" s="17"/>
      <c r="M785" s="55">
        <v>5</v>
      </c>
      <c r="N785" s="49">
        <v>9999</v>
      </c>
      <c r="O785" s="54">
        <v>0</v>
      </c>
      <c r="P785" s="54">
        <v>0</v>
      </c>
      <c r="Q785" s="54">
        <v>1</v>
      </c>
      <c r="R785" s="54">
        <v>2</v>
      </c>
      <c r="S785" s="152">
        <f t="shared" si="5"/>
        <v>500</v>
      </c>
      <c r="T785" s="153">
        <v>1</v>
      </c>
      <c r="U785" s="41" t="s">
        <v>1435</v>
      </c>
      <c r="V785" s="41" t="s">
        <v>1096</v>
      </c>
      <c r="X785" s="118"/>
    </row>
    <row r="786" spans="1:24">
      <c r="A786" s="43"/>
      <c r="B786" s="54">
        <v>10170</v>
      </c>
      <c r="C786" s="154" t="s">
        <v>1436</v>
      </c>
      <c r="D786" s="55" t="s">
        <v>1437</v>
      </c>
      <c r="E786" s="138" t="s">
        <v>1438</v>
      </c>
      <c r="F786" s="138" t="s">
        <v>1438</v>
      </c>
      <c r="G786" s="55">
        <v>4</v>
      </c>
      <c r="H786" s="55">
        <v>5</v>
      </c>
      <c r="I786" s="55"/>
      <c r="J786" s="70"/>
      <c r="K786" s="17"/>
      <c r="L786" s="17"/>
      <c r="M786" s="55">
        <v>5</v>
      </c>
      <c r="N786" s="49">
        <v>9999</v>
      </c>
      <c r="O786" s="54">
        <v>0</v>
      </c>
      <c r="P786" s="54">
        <v>0</v>
      </c>
      <c r="Q786" s="54">
        <v>1</v>
      </c>
      <c r="R786" s="54">
        <v>2</v>
      </c>
      <c r="S786" s="152">
        <f t="shared" si="5"/>
        <v>500</v>
      </c>
      <c r="T786" s="153">
        <v>1</v>
      </c>
      <c r="U786" s="41" t="s">
        <v>1439</v>
      </c>
      <c r="V786" s="44" t="s">
        <v>1096</v>
      </c>
      <c r="X786" s="41"/>
    </row>
    <row r="787" spans="1:24">
      <c r="B787" s="55">
        <v>11001</v>
      </c>
      <c r="C787" s="55" t="s">
        <v>1440</v>
      </c>
      <c r="D787" s="59" t="s">
        <v>1441</v>
      </c>
      <c r="E787" s="138" t="s">
        <v>1442</v>
      </c>
      <c r="F787" s="138" t="s">
        <v>1442</v>
      </c>
      <c r="G787" s="54">
        <v>7</v>
      </c>
      <c r="H787" s="55">
        <v>1</v>
      </c>
      <c r="I787" s="55"/>
      <c r="J787" s="55"/>
      <c r="K787" s="17"/>
      <c r="L787" s="17"/>
      <c r="M787" s="54">
        <v>1</v>
      </c>
      <c r="N787" s="49">
        <v>1</v>
      </c>
      <c r="O787" s="54">
        <v>0</v>
      </c>
      <c r="P787" s="54">
        <v>0</v>
      </c>
      <c r="Q787" s="54">
        <v>0</v>
      </c>
      <c r="R787" s="54"/>
      <c r="S787" s="54">
        <v>0</v>
      </c>
      <c r="T787" s="153"/>
    </row>
    <row r="788" spans="1:24">
      <c r="B788" s="55">
        <v>11002</v>
      </c>
      <c r="C788" s="49" t="s">
        <v>1443</v>
      </c>
      <c r="D788" s="59" t="s">
        <v>1444</v>
      </c>
      <c r="E788" s="84" t="s">
        <v>1445</v>
      </c>
      <c r="F788" s="84" t="s">
        <v>1445</v>
      </c>
      <c r="G788" s="54">
        <v>7</v>
      </c>
      <c r="H788" s="49">
        <v>2</v>
      </c>
      <c r="I788" s="49"/>
      <c r="J788" s="55"/>
      <c r="K788" s="17"/>
      <c r="L788" s="17"/>
      <c r="M788" s="54">
        <v>1</v>
      </c>
      <c r="N788" s="49">
        <v>1</v>
      </c>
      <c r="O788" s="54">
        <v>0</v>
      </c>
      <c r="P788" s="54">
        <v>0</v>
      </c>
      <c r="Q788" s="54">
        <v>0</v>
      </c>
      <c r="R788" s="54"/>
      <c r="S788" s="54">
        <v>0</v>
      </c>
      <c r="T788" s="153"/>
    </row>
    <row r="789" spans="1:24">
      <c r="B789" s="55">
        <v>11003</v>
      </c>
      <c r="C789" s="49" t="s">
        <v>1446</v>
      </c>
      <c r="D789" s="59" t="s">
        <v>1447</v>
      </c>
      <c r="E789" s="84" t="s">
        <v>1448</v>
      </c>
      <c r="F789" s="84" t="s">
        <v>1448</v>
      </c>
      <c r="G789" s="54">
        <v>7</v>
      </c>
      <c r="H789" s="49">
        <v>3</v>
      </c>
      <c r="I789" s="49"/>
      <c r="J789" s="55"/>
      <c r="K789" s="17"/>
      <c r="L789" s="17"/>
      <c r="M789" s="54">
        <v>1</v>
      </c>
      <c r="N789" s="49">
        <v>1</v>
      </c>
      <c r="O789" s="54">
        <v>0</v>
      </c>
      <c r="P789" s="54">
        <v>0</v>
      </c>
      <c r="Q789" s="54">
        <v>0</v>
      </c>
      <c r="R789" s="54"/>
      <c r="S789" s="54">
        <v>0</v>
      </c>
      <c r="T789" s="153"/>
    </row>
    <row r="790" spans="1:24">
      <c r="B790" s="55">
        <v>11004</v>
      </c>
      <c r="C790" s="49" t="s">
        <v>1449</v>
      </c>
      <c r="D790" s="59" t="s">
        <v>1450</v>
      </c>
      <c r="E790" s="84" t="s">
        <v>1451</v>
      </c>
      <c r="F790" s="84" t="s">
        <v>1451</v>
      </c>
      <c r="G790" s="54">
        <v>7</v>
      </c>
      <c r="H790" s="55">
        <v>4</v>
      </c>
      <c r="I790" s="49"/>
      <c r="J790" s="55"/>
      <c r="K790" s="17"/>
      <c r="L790" s="17"/>
      <c r="M790" s="54">
        <v>1</v>
      </c>
      <c r="N790" s="49">
        <v>1</v>
      </c>
      <c r="O790" s="54">
        <v>0</v>
      </c>
      <c r="P790" s="54">
        <v>0</v>
      </c>
      <c r="Q790" s="54">
        <v>0</v>
      </c>
      <c r="R790" s="54"/>
      <c r="S790" s="54">
        <v>0</v>
      </c>
      <c r="T790" s="153"/>
    </row>
    <row r="791" spans="1:24">
      <c r="B791" s="55">
        <v>11005</v>
      </c>
      <c r="C791" s="49" t="s">
        <v>1452</v>
      </c>
      <c r="D791" s="59" t="s">
        <v>1453</v>
      </c>
      <c r="E791" s="84" t="s">
        <v>1454</v>
      </c>
      <c r="F791" s="84" t="s">
        <v>1454</v>
      </c>
      <c r="G791" s="54">
        <v>7</v>
      </c>
      <c r="H791" s="55">
        <v>5</v>
      </c>
      <c r="I791" s="49"/>
      <c r="J791" s="55"/>
      <c r="K791" s="17"/>
      <c r="L791" s="17"/>
      <c r="M791" s="54">
        <v>1</v>
      </c>
      <c r="N791" s="49">
        <v>1</v>
      </c>
      <c r="O791" s="54">
        <v>0</v>
      </c>
      <c r="P791" s="54">
        <v>0</v>
      </c>
      <c r="Q791" s="54">
        <v>0</v>
      </c>
      <c r="R791" s="54"/>
      <c r="S791" s="54">
        <v>0</v>
      </c>
      <c r="T791" s="153"/>
    </row>
    <row r="792" spans="1:24">
      <c r="B792" s="55">
        <v>11006</v>
      </c>
      <c r="C792" s="55" t="s">
        <v>1440</v>
      </c>
      <c r="D792" s="59" t="s">
        <v>1441</v>
      </c>
      <c r="E792" s="138" t="s">
        <v>1455</v>
      </c>
      <c r="F792" s="138" t="s">
        <v>1455</v>
      </c>
      <c r="G792" s="54">
        <v>7</v>
      </c>
      <c r="H792" s="55">
        <v>1</v>
      </c>
      <c r="I792" s="55"/>
      <c r="J792" s="55"/>
      <c r="K792" s="17"/>
      <c r="L792" s="17"/>
      <c r="M792" s="54">
        <v>1</v>
      </c>
      <c r="N792" s="49">
        <v>1</v>
      </c>
      <c r="O792" s="54">
        <v>0</v>
      </c>
      <c r="P792" s="54">
        <v>0</v>
      </c>
      <c r="Q792" s="54">
        <v>0</v>
      </c>
      <c r="R792" s="54"/>
      <c r="S792" s="54">
        <v>0</v>
      </c>
      <c r="T792" s="153"/>
    </row>
    <row r="793" spans="1:24">
      <c r="B793" s="55">
        <v>11007</v>
      </c>
      <c r="C793" s="49" t="s">
        <v>1443</v>
      </c>
      <c r="D793" s="59" t="s">
        <v>1444</v>
      </c>
      <c r="E793" s="84" t="s">
        <v>1456</v>
      </c>
      <c r="F793" s="84" t="s">
        <v>1456</v>
      </c>
      <c r="G793" s="54">
        <v>7</v>
      </c>
      <c r="H793" s="49">
        <v>2</v>
      </c>
      <c r="I793" s="49"/>
      <c r="J793" s="55"/>
      <c r="K793" s="17"/>
      <c r="L793" s="17"/>
      <c r="M793" s="54">
        <v>1</v>
      </c>
      <c r="N793" s="49">
        <v>1</v>
      </c>
      <c r="O793" s="54">
        <v>0</v>
      </c>
      <c r="P793" s="54">
        <v>0</v>
      </c>
      <c r="Q793" s="54">
        <v>0</v>
      </c>
      <c r="R793" s="54"/>
      <c r="S793" s="54">
        <v>0</v>
      </c>
      <c r="T793" s="153"/>
    </row>
    <row r="794" spans="1:24">
      <c r="B794" s="55">
        <v>11008</v>
      </c>
      <c r="C794" s="49" t="s">
        <v>1446</v>
      </c>
      <c r="D794" s="59" t="s">
        <v>1447</v>
      </c>
      <c r="E794" s="84" t="s">
        <v>1457</v>
      </c>
      <c r="F794" s="84" t="s">
        <v>1457</v>
      </c>
      <c r="G794" s="54">
        <v>7</v>
      </c>
      <c r="H794" s="49">
        <v>3</v>
      </c>
      <c r="I794" s="49"/>
      <c r="J794" s="55"/>
      <c r="K794" s="17"/>
      <c r="L794" s="17"/>
      <c r="M794" s="54">
        <v>1</v>
      </c>
      <c r="N794" s="49">
        <v>1</v>
      </c>
      <c r="O794" s="54">
        <v>0</v>
      </c>
      <c r="P794" s="54">
        <v>0</v>
      </c>
      <c r="Q794" s="54">
        <v>0</v>
      </c>
      <c r="R794" s="54"/>
      <c r="S794" s="54">
        <v>0</v>
      </c>
      <c r="T794" s="153"/>
    </row>
    <row r="795" spans="1:24">
      <c r="B795" s="55">
        <v>11009</v>
      </c>
      <c r="C795" s="49" t="s">
        <v>1449</v>
      </c>
      <c r="D795" s="59" t="s">
        <v>1450</v>
      </c>
      <c r="E795" s="84" t="s">
        <v>1458</v>
      </c>
      <c r="F795" s="84" t="s">
        <v>1458</v>
      </c>
      <c r="G795" s="54">
        <v>7</v>
      </c>
      <c r="H795" s="55">
        <v>4</v>
      </c>
      <c r="I795" s="49"/>
      <c r="J795" s="55"/>
      <c r="K795" s="17"/>
      <c r="L795" s="17"/>
      <c r="M795" s="54">
        <v>1</v>
      </c>
      <c r="N795" s="49">
        <v>1</v>
      </c>
      <c r="O795" s="54">
        <v>0</v>
      </c>
      <c r="P795" s="54">
        <v>0</v>
      </c>
      <c r="Q795" s="54">
        <v>0</v>
      </c>
      <c r="R795" s="54"/>
      <c r="S795" s="54">
        <v>0</v>
      </c>
      <c r="T795" s="153"/>
    </row>
    <row r="796" spans="1:24">
      <c r="B796" s="55">
        <v>11010</v>
      </c>
      <c r="C796" s="49" t="s">
        <v>1452</v>
      </c>
      <c r="D796" s="59" t="s">
        <v>1453</v>
      </c>
      <c r="E796" s="84" t="s">
        <v>1459</v>
      </c>
      <c r="F796" s="84" t="s">
        <v>1459</v>
      </c>
      <c r="G796" s="54">
        <v>7</v>
      </c>
      <c r="H796" s="55">
        <v>5</v>
      </c>
      <c r="I796" s="49"/>
      <c r="J796" s="55"/>
      <c r="K796" s="17"/>
      <c r="L796" s="17"/>
      <c r="M796" s="54">
        <v>1</v>
      </c>
      <c r="N796" s="49">
        <v>1</v>
      </c>
      <c r="O796" s="54">
        <v>0</v>
      </c>
      <c r="P796" s="54">
        <v>0</v>
      </c>
      <c r="Q796" s="54">
        <v>0</v>
      </c>
      <c r="R796" s="54"/>
      <c r="S796" s="54">
        <v>0</v>
      </c>
      <c r="T796" s="153"/>
    </row>
    <row r="797" spans="1:24">
      <c r="B797" s="55">
        <v>11011</v>
      </c>
      <c r="C797" s="49" t="s">
        <v>1440</v>
      </c>
      <c r="D797" s="59" t="s">
        <v>1441</v>
      </c>
      <c r="E797" s="84" t="s">
        <v>1460</v>
      </c>
      <c r="F797" s="84" t="s">
        <v>1460</v>
      </c>
      <c r="G797" s="54">
        <v>7</v>
      </c>
      <c r="H797" s="55">
        <v>1</v>
      </c>
      <c r="I797" s="49"/>
      <c r="J797" s="55"/>
      <c r="K797" s="17"/>
      <c r="L797" s="17"/>
      <c r="M797" s="54">
        <v>1</v>
      </c>
      <c r="N797" s="49">
        <v>1</v>
      </c>
      <c r="O797" s="54">
        <v>0</v>
      </c>
      <c r="P797" s="54">
        <v>0</v>
      </c>
      <c r="Q797" s="54">
        <v>0</v>
      </c>
      <c r="R797" s="54"/>
      <c r="S797" s="54">
        <v>0</v>
      </c>
      <c r="T797" s="153"/>
    </row>
    <row r="798" spans="1:24">
      <c r="B798" s="55">
        <v>11012</v>
      </c>
      <c r="C798" s="49" t="s">
        <v>1443</v>
      </c>
      <c r="D798" s="59" t="s">
        <v>1444</v>
      </c>
      <c r="E798" s="84" t="s">
        <v>1461</v>
      </c>
      <c r="F798" s="84" t="s">
        <v>1461</v>
      </c>
      <c r="G798" s="54">
        <v>7</v>
      </c>
      <c r="H798" s="49">
        <v>2</v>
      </c>
      <c r="I798" s="49"/>
      <c r="J798" s="55"/>
      <c r="K798" s="17"/>
      <c r="L798" s="17"/>
      <c r="M798" s="54">
        <v>1</v>
      </c>
      <c r="N798" s="49">
        <v>1</v>
      </c>
      <c r="O798" s="54">
        <v>0</v>
      </c>
      <c r="P798" s="54">
        <v>0</v>
      </c>
      <c r="Q798" s="54">
        <v>0</v>
      </c>
      <c r="R798" s="54"/>
      <c r="S798" s="54">
        <v>0</v>
      </c>
      <c r="T798" s="153"/>
    </row>
    <row r="799" spans="1:24">
      <c r="B799" s="55">
        <v>11013</v>
      </c>
      <c r="C799" s="49" t="s">
        <v>1446</v>
      </c>
      <c r="D799" s="59" t="s">
        <v>1447</v>
      </c>
      <c r="E799" s="84" t="s">
        <v>1462</v>
      </c>
      <c r="F799" s="84" t="s">
        <v>1462</v>
      </c>
      <c r="G799" s="54">
        <v>7</v>
      </c>
      <c r="H799" s="49">
        <v>3</v>
      </c>
      <c r="I799" s="49"/>
      <c r="J799" s="55"/>
      <c r="K799" s="17"/>
      <c r="L799" s="17"/>
      <c r="M799" s="54">
        <v>1</v>
      </c>
      <c r="N799" s="49">
        <v>1</v>
      </c>
      <c r="O799" s="54">
        <v>0</v>
      </c>
      <c r="P799" s="54">
        <v>0</v>
      </c>
      <c r="Q799" s="54">
        <v>0</v>
      </c>
      <c r="R799" s="54"/>
      <c r="S799" s="54">
        <v>0</v>
      </c>
      <c r="T799" s="153"/>
    </row>
    <row r="800" spans="1:24">
      <c r="B800" s="55">
        <v>11014</v>
      </c>
      <c r="C800" s="49" t="s">
        <v>1449</v>
      </c>
      <c r="D800" s="59" t="s">
        <v>1450</v>
      </c>
      <c r="E800" s="84" t="s">
        <v>1463</v>
      </c>
      <c r="F800" s="84" t="s">
        <v>1463</v>
      </c>
      <c r="G800" s="54">
        <v>7</v>
      </c>
      <c r="H800" s="55">
        <v>4</v>
      </c>
      <c r="I800" s="49"/>
      <c r="J800" s="55"/>
      <c r="K800" s="17"/>
      <c r="L800" s="17"/>
      <c r="M800" s="54">
        <v>1</v>
      </c>
      <c r="N800" s="49">
        <v>1</v>
      </c>
      <c r="O800" s="54">
        <v>0</v>
      </c>
      <c r="P800" s="54">
        <v>0</v>
      </c>
      <c r="Q800" s="54">
        <v>0</v>
      </c>
      <c r="R800" s="54"/>
      <c r="S800" s="54">
        <v>0</v>
      </c>
      <c r="T800" s="153"/>
    </row>
    <row r="801" spans="2:20">
      <c r="B801" s="55">
        <v>11015</v>
      </c>
      <c r="C801" s="49" t="s">
        <v>1452</v>
      </c>
      <c r="D801" s="59" t="s">
        <v>1453</v>
      </c>
      <c r="E801" s="84" t="s">
        <v>1464</v>
      </c>
      <c r="F801" s="84" t="s">
        <v>1464</v>
      </c>
      <c r="G801" s="54">
        <v>7</v>
      </c>
      <c r="H801" s="55">
        <v>5</v>
      </c>
      <c r="I801" s="49"/>
      <c r="J801" s="55"/>
      <c r="K801" s="17"/>
      <c r="L801" s="17"/>
      <c r="M801" s="54">
        <v>1</v>
      </c>
      <c r="N801" s="49">
        <v>1</v>
      </c>
      <c r="O801" s="54">
        <v>0</v>
      </c>
      <c r="P801" s="54">
        <v>0</v>
      </c>
      <c r="Q801" s="54">
        <v>0</v>
      </c>
      <c r="R801" s="54"/>
      <c r="S801" s="54">
        <v>0</v>
      </c>
      <c r="T801" s="153"/>
    </row>
    <row r="802" spans="2:20">
      <c r="B802" s="55">
        <v>11016</v>
      </c>
      <c r="C802" s="49" t="s">
        <v>1440</v>
      </c>
      <c r="D802" s="59" t="s">
        <v>1441</v>
      </c>
      <c r="E802" s="84" t="s">
        <v>1465</v>
      </c>
      <c r="F802" s="84" t="s">
        <v>1465</v>
      </c>
      <c r="G802" s="54">
        <v>7</v>
      </c>
      <c r="H802" s="55">
        <v>1</v>
      </c>
      <c r="I802" s="49"/>
      <c r="J802" s="55"/>
      <c r="K802" s="17"/>
      <c r="L802" s="17"/>
      <c r="M802" s="54">
        <v>1</v>
      </c>
      <c r="N802" s="49">
        <v>1</v>
      </c>
      <c r="O802" s="54">
        <v>0</v>
      </c>
      <c r="P802" s="54">
        <v>0</v>
      </c>
      <c r="Q802" s="54">
        <v>0</v>
      </c>
      <c r="R802" s="54"/>
      <c r="S802" s="54">
        <v>0</v>
      </c>
      <c r="T802" s="153"/>
    </row>
    <row r="803" spans="2:20">
      <c r="B803" s="55">
        <v>11017</v>
      </c>
      <c r="C803" s="49" t="s">
        <v>1443</v>
      </c>
      <c r="D803" s="59" t="s">
        <v>1444</v>
      </c>
      <c r="E803" s="84" t="s">
        <v>1466</v>
      </c>
      <c r="F803" s="84" t="s">
        <v>1466</v>
      </c>
      <c r="G803" s="54">
        <v>7</v>
      </c>
      <c r="H803" s="49">
        <v>2</v>
      </c>
      <c r="I803" s="49"/>
      <c r="J803" s="55"/>
      <c r="K803" s="17"/>
      <c r="L803" s="17"/>
      <c r="M803" s="54">
        <v>1</v>
      </c>
      <c r="N803" s="49">
        <v>1</v>
      </c>
      <c r="O803" s="54">
        <v>0</v>
      </c>
      <c r="P803" s="54">
        <v>0</v>
      </c>
      <c r="Q803" s="54">
        <v>0</v>
      </c>
      <c r="R803" s="54"/>
      <c r="S803" s="54">
        <v>0</v>
      </c>
      <c r="T803" s="153"/>
    </row>
    <row r="804" spans="2:20">
      <c r="B804" s="55">
        <v>11018</v>
      </c>
      <c r="C804" s="49" t="s">
        <v>1446</v>
      </c>
      <c r="D804" s="59" t="s">
        <v>1447</v>
      </c>
      <c r="E804" s="84" t="s">
        <v>1467</v>
      </c>
      <c r="F804" s="84" t="s">
        <v>1467</v>
      </c>
      <c r="G804" s="54">
        <v>7</v>
      </c>
      <c r="H804" s="49">
        <v>3</v>
      </c>
      <c r="I804" s="49"/>
      <c r="J804" s="55"/>
      <c r="K804" s="17"/>
      <c r="L804" s="17"/>
      <c r="M804" s="54">
        <v>1</v>
      </c>
      <c r="N804" s="49">
        <v>1</v>
      </c>
      <c r="O804" s="54">
        <v>0</v>
      </c>
      <c r="P804" s="54">
        <v>0</v>
      </c>
      <c r="Q804" s="54">
        <v>0</v>
      </c>
      <c r="R804" s="54"/>
      <c r="S804" s="54">
        <v>0</v>
      </c>
      <c r="T804" s="153"/>
    </row>
    <row r="805" spans="2:20">
      <c r="B805" s="55">
        <v>11019</v>
      </c>
      <c r="C805" s="49" t="s">
        <v>1449</v>
      </c>
      <c r="D805" s="59" t="s">
        <v>1450</v>
      </c>
      <c r="E805" s="84" t="s">
        <v>1468</v>
      </c>
      <c r="F805" s="84" t="s">
        <v>1468</v>
      </c>
      <c r="G805" s="54">
        <v>7</v>
      </c>
      <c r="H805" s="55">
        <v>4</v>
      </c>
      <c r="I805" s="49"/>
      <c r="J805" s="55"/>
      <c r="K805" s="17"/>
      <c r="L805" s="17"/>
      <c r="M805" s="54">
        <v>1</v>
      </c>
      <c r="N805" s="49">
        <v>1</v>
      </c>
      <c r="O805" s="54">
        <v>0</v>
      </c>
      <c r="P805" s="54">
        <v>0</v>
      </c>
      <c r="Q805" s="54">
        <v>0</v>
      </c>
      <c r="R805" s="54"/>
      <c r="S805" s="54">
        <v>0</v>
      </c>
      <c r="T805" s="153"/>
    </row>
    <row r="806" spans="2:20">
      <c r="B806" s="55">
        <v>11020</v>
      </c>
      <c r="C806" s="49" t="s">
        <v>1452</v>
      </c>
      <c r="D806" s="59" t="s">
        <v>1453</v>
      </c>
      <c r="E806" s="84" t="s">
        <v>1469</v>
      </c>
      <c r="F806" s="84" t="s">
        <v>1469</v>
      </c>
      <c r="G806" s="54">
        <v>7</v>
      </c>
      <c r="H806" s="55">
        <v>5</v>
      </c>
      <c r="I806" s="49"/>
      <c r="J806" s="55"/>
      <c r="K806" s="17"/>
      <c r="L806" s="17"/>
      <c r="M806" s="54">
        <v>1</v>
      </c>
      <c r="N806" s="49">
        <v>1</v>
      </c>
      <c r="O806" s="54">
        <v>0</v>
      </c>
      <c r="P806" s="54">
        <v>0</v>
      </c>
      <c r="Q806" s="54">
        <v>0</v>
      </c>
      <c r="R806" s="54"/>
      <c r="S806" s="54">
        <v>0</v>
      </c>
      <c r="T806" s="153"/>
    </row>
    <row r="807" spans="2:20">
      <c r="B807" s="55">
        <v>11021</v>
      </c>
      <c r="C807" s="49" t="s">
        <v>1440</v>
      </c>
      <c r="D807" s="59" t="s">
        <v>1441</v>
      </c>
      <c r="E807" s="84" t="s">
        <v>1470</v>
      </c>
      <c r="F807" s="84" t="s">
        <v>1470</v>
      </c>
      <c r="G807" s="54">
        <v>7</v>
      </c>
      <c r="H807" s="55">
        <v>1</v>
      </c>
      <c r="I807" s="49"/>
      <c r="J807" s="55"/>
      <c r="K807" s="17"/>
      <c r="L807" s="17"/>
      <c r="M807" s="54">
        <v>1</v>
      </c>
      <c r="N807" s="49">
        <v>1</v>
      </c>
      <c r="O807" s="54">
        <v>0</v>
      </c>
      <c r="P807" s="54">
        <v>0</v>
      </c>
      <c r="Q807" s="54">
        <v>0</v>
      </c>
      <c r="R807" s="54"/>
      <c r="S807" s="54">
        <v>0</v>
      </c>
      <c r="T807" s="153"/>
    </row>
    <row r="808" spans="2:20">
      <c r="B808" s="55">
        <v>11022</v>
      </c>
      <c r="C808" s="49" t="s">
        <v>1443</v>
      </c>
      <c r="D808" s="59" t="s">
        <v>1444</v>
      </c>
      <c r="E808" s="84" t="s">
        <v>1471</v>
      </c>
      <c r="F808" s="84" t="s">
        <v>1471</v>
      </c>
      <c r="G808" s="54">
        <v>7</v>
      </c>
      <c r="H808" s="49">
        <v>2</v>
      </c>
      <c r="I808" s="49"/>
      <c r="J808" s="55"/>
      <c r="K808" s="17"/>
      <c r="L808" s="17"/>
      <c r="M808" s="54">
        <v>1</v>
      </c>
      <c r="N808" s="49">
        <v>1</v>
      </c>
      <c r="O808" s="54">
        <v>0</v>
      </c>
      <c r="P808" s="54">
        <v>0</v>
      </c>
      <c r="Q808" s="54">
        <v>0</v>
      </c>
      <c r="R808" s="54"/>
      <c r="S808" s="54">
        <v>0</v>
      </c>
      <c r="T808" s="153"/>
    </row>
    <row r="809" spans="2:20">
      <c r="B809" s="55">
        <v>11023</v>
      </c>
      <c r="C809" s="49" t="s">
        <v>1446</v>
      </c>
      <c r="D809" s="59" t="s">
        <v>1447</v>
      </c>
      <c r="E809" s="84" t="s">
        <v>1472</v>
      </c>
      <c r="F809" s="84" t="s">
        <v>1472</v>
      </c>
      <c r="G809" s="54">
        <v>7</v>
      </c>
      <c r="H809" s="49">
        <v>3</v>
      </c>
      <c r="I809" s="49"/>
      <c r="J809" s="55"/>
      <c r="K809" s="17"/>
      <c r="L809" s="17"/>
      <c r="M809" s="54">
        <v>1</v>
      </c>
      <c r="N809" s="49">
        <v>1</v>
      </c>
      <c r="O809" s="54">
        <v>0</v>
      </c>
      <c r="P809" s="54">
        <v>0</v>
      </c>
      <c r="Q809" s="54">
        <v>0</v>
      </c>
      <c r="R809" s="54"/>
      <c r="S809" s="54">
        <v>0</v>
      </c>
      <c r="T809" s="153"/>
    </row>
    <row r="810" spans="2:20">
      <c r="B810" s="55">
        <v>11024</v>
      </c>
      <c r="C810" s="49" t="s">
        <v>1449</v>
      </c>
      <c r="D810" s="59" t="s">
        <v>1450</v>
      </c>
      <c r="E810" s="84" t="s">
        <v>1473</v>
      </c>
      <c r="F810" s="84" t="s">
        <v>1473</v>
      </c>
      <c r="G810" s="54">
        <v>7</v>
      </c>
      <c r="H810" s="55">
        <v>4</v>
      </c>
      <c r="I810" s="49"/>
      <c r="J810" s="55"/>
      <c r="K810" s="17"/>
      <c r="L810" s="17"/>
      <c r="M810" s="54">
        <v>1</v>
      </c>
      <c r="N810" s="49">
        <v>1</v>
      </c>
      <c r="O810" s="54">
        <v>0</v>
      </c>
      <c r="P810" s="54">
        <v>0</v>
      </c>
      <c r="Q810" s="54">
        <v>0</v>
      </c>
      <c r="R810" s="54"/>
      <c r="S810" s="54">
        <v>0</v>
      </c>
      <c r="T810" s="153"/>
    </row>
    <row r="811" spans="2:20">
      <c r="B811" s="55">
        <v>11025</v>
      </c>
      <c r="C811" s="49" t="s">
        <v>1452</v>
      </c>
      <c r="D811" s="59" t="s">
        <v>1453</v>
      </c>
      <c r="E811" s="84" t="s">
        <v>1474</v>
      </c>
      <c r="F811" s="84" t="s">
        <v>1474</v>
      </c>
      <c r="G811" s="54">
        <v>7</v>
      </c>
      <c r="H811" s="55">
        <v>5</v>
      </c>
      <c r="I811" s="49"/>
      <c r="J811" s="55"/>
      <c r="K811" s="17"/>
      <c r="L811" s="17"/>
      <c r="M811" s="54">
        <v>1</v>
      </c>
      <c r="N811" s="49">
        <v>1</v>
      </c>
      <c r="O811" s="54">
        <v>0</v>
      </c>
      <c r="P811" s="54">
        <v>0</v>
      </c>
      <c r="Q811" s="54">
        <v>0</v>
      </c>
      <c r="R811" s="54"/>
      <c r="S811" s="54">
        <v>0</v>
      </c>
      <c r="T811" s="153"/>
    </row>
    <row r="812" spans="2:20">
      <c r="B812" s="55">
        <v>11026</v>
      </c>
      <c r="C812" s="49" t="s">
        <v>1440</v>
      </c>
      <c r="D812" s="59" t="s">
        <v>1441</v>
      </c>
      <c r="E812" s="84" t="s">
        <v>1475</v>
      </c>
      <c r="F812" s="84" t="s">
        <v>1475</v>
      </c>
      <c r="G812" s="54">
        <v>7</v>
      </c>
      <c r="H812" s="55">
        <v>1</v>
      </c>
      <c r="I812" s="49"/>
      <c r="J812" s="55"/>
      <c r="K812" s="17"/>
      <c r="L812" s="17"/>
      <c r="M812" s="54">
        <v>1</v>
      </c>
      <c r="N812" s="49">
        <v>1</v>
      </c>
      <c r="O812" s="54">
        <v>0</v>
      </c>
      <c r="P812" s="54">
        <v>0</v>
      </c>
      <c r="Q812" s="54">
        <v>0</v>
      </c>
      <c r="R812" s="54"/>
      <c r="S812" s="54">
        <v>0</v>
      </c>
      <c r="T812" s="153"/>
    </row>
    <row r="813" spans="2:20">
      <c r="B813" s="55">
        <v>11027</v>
      </c>
      <c r="C813" s="49" t="s">
        <v>1443</v>
      </c>
      <c r="D813" s="59" t="s">
        <v>1444</v>
      </c>
      <c r="E813" s="84" t="s">
        <v>1476</v>
      </c>
      <c r="F813" s="84" t="s">
        <v>1476</v>
      </c>
      <c r="G813" s="54">
        <v>7</v>
      </c>
      <c r="H813" s="49">
        <v>2</v>
      </c>
      <c r="I813" s="49"/>
      <c r="J813" s="55"/>
      <c r="K813" s="17"/>
      <c r="L813" s="17"/>
      <c r="M813" s="54">
        <v>1</v>
      </c>
      <c r="N813" s="49">
        <v>1</v>
      </c>
      <c r="O813" s="54">
        <v>0</v>
      </c>
      <c r="P813" s="54">
        <v>0</v>
      </c>
      <c r="Q813" s="54">
        <v>0</v>
      </c>
      <c r="R813" s="54"/>
      <c r="S813" s="54">
        <v>0</v>
      </c>
      <c r="T813" s="153"/>
    </row>
    <row r="814" spans="2:20">
      <c r="B814" s="55">
        <v>11028</v>
      </c>
      <c r="C814" s="49" t="s">
        <v>1446</v>
      </c>
      <c r="D814" s="59" t="s">
        <v>1447</v>
      </c>
      <c r="E814" s="84" t="s">
        <v>1477</v>
      </c>
      <c r="F814" s="84" t="s">
        <v>1477</v>
      </c>
      <c r="G814" s="54">
        <v>7</v>
      </c>
      <c r="H814" s="49">
        <v>3</v>
      </c>
      <c r="I814" s="49"/>
      <c r="J814" s="55"/>
      <c r="K814" s="17"/>
      <c r="L814" s="17"/>
      <c r="M814" s="54">
        <v>1</v>
      </c>
      <c r="N814" s="49">
        <v>1</v>
      </c>
      <c r="O814" s="54">
        <v>0</v>
      </c>
      <c r="P814" s="54">
        <v>0</v>
      </c>
      <c r="Q814" s="54">
        <v>0</v>
      </c>
      <c r="R814" s="54"/>
      <c r="S814" s="54">
        <v>0</v>
      </c>
      <c r="T814" s="153"/>
    </row>
    <row r="815" spans="2:20">
      <c r="B815" s="55">
        <v>11029</v>
      </c>
      <c r="C815" s="49" t="s">
        <v>1449</v>
      </c>
      <c r="D815" s="59" t="s">
        <v>1450</v>
      </c>
      <c r="E815" s="84" t="s">
        <v>1478</v>
      </c>
      <c r="F815" s="84" t="s">
        <v>1478</v>
      </c>
      <c r="G815" s="54">
        <v>7</v>
      </c>
      <c r="H815" s="55">
        <v>4</v>
      </c>
      <c r="I815" s="49"/>
      <c r="J815" s="55"/>
      <c r="K815" s="17"/>
      <c r="L815" s="17"/>
      <c r="M815" s="54">
        <v>1</v>
      </c>
      <c r="N815" s="49">
        <v>1</v>
      </c>
      <c r="O815" s="54">
        <v>0</v>
      </c>
      <c r="P815" s="54">
        <v>0</v>
      </c>
      <c r="Q815" s="54">
        <v>0</v>
      </c>
      <c r="R815" s="54"/>
      <c r="S815" s="54">
        <v>0</v>
      </c>
      <c r="T815" s="153"/>
    </row>
    <row r="816" spans="2:20">
      <c r="B816" s="55">
        <v>11030</v>
      </c>
      <c r="C816" s="49" t="s">
        <v>1452</v>
      </c>
      <c r="D816" s="59" t="s">
        <v>1453</v>
      </c>
      <c r="E816" s="84" t="s">
        <v>1479</v>
      </c>
      <c r="F816" s="84" t="s">
        <v>1479</v>
      </c>
      <c r="G816" s="54">
        <v>7</v>
      </c>
      <c r="H816" s="55">
        <v>5</v>
      </c>
      <c r="I816" s="49"/>
      <c r="J816" s="55"/>
      <c r="K816" s="17"/>
      <c r="L816" s="17"/>
      <c r="M816" s="54">
        <v>1</v>
      </c>
      <c r="N816" s="49">
        <v>1</v>
      </c>
      <c r="O816" s="54">
        <v>0</v>
      </c>
      <c r="P816" s="54">
        <v>0</v>
      </c>
      <c r="Q816" s="54">
        <v>0</v>
      </c>
      <c r="R816" s="54"/>
      <c r="S816" s="54">
        <v>0</v>
      </c>
      <c r="T816" s="153"/>
    </row>
    <row r="817" spans="2:20">
      <c r="B817" s="55">
        <v>11031</v>
      </c>
      <c r="C817" s="49" t="s">
        <v>1440</v>
      </c>
      <c r="D817" s="59" t="s">
        <v>1441</v>
      </c>
      <c r="E817" s="84" t="s">
        <v>1480</v>
      </c>
      <c r="F817" s="84" t="s">
        <v>1480</v>
      </c>
      <c r="G817" s="54">
        <v>7</v>
      </c>
      <c r="H817" s="55">
        <v>1</v>
      </c>
      <c r="I817" s="49"/>
      <c r="J817" s="55"/>
      <c r="K817" s="17"/>
      <c r="L817" s="17"/>
      <c r="M817" s="54">
        <v>1</v>
      </c>
      <c r="N817" s="49">
        <v>1</v>
      </c>
      <c r="O817" s="54">
        <v>0</v>
      </c>
      <c r="P817" s="54">
        <v>0</v>
      </c>
      <c r="Q817" s="54">
        <v>0</v>
      </c>
      <c r="R817" s="54"/>
      <c r="S817" s="54">
        <v>0</v>
      </c>
      <c r="T817" s="153"/>
    </row>
    <row r="818" spans="2:20">
      <c r="B818" s="55">
        <v>11032</v>
      </c>
      <c r="C818" s="49" t="s">
        <v>1443</v>
      </c>
      <c r="D818" s="59" t="s">
        <v>1444</v>
      </c>
      <c r="E818" s="84" t="s">
        <v>1481</v>
      </c>
      <c r="F818" s="84" t="s">
        <v>1481</v>
      </c>
      <c r="G818" s="54">
        <v>7</v>
      </c>
      <c r="H818" s="49">
        <v>2</v>
      </c>
      <c r="I818" s="49"/>
      <c r="J818" s="55"/>
      <c r="K818" s="17"/>
      <c r="L818" s="17"/>
      <c r="M818" s="54">
        <v>1</v>
      </c>
      <c r="N818" s="49">
        <v>1</v>
      </c>
      <c r="O818" s="54">
        <v>0</v>
      </c>
      <c r="P818" s="54">
        <v>0</v>
      </c>
      <c r="Q818" s="54">
        <v>0</v>
      </c>
      <c r="R818" s="54"/>
      <c r="S818" s="54">
        <v>0</v>
      </c>
      <c r="T818" s="153"/>
    </row>
    <row r="819" spans="2:20">
      <c r="B819" s="55">
        <v>11033</v>
      </c>
      <c r="C819" s="49" t="s">
        <v>1446</v>
      </c>
      <c r="D819" s="59" t="s">
        <v>1447</v>
      </c>
      <c r="E819" s="84" t="s">
        <v>1482</v>
      </c>
      <c r="F819" s="84" t="s">
        <v>1482</v>
      </c>
      <c r="G819" s="54">
        <v>7</v>
      </c>
      <c r="H819" s="49">
        <v>3</v>
      </c>
      <c r="I819" s="49"/>
      <c r="J819" s="55"/>
      <c r="K819" s="17"/>
      <c r="L819" s="17"/>
      <c r="M819" s="54">
        <v>1</v>
      </c>
      <c r="N819" s="49">
        <v>1</v>
      </c>
      <c r="O819" s="54">
        <v>0</v>
      </c>
      <c r="P819" s="54">
        <v>0</v>
      </c>
      <c r="Q819" s="54">
        <v>0</v>
      </c>
      <c r="R819" s="54"/>
      <c r="S819" s="54">
        <v>0</v>
      </c>
      <c r="T819" s="153"/>
    </row>
    <row r="820" spans="2:20">
      <c r="B820" s="55">
        <v>11034</v>
      </c>
      <c r="C820" s="49" t="s">
        <v>1449</v>
      </c>
      <c r="D820" s="59" t="s">
        <v>1450</v>
      </c>
      <c r="E820" s="84" t="s">
        <v>1483</v>
      </c>
      <c r="F820" s="84" t="s">
        <v>1483</v>
      </c>
      <c r="G820" s="54">
        <v>7</v>
      </c>
      <c r="H820" s="55">
        <v>4</v>
      </c>
      <c r="I820" s="49"/>
      <c r="J820" s="55"/>
      <c r="K820" s="17"/>
      <c r="L820" s="17"/>
      <c r="M820" s="54">
        <v>1</v>
      </c>
      <c r="N820" s="49">
        <v>1</v>
      </c>
      <c r="O820" s="54">
        <v>0</v>
      </c>
      <c r="P820" s="54">
        <v>0</v>
      </c>
      <c r="Q820" s="54">
        <v>0</v>
      </c>
      <c r="R820" s="54"/>
      <c r="S820" s="54">
        <v>0</v>
      </c>
      <c r="T820" s="153"/>
    </row>
    <row r="821" spans="2:20">
      <c r="B821" s="55">
        <v>11035</v>
      </c>
      <c r="C821" s="49" t="s">
        <v>1452</v>
      </c>
      <c r="D821" s="59" t="s">
        <v>1453</v>
      </c>
      <c r="E821" s="84" t="s">
        <v>1484</v>
      </c>
      <c r="F821" s="84" t="s">
        <v>1484</v>
      </c>
      <c r="G821" s="54">
        <v>7</v>
      </c>
      <c r="H821" s="55">
        <v>5</v>
      </c>
      <c r="I821" s="49"/>
      <c r="J821" s="55"/>
      <c r="K821" s="17"/>
      <c r="L821" s="17"/>
      <c r="M821" s="54">
        <v>1</v>
      </c>
      <c r="N821" s="49">
        <v>1</v>
      </c>
      <c r="O821" s="54">
        <v>0</v>
      </c>
      <c r="P821" s="54">
        <v>0</v>
      </c>
      <c r="Q821" s="54">
        <v>0</v>
      </c>
      <c r="R821" s="54"/>
      <c r="S821" s="54">
        <v>0</v>
      </c>
      <c r="T821" s="153"/>
    </row>
    <row r="822" spans="2:20">
      <c r="B822" s="55">
        <v>11036</v>
      </c>
      <c r="C822" s="49" t="s">
        <v>1440</v>
      </c>
      <c r="D822" s="59" t="s">
        <v>1441</v>
      </c>
      <c r="E822" s="84" t="s">
        <v>1485</v>
      </c>
      <c r="F822" s="84" t="s">
        <v>1485</v>
      </c>
      <c r="G822" s="54">
        <v>7</v>
      </c>
      <c r="H822" s="55">
        <v>1</v>
      </c>
      <c r="I822" s="49"/>
      <c r="J822" s="55"/>
      <c r="K822" s="17"/>
      <c r="L822" s="17"/>
      <c r="M822" s="54">
        <v>1</v>
      </c>
      <c r="N822" s="49">
        <v>1</v>
      </c>
      <c r="O822" s="54">
        <v>0</v>
      </c>
      <c r="P822" s="54">
        <v>0</v>
      </c>
      <c r="Q822" s="54">
        <v>0</v>
      </c>
      <c r="R822" s="54"/>
      <c r="S822" s="54">
        <v>0</v>
      </c>
      <c r="T822" s="153"/>
    </row>
    <row r="823" spans="2:20">
      <c r="B823" s="55">
        <v>11037</v>
      </c>
      <c r="C823" s="49" t="s">
        <v>1443</v>
      </c>
      <c r="D823" s="59" t="s">
        <v>1444</v>
      </c>
      <c r="E823" s="84" t="s">
        <v>1486</v>
      </c>
      <c r="F823" s="84" t="s">
        <v>1486</v>
      </c>
      <c r="G823" s="54">
        <v>7</v>
      </c>
      <c r="H823" s="49">
        <v>2</v>
      </c>
      <c r="I823" s="49"/>
      <c r="J823" s="55"/>
      <c r="K823" s="17"/>
      <c r="L823" s="17"/>
      <c r="M823" s="54">
        <v>1</v>
      </c>
      <c r="N823" s="49">
        <v>1</v>
      </c>
      <c r="O823" s="54">
        <v>0</v>
      </c>
      <c r="P823" s="54">
        <v>0</v>
      </c>
      <c r="Q823" s="54">
        <v>0</v>
      </c>
      <c r="R823" s="54"/>
      <c r="S823" s="54">
        <v>0</v>
      </c>
      <c r="T823" s="153"/>
    </row>
    <row r="824" spans="2:20">
      <c r="B824" s="55">
        <v>11038</v>
      </c>
      <c r="C824" s="49" t="s">
        <v>1446</v>
      </c>
      <c r="D824" s="59" t="s">
        <v>1447</v>
      </c>
      <c r="E824" s="84" t="s">
        <v>1487</v>
      </c>
      <c r="F824" s="84" t="s">
        <v>1487</v>
      </c>
      <c r="G824" s="54">
        <v>7</v>
      </c>
      <c r="H824" s="49">
        <v>3</v>
      </c>
      <c r="I824" s="49"/>
      <c r="J824" s="55"/>
      <c r="K824" s="17"/>
      <c r="L824" s="17"/>
      <c r="M824" s="54">
        <v>1</v>
      </c>
      <c r="N824" s="49">
        <v>1</v>
      </c>
      <c r="O824" s="54">
        <v>0</v>
      </c>
      <c r="P824" s="54">
        <v>0</v>
      </c>
      <c r="Q824" s="54">
        <v>0</v>
      </c>
      <c r="R824" s="54"/>
      <c r="S824" s="54">
        <v>0</v>
      </c>
      <c r="T824" s="153"/>
    </row>
    <row r="825" spans="2:20">
      <c r="B825" s="55">
        <v>11039</v>
      </c>
      <c r="C825" s="49" t="s">
        <v>1449</v>
      </c>
      <c r="D825" s="59" t="s">
        <v>1450</v>
      </c>
      <c r="E825" s="84" t="s">
        <v>1488</v>
      </c>
      <c r="F825" s="84" t="s">
        <v>1488</v>
      </c>
      <c r="G825" s="54">
        <v>7</v>
      </c>
      <c r="H825" s="55">
        <v>4</v>
      </c>
      <c r="I825" s="49"/>
      <c r="J825" s="55"/>
      <c r="K825" s="17"/>
      <c r="L825" s="17"/>
      <c r="M825" s="54">
        <v>1</v>
      </c>
      <c r="N825" s="49">
        <v>1</v>
      </c>
      <c r="O825" s="54">
        <v>0</v>
      </c>
      <c r="P825" s="54">
        <v>0</v>
      </c>
      <c r="Q825" s="54">
        <v>0</v>
      </c>
      <c r="R825" s="54"/>
      <c r="S825" s="54">
        <v>0</v>
      </c>
      <c r="T825" s="153"/>
    </row>
    <row r="826" spans="2:20">
      <c r="B826" s="55">
        <v>11040</v>
      </c>
      <c r="C826" s="49" t="s">
        <v>1452</v>
      </c>
      <c r="D826" s="59" t="s">
        <v>1453</v>
      </c>
      <c r="E826" s="84" t="s">
        <v>1489</v>
      </c>
      <c r="F826" s="84" t="s">
        <v>1489</v>
      </c>
      <c r="G826" s="54">
        <v>7</v>
      </c>
      <c r="H826" s="55">
        <v>5</v>
      </c>
      <c r="I826" s="49"/>
      <c r="J826" s="55"/>
      <c r="K826" s="17"/>
      <c r="L826" s="17"/>
      <c r="M826" s="54">
        <v>1</v>
      </c>
      <c r="N826" s="49">
        <v>1</v>
      </c>
      <c r="O826" s="54">
        <v>0</v>
      </c>
      <c r="P826" s="54">
        <v>0</v>
      </c>
      <c r="Q826" s="54">
        <v>0</v>
      </c>
      <c r="R826" s="54"/>
      <c r="S826" s="54">
        <v>0</v>
      </c>
      <c r="T826" s="153"/>
    </row>
    <row r="827" spans="2:20">
      <c r="B827" s="55">
        <v>11041</v>
      </c>
      <c r="C827" s="49" t="s">
        <v>1440</v>
      </c>
      <c r="D827" s="59" t="s">
        <v>1441</v>
      </c>
      <c r="E827" s="84" t="s">
        <v>1490</v>
      </c>
      <c r="F827" s="84" t="s">
        <v>1490</v>
      </c>
      <c r="G827" s="54">
        <v>7</v>
      </c>
      <c r="H827" s="55">
        <v>1</v>
      </c>
      <c r="I827" s="49"/>
      <c r="J827" s="55"/>
      <c r="K827" s="17"/>
      <c r="L827" s="17"/>
      <c r="M827" s="54">
        <v>1</v>
      </c>
      <c r="N827" s="49">
        <v>1</v>
      </c>
      <c r="O827" s="54">
        <v>0</v>
      </c>
      <c r="P827" s="54">
        <v>0</v>
      </c>
      <c r="Q827" s="54">
        <v>0</v>
      </c>
      <c r="R827" s="54"/>
      <c r="S827" s="54">
        <v>0</v>
      </c>
      <c r="T827" s="153"/>
    </row>
    <row r="828" spans="2:20">
      <c r="B828" s="55">
        <v>11042</v>
      </c>
      <c r="C828" s="49" t="s">
        <v>1443</v>
      </c>
      <c r="D828" s="59" t="s">
        <v>1444</v>
      </c>
      <c r="E828" s="84" t="s">
        <v>1491</v>
      </c>
      <c r="F828" s="84" t="s">
        <v>1491</v>
      </c>
      <c r="G828" s="54">
        <v>7</v>
      </c>
      <c r="H828" s="49">
        <v>2</v>
      </c>
      <c r="I828" s="49"/>
      <c r="J828" s="55"/>
      <c r="K828" s="17"/>
      <c r="L828" s="17"/>
      <c r="M828" s="54">
        <v>1</v>
      </c>
      <c r="N828" s="49">
        <v>1</v>
      </c>
      <c r="O828" s="54">
        <v>0</v>
      </c>
      <c r="P828" s="54">
        <v>0</v>
      </c>
      <c r="Q828" s="54">
        <v>0</v>
      </c>
      <c r="R828" s="54"/>
      <c r="S828" s="54">
        <v>0</v>
      </c>
      <c r="T828" s="153"/>
    </row>
    <row r="829" spans="2:20">
      <c r="B829" s="55">
        <v>11043</v>
      </c>
      <c r="C829" s="49" t="s">
        <v>1446</v>
      </c>
      <c r="D829" s="59" t="s">
        <v>1447</v>
      </c>
      <c r="E829" s="84" t="s">
        <v>1492</v>
      </c>
      <c r="F829" s="84" t="s">
        <v>1492</v>
      </c>
      <c r="G829" s="54">
        <v>7</v>
      </c>
      <c r="H829" s="49">
        <v>3</v>
      </c>
      <c r="I829" s="49"/>
      <c r="J829" s="55"/>
      <c r="K829" s="17"/>
      <c r="L829" s="17"/>
      <c r="M829" s="54">
        <v>1</v>
      </c>
      <c r="N829" s="49">
        <v>1</v>
      </c>
      <c r="O829" s="54">
        <v>0</v>
      </c>
      <c r="P829" s="54">
        <v>0</v>
      </c>
      <c r="Q829" s="54">
        <v>0</v>
      </c>
      <c r="R829" s="54"/>
      <c r="S829" s="54">
        <v>0</v>
      </c>
      <c r="T829" s="153"/>
    </row>
    <row r="830" spans="2:20">
      <c r="B830" s="55">
        <v>11044</v>
      </c>
      <c r="C830" s="49" t="s">
        <v>1449</v>
      </c>
      <c r="D830" s="59" t="s">
        <v>1450</v>
      </c>
      <c r="E830" s="84" t="s">
        <v>1493</v>
      </c>
      <c r="F830" s="84" t="s">
        <v>1493</v>
      </c>
      <c r="G830" s="54">
        <v>7</v>
      </c>
      <c r="H830" s="55">
        <v>4</v>
      </c>
      <c r="I830" s="49"/>
      <c r="J830" s="55"/>
      <c r="K830" s="17"/>
      <c r="L830" s="17"/>
      <c r="M830" s="54">
        <v>1</v>
      </c>
      <c r="N830" s="49">
        <v>1</v>
      </c>
      <c r="O830" s="54">
        <v>0</v>
      </c>
      <c r="P830" s="54">
        <v>0</v>
      </c>
      <c r="Q830" s="54">
        <v>0</v>
      </c>
      <c r="R830" s="54"/>
      <c r="S830" s="54">
        <v>0</v>
      </c>
      <c r="T830" s="153"/>
    </row>
    <row r="831" spans="2:20">
      <c r="B831" s="55">
        <v>11045</v>
      </c>
      <c r="C831" s="49" t="s">
        <v>1452</v>
      </c>
      <c r="D831" s="59" t="s">
        <v>1453</v>
      </c>
      <c r="E831" s="84" t="s">
        <v>1494</v>
      </c>
      <c r="F831" s="84" t="s">
        <v>1494</v>
      </c>
      <c r="G831" s="54">
        <v>7</v>
      </c>
      <c r="H831" s="55">
        <v>5</v>
      </c>
      <c r="I831" s="49"/>
      <c r="J831" s="55"/>
      <c r="K831" s="17"/>
      <c r="L831" s="17"/>
      <c r="M831" s="54">
        <v>1</v>
      </c>
      <c r="N831" s="49">
        <v>1</v>
      </c>
      <c r="O831" s="54">
        <v>0</v>
      </c>
      <c r="P831" s="54">
        <v>0</v>
      </c>
      <c r="Q831" s="54">
        <v>0</v>
      </c>
      <c r="R831" s="54"/>
      <c r="S831" s="54">
        <v>0</v>
      </c>
      <c r="T831" s="153"/>
    </row>
    <row r="832" spans="2:20">
      <c r="B832" s="55">
        <v>11046</v>
      </c>
      <c r="C832" s="49" t="s">
        <v>1440</v>
      </c>
      <c r="D832" s="59" t="s">
        <v>1441</v>
      </c>
      <c r="E832" s="84" t="s">
        <v>1495</v>
      </c>
      <c r="F832" s="84" t="s">
        <v>1495</v>
      </c>
      <c r="G832" s="54">
        <v>7</v>
      </c>
      <c r="H832" s="55">
        <v>1</v>
      </c>
      <c r="I832" s="49"/>
      <c r="J832" s="55"/>
      <c r="K832" s="17"/>
      <c r="L832" s="17"/>
      <c r="M832" s="54">
        <v>1</v>
      </c>
      <c r="N832" s="49">
        <v>1</v>
      </c>
      <c r="O832" s="54">
        <v>0</v>
      </c>
      <c r="P832" s="54">
        <v>0</v>
      </c>
      <c r="Q832" s="54">
        <v>0</v>
      </c>
      <c r="R832" s="54"/>
      <c r="S832" s="54">
        <v>0</v>
      </c>
      <c r="T832" s="153"/>
    </row>
    <row r="833" spans="2:20">
      <c r="B833" s="55">
        <v>11047</v>
      </c>
      <c r="C833" s="49" t="s">
        <v>1443</v>
      </c>
      <c r="D833" s="59" t="s">
        <v>1444</v>
      </c>
      <c r="E833" s="84" t="s">
        <v>1496</v>
      </c>
      <c r="F833" s="84" t="s">
        <v>1496</v>
      </c>
      <c r="G833" s="54">
        <v>7</v>
      </c>
      <c r="H833" s="49">
        <v>2</v>
      </c>
      <c r="I833" s="49"/>
      <c r="J833" s="55"/>
      <c r="K833" s="17"/>
      <c r="L833" s="17"/>
      <c r="M833" s="54">
        <v>1</v>
      </c>
      <c r="N833" s="49">
        <v>1</v>
      </c>
      <c r="O833" s="54">
        <v>0</v>
      </c>
      <c r="P833" s="54">
        <v>0</v>
      </c>
      <c r="Q833" s="54">
        <v>0</v>
      </c>
      <c r="R833" s="54"/>
      <c r="S833" s="54">
        <v>0</v>
      </c>
      <c r="T833" s="153"/>
    </row>
    <row r="834" spans="2:20">
      <c r="B834" s="55">
        <v>11048</v>
      </c>
      <c r="C834" s="49" t="s">
        <v>1446</v>
      </c>
      <c r="D834" s="59" t="s">
        <v>1447</v>
      </c>
      <c r="E834" s="84" t="s">
        <v>1497</v>
      </c>
      <c r="F834" s="84" t="s">
        <v>1497</v>
      </c>
      <c r="G834" s="54">
        <v>7</v>
      </c>
      <c r="H834" s="49">
        <v>3</v>
      </c>
      <c r="I834" s="49"/>
      <c r="J834" s="55"/>
      <c r="K834" s="17"/>
      <c r="L834" s="17"/>
      <c r="M834" s="54">
        <v>1</v>
      </c>
      <c r="N834" s="49">
        <v>1</v>
      </c>
      <c r="O834" s="54">
        <v>0</v>
      </c>
      <c r="P834" s="54">
        <v>0</v>
      </c>
      <c r="Q834" s="54">
        <v>0</v>
      </c>
      <c r="R834" s="54"/>
      <c r="S834" s="54">
        <v>0</v>
      </c>
      <c r="T834" s="153"/>
    </row>
    <row r="835" spans="2:20">
      <c r="B835" s="55">
        <v>11049</v>
      </c>
      <c r="C835" s="49" t="s">
        <v>1449</v>
      </c>
      <c r="D835" s="59" t="s">
        <v>1450</v>
      </c>
      <c r="E835" s="84" t="s">
        <v>1498</v>
      </c>
      <c r="F835" s="84" t="s">
        <v>1498</v>
      </c>
      <c r="G835" s="54">
        <v>7</v>
      </c>
      <c r="H835" s="55">
        <v>4</v>
      </c>
      <c r="I835" s="49"/>
      <c r="J835" s="55"/>
      <c r="K835" s="17"/>
      <c r="L835" s="17"/>
      <c r="M835" s="54">
        <v>1</v>
      </c>
      <c r="N835" s="49">
        <v>1</v>
      </c>
      <c r="O835" s="54">
        <v>0</v>
      </c>
      <c r="P835" s="54">
        <v>0</v>
      </c>
      <c r="Q835" s="54">
        <v>0</v>
      </c>
      <c r="R835" s="54"/>
      <c r="S835" s="54">
        <v>0</v>
      </c>
      <c r="T835" s="153"/>
    </row>
    <row r="836" spans="2:20">
      <c r="B836" s="55">
        <v>11050</v>
      </c>
      <c r="C836" s="49" t="s">
        <v>1452</v>
      </c>
      <c r="D836" s="59" t="s">
        <v>1453</v>
      </c>
      <c r="E836" s="84" t="s">
        <v>1499</v>
      </c>
      <c r="F836" s="84" t="s">
        <v>1499</v>
      </c>
      <c r="G836" s="54">
        <v>7</v>
      </c>
      <c r="H836" s="55">
        <v>5</v>
      </c>
      <c r="I836" s="49"/>
      <c r="J836" s="55"/>
      <c r="K836" s="17"/>
      <c r="L836" s="17"/>
      <c r="M836" s="54">
        <v>1</v>
      </c>
      <c r="N836" s="49">
        <v>1</v>
      </c>
      <c r="O836" s="54">
        <v>0</v>
      </c>
      <c r="P836" s="54">
        <v>0</v>
      </c>
      <c r="Q836" s="54">
        <v>0</v>
      </c>
      <c r="R836" s="54"/>
      <c r="S836" s="54">
        <v>0</v>
      </c>
      <c r="T836" s="153"/>
    </row>
    <row r="837" spans="2:20">
      <c r="B837" s="55">
        <v>11051</v>
      </c>
      <c r="C837" s="49" t="s">
        <v>1440</v>
      </c>
      <c r="D837" s="59" t="s">
        <v>1441</v>
      </c>
      <c r="E837" s="84" t="s">
        <v>1500</v>
      </c>
      <c r="F837" s="84" t="s">
        <v>1500</v>
      </c>
      <c r="G837" s="54">
        <v>7</v>
      </c>
      <c r="H837" s="55">
        <v>1</v>
      </c>
      <c r="I837" s="49"/>
      <c r="J837" s="55"/>
      <c r="K837" s="17"/>
      <c r="L837" s="17"/>
      <c r="M837" s="54">
        <v>1</v>
      </c>
      <c r="N837" s="49">
        <v>1</v>
      </c>
      <c r="O837" s="54">
        <v>0</v>
      </c>
      <c r="P837" s="54">
        <v>0</v>
      </c>
      <c r="Q837" s="54">
        <v>0</v>
      </c>
      <c r="R837" s="54"/>
      <c r="S837" s="54">
        <v>0</v>
      </c>
      <c r="T837" s="153"/>
    </row>
    <row r="838" spans="2:20">
      <c r="B838" s="55">
        <v>11052</v>
      </c>
      <c r="C838" s="49" t="s">
        <v>1443</v>
      </c>
      <c r="D838" s="59" t="s">
        <v>1444</v>
      </c>
      <c r="E838" s="84" t="s">
        <v>1501</v>
      </c>
      <c r="F838" s="84" t="s">
        <v>1501</v>
      </c>
      <c r="G838" s="54">
        <v>7</v>
      </c>
      <c r="H838" s="49">
        <v>2</v>
      </c>
      <c r="I838" s="49"/>
      <c r="J838" s="55"/>
      <c r="K838" s="17"/>
      <c r="L838" s="17"/>
      <c r="M838" s="54">
        <v>1</v>
      </c>
      <c r="N838" s="49">
        <v>1</v>
      </c>
      <c r="O838" s="54">
        <v>0</v>
      </c>
      <c r="P838" s="54">
        <v>0</v>
      </c>
      <c r="Q838" s="54">
        <v>0</v>
      </c>
      <c r="R838" s="54"/>
      <c r="S838" s="54">
        <v>0</v>
      </c>
      <c r="T838" s="153"/>
    </row>
    <row r="839" spans="2:20">
      <c r="B839" s="55">
        <v>11053</v>
      </c>
      <c r="C839" s="49" t="s">
        <v>1446</v>
      </c>
      <c r="D839" s="59" t="s">
        <v>1447</v>
      </c>
      <c r="E839" s="84" t="s">
        <v>1502</v>
      </c>
      <c r="F839" s="84" t="s">
        <v>1502</v>
      </c>
      <c r="G839" s="54">
        <v>7</v>
      </c>
      <c r="H839" s="49">
        <v>3</v>
      </c>
      <c r="I839" s="49"/>
      <c r="J839" s="55"/>
      <c r="K839" s="17"/>
      <c r="L839" s="17"/>
      <c r="M839" s="54">
        <v>1</v>
      </c>
      <c r="N839" s="49">
        <v>1</v>
      </c>
      <c r="O839" s="54">
        <v>0</v>
      </c>
      <c r="P839" s="54">
        <v>0</v>
      </c>
      <c r="Q839" s="54">
        <v>0</v>
      </c>
      <c r="R839" s="54"/>
      <c r="S839" s="54">
        <v>0</v>
      </c>
      <c r="T839" s="153"/>
    </row>
    <row r="840" spans="2:20">
      <c r="B840" s="55">
        <v>11054</v>
      </c>
      <c r="C840" s="49" t="s">
        <v>1449</v>
      </c>
      <c r="D840" s="59" t="s">
        <v>1450</v>
      </c>
      <c r="E840" s="84" t="s">
        <v>1503</v>
      </c>
      <c r="F840" s="84" t="s">
        <v>1503</v>
      </c>
      <c r="G840" s="54">
        <v>7</v>
      </c>
      <c r="H840" s="55">
        <v>4</v>
      </c>
      <c r="I840" s="49"/>
      <c r="J840" s="55"/>
      <c r="K840" s="17"/>
      <c r="L840" s="17"/>
      <c r="M840" s="54">
        <v>1</v>
      </c>
      <c r="N840" s="49">
        <v>1</v>
      </c>
      <c r="O840" s="54">
        <v>0</v>
      </c>
      <c r="P840" s="54">
        <v>0</v>
      </c>
      <c r="Q840" s="54">
        <v>0</v>
      </c>
      <c r="R840" s="54"/>
      <c r="S840" s="54">
        <v>0</v>
      </c>
      <c r="T840" s="153"/>
    </row>
    <row r="841" spans="2:20">
      <c r="B841" s="55">
        <v>11055</v>
      </c>
      <c r="C841" s="49" t="s">
        <v>1452</v>
      </c>
      <c r="D841" s="59" t="s">
        <v>1453</v>
      </c>
      <c r="E841" s="84" t="s">
        <v>1504</v>
      </c>
      <c r="F841" s="84" t="s">
        <v>1504</v>
      </c>
      <c r="G841" s="54">
        <v>7</v>
      </c>
      <c r="H841" s="55">
        <v>5</v>
      </c>
      <c r="I841" s="49"/>
      <c r="J841" s="55"/>
      <c r="K841" s="17"/>
      <c r="L841" s="17"/>
      <c r="M841" s="54">
        <v>1</v>
      </c>
      <c r="N841" s="49">
        <v>1</v>
      </c>
      <c r="O841" s="54">
        <v>0</v>
      </c>
      <c r="P841" s="54">
        <v>0</v>
      </c>
      <c r="Q841" s="54">
        <v>0</v>
      </c>
      <c r="R841" s="54"/>
      <c r="S841" s="54">
        <v>0</v>
      </c>
      <c r="T841" s="153"/>
    </row>
    <row r="842" spans="2:20">
      <c r="B842" s="55">
        <v>11056</v>
      </c>
      <c r="C842" s="55" t="s">
        <v>1440</v>
      </c>
      <c r="D842" s="59" t="s">
        <v>1441</v>
      </c>
      <c r="E842" s="138" t="s">
        <v>1505</v>
      </c>
      <c r="F842" s="138" t="s">
        <v>1505</v>
      </c>
      <c r="G842" s="54">
        <v>7</v>
      </c>
      <c r="H842" s="55">
        <v>1</v>
      </c>
      <c r="I842" s="55"/>
      <c r="J842" s="55"/>
      <c r="K842" s="17"/>
      <c r="L842" s="17"/>
      <c r="M842" s="54">
        <v>1</v>
      </c>
      <c r="N842" s="49">
        <v>1</v>
      </c>
      <c r="O842" s="54">
        <v>0</v>
      </c>
      <c r="P842" s="54">
        <v>0</v>
      </c>
      <c r="Q842" s="54">
        <v>0</v>
      </c>
      <c r="R842" s="54"/>
      <c r="S842" s="54">
        <v>0</v>
      </c>
      <c r="T842" s="153"/>
    </row>
    <row r="843" spans="2:20">
      <c r="B843" s="55">
        <v>11057</v>
      </c>
      <c r="C843" s="49" t="s">
        <v>1443</v>
      </c>
      <c r="D843" s="59" t="s">
        <v>1444</v>
      </c>
      <c r="E843" s="84" t="s">
        <v>1506</v>
      </c>
      <c r="F843" s="84" t="s">
        <v>1506</v>
      </c>
      <c r="G843" s="54">
        <v>7</v>
      </c>
      <c r="H843" s="49">
        <v>2</v>
      </c>
      <c r="I843" s="49"/>
      <c r="J843" s="55"/>
      <c r="K843" s="17"/>
      <c r="L843" s="17"/>
      <c r="M843" s="54">
        <v>1</v>
      </c>
      <c r="N843" s="49">
        <v>1</v>
      </c>
      <c r="O843" s="54">
        <v>0</v>
      </c>
      <c r="P843" s="54">
        <v>0</v>
      </c>
      <c r="Q843" s="54">
        <v>0</v>
      </c>
      <c r="R843" s="54"/>
      <c r="S843" s="54">
        <v>0</v>
      </c>
      <c r="T843" s="153"/>
    </row>
    <row r="844" spans="2:20">
      <c r="B844" s="55">
        <v>11058</v>
      </c>
      <c r="C844" s="49" t="s">
        <v>1446</v>
      </c>
      <c r="D844" s="59" t="s">
        <v>1447</v>
      </c>
      <c r="E844" s="84" t="s">
        <v>1507</v>
      </c>
      <c r="F844" s="84" t="s">
        <v>1507</v>
      </c>
      <c r="G844" s="54">
        <v>7</v>
      </c>
      <c r="H844" s="49">
        <v>3</v>
      </c>
      <c r="I844" s="49"/>
      <c r="J844" s="55"/>
      <c r="K844" s="17"/>
      <c r="L844" s="17"/>
      <c r="M844" s="54">
        <v>1</v>
      </c>
      <c r="N844" s="49">
        <v>1</v>
      </c>
      <c r="O844" s="54">
        <v>0</v>
      </c>
      <c r="P844" s="54">
        <v>0</v>
      </c>
      <c r="Q844" s="54">
        <v>0</v>
      </c>
      <c r="R844" s="54"/>
      <c r="S844" s="54">
        <v>0</v>
      </c>
      <c r="T844" s="153"/>
    </row>
    <row r="845" spans="2:20">
      <c r="B845" s="55">
        <v>11059</v>
      </c>
      <c r="C845" s="49" t="s">
        <v>1449</v>
      </c>
      <c r="D845" s="59" t="s">
        <v>1450</v>
      </c>
      <c r="E845" s="84" t="s">
        <v>1508</v>
      </c>
      <c r="F845" s="84" t="s">
        <v>1508</v>
      </c>
      <c r="G845" s="54">
        <v>7</v>
      </c>
      <c r="H845" s="55">
        <v>4</v>
      </c>
      <c r="I845" s="49"/>
      <c r="J845" s="55"/>
      <c r="K845" s="17"/>
      <c r="L845" s="17"/>
      <c r="M845" s="54">
        <v>1</v>
      </c>
      <c r="N845" s="49">
        <v>1</v>
      </c>
      <c r="O845" s="54">
        <v>0</v>
      </c>
      <c r="P845" s="54">
        <v>0</v>
      </c>
      <c r="Q845" s="54">
        <v>0</v>
      </c>
      <c r="R845" s="54"/>
      <c r="S845" s="54">
        <v>0</v>
      </c>
      <c r="T845" s="153"/>
    </row>
    <row r="846" spans="2:20">
      <c r="B846" s="55">
        <v>11060</v>
      </c>
      <c r="C846" s="49" t="s">
        <v>1452</v>
      </c>
      <c r="D846" s="59" t="s">
        <v>1453</v>
      </c>
      <c r="E846" s="84" t="s">
        <v>1509</v>
      </c>
      <c r="F846" s="84" t="s">
        <v>1509</v>
      </c>
      <c r="G846" s="54">
        <v>7</v>
      </c>
      <c r="H846" s="55">
        <v>5</v>
      </c>
      <c r="I846" s="49"/>
      <c r="J846" s="55"/>
      <c r="K846" s="17"/>
      <c r="L846" s="17"/>
      <c r="M846" s="54">
        <v>1</v>
      </c>
      <c r="N846" s="49">
        <v>1</v>
      </c>
      <c r="O846" s="54">
        <v>0</v>
      </c>
      <c r="P846" s="54">
        <v>0</v>
      </c>
      <c r="Q846" s="54">
        <v>0</v>
      </c>
      <c r="R846" s="54"/>
      <c r="S846" s="54">
        <v>0</v>
      </c>
      <c r="T846" s="153"/>
    </row>
    <row r="847" spans="2:20">
      <c r="B847" s="55">
        <v>11061</v>
      </c>
      <c r="C847" s="55" t="s">
        <v>1440</v>
      </c>
      <c r="D847" s="59" t="s">
        <v>1441</v>
      </c>
      <c r="E847" s="138" t="s">
        <v>1510</v>
      </c>
      <c r="F847" s="138" t="s">
        <v>1510</v>
      </c>
      <c r="G847" s="54">
        <v>7</v>
      </c>
      <c r="H847" s="55">
        <v>1</v>
      </c>
      <c r="I847" s="55"/>
      <c r="J847" s="55"/>
      <c r="K847" s="17"/>
      <c r="L847" s="17"/>
      <c r="M847" s="54">
        <v>1</v>
      </c>
      <c r="N847" s="49">
        <v>1</v>
      </c>
      <c r="O847" s="54">
        <v>0</v>
      </c>
      <c r="P847" s="54">
        <v>0</v>
      </c>
      <c r="Q847" s="54">
        <v>0</v>
      </c>
      <c r="R847" s="54"/>
      <c r="S847" s="54">
        <v>0</v>
      </c>
      <c r="T847" s="153"/>
    </row>
    <row r="848" spans="2:20">
      <c r="B848" s="55">
        <v>11062</v>
      </c>
      <c r="C848" s="49" t="s">
        <v>1443</v>
      </c>
      <c r="D848" s="59" t="s">
        <v>1444</v>
      </c>
      <c r="E848" s="84" t="s">
        <v>1511</v>
      </c>
      <c r="F848" s="84" t="s">
        <v>1511</v>
      </c>
      <c r="G848" s="54">
        <v>7</v>
      </c>
      <c r="H848" s="49">
        <v>2</v>
      </c>
      <c r="I848" s="49"/>
      <c r="J848" s="55"/>
      <c r="K848" s="17"/>
      <c r="L848" s="17"/>
      <c r="M848" s="54">
        <v>1</v>
      </c>
      <c r="N848" s="49">
        <v>1</v>
      </c>
      <c r="O848" s="54">
        <v>0</v>
      </c>
      <c r="P848" s="54">
        <v>0</v>
      </c>
      <c r="Q848" s="54">
        <v>0</v>
      </c>
      <c r="R848" s="54"/>
      <c r="S848" s="54">
        <v>0</v>
      </c>
      <c r="T848" s="153"/>
    </row>
    <row r="849" spans="2:20">
      <c r="B849" s="55">
        <v>11063</v>
      </c>
      <c r="C849" s="49" t="s">
        <v>1446</v>
      </c>
      <c r="D849" s="59" t="s">
        <v>1447</v>
      </c>
      <c r="E849" s="84" t="s">
        <v>1512</v>
      </c>
      <c r="F849" s="84" t="s">
        <v>1512</v>
      </c>
      <c r="G849" s="54">
        <v>7</v>
      </c>
      <c r="H849" s="49">
        <v>3</v>
      </c>
      <c r="I849" s="49"/>
      <c r="J849" s="55"/>
      <c r="K849" s="17"/>
      <c r="L849" s="17"/>
      <c r="M849" s="54">
        <v>1</v>
      </c>
      <c r="N849" s="49">
        <v>1</v>
      </c>
      <c r="O849" s="54">
        <v>0</v>
      </c>
      <c r="P849" s="54">
        <v>0</v>
      </c>
      <c r="Q849" s="54">
        <v>0</v>
      </c>
      <c r="R849" s="54"/>
      <c r="S849" s="54">
        <v>0</v>
      </c>
      <c r="T849" s="153"/>
    </row>
    <row r="850" spans="2:20">
      <c r="B850" s="55">
        <v>11064</v>
      </c>
      <c r="C850" s="49" t="s">
        <v>1449</v>
      </c>
      <c r="D850" s="59" t="s">
        <v>1450</v>
      </c>
      <c r="E850" s="84" t="s">
        <v>1513</v>
      </c>
      <c r="F850" s="84" t="s">
        <v>1513</v>
      </c>
      <c r="G850" s="54">
        <v>7</v>
      </c>
      <c r="H850" s="55">
        <v>4</v>
      </c>
      <c r="I850" s="49"/>
      <c r="J850" s="55"/>
      <c r="K850" s="17"/>
      <c r="L850" s="17"/>
      <c r="M850" s="54">
        <v>1</v>
      </c>
      <c r="N850" s="49">
        <v>1</v>
      </c>
      <c r="O850" s="54">
        <v>0</v>
      </c>
      <c r="P850" s="54">
        <v>0</v>
      </c>
      <c r="Q850" s="54">
        <v>0</v>
      </c>
      <c r="R850" s="54"/>
      <c r="S850" s="54">
        <v>0</v>
      </c>
      <c r="T850" s="153"/>
    </row>
    <row r="851" spans="2:20">
      <c r="B851" s="55">
        <v>11065</v>
      </c>
      <c r="C851" s="49" t="s">
        <v>1452</v>
      </c>
      <c r="D851" s="59" t="s">
        <v>1453</v>
      </c>
      <c r="E851" s="84" t="s">
        <v>1514</v>
      </c>
      <c r="F851" s="84" t="s">
        <v>1514</v>
      </c>
      <c r="G851" s="54">
        <v>7</v>
      </c>
      <c r="H851" s="55">
        <v>5</v>
      </c>
      <c r="I851" s="49"/>
      <c r="J851" s="55"/>
      <c r="K851" s="17"/>
      <c r="L851" s="17"/>
      <c r="M851" s="54">
        <v>1</v>
      </c>
      <c r="N851" s="49">
        <v>1</v>
      </c>
      <c r="O851" s="54">
        <v>0</v>
      </c>
      <c r="P851" s="54">
        <v>0</v>
      </c>
      <c r="Q851" s="54">
        <v>0</v>
      </c>
      <c r="R851" s="54"/>
      <c r="S851" s="54">
        <v>0</v>
      </c>
      <c r="T851" s="153"/>
    </row>
    <row r="852" spans="2:20">
      <c r="B852" s="55">
        <v>11066</v>
      </c>
      <c r="C852" s="49" t="s">
        <v>1440</v>
      </c>
      <c r="D852" s="59" t="s">
        <v>1441</v>
      </c>
      <c r="E852" s="84" t="s">
        <v>1515</v>
      </c>
      <c r="F852" s="84" t="s">
        <v>1515</v>
      </c>
      <c r="G852" s="54">
        <v>7</v>
      </c>
      <c r="H852" s="55">
        <v>1</v>
      </c>
      <c r="I852" s="49"/>
      <c r="J852" s="55"/>
      <c r="K852" s="17"/>
      <c r="L852" s="17"/>
      <c r="M852" s="54">
        <v>1</v>
      </c>
      <c r="N852" s="49">
        <v>1</v>
      </c>
      <c r="O852" s="54">
        <v>0</v>
      </c>
      <c r="P852" s="54">
        <v>0</v>
      </c>
      <c r="Q852" s="54">
        <v>0</v>
      </c>
      <c r="R852" s="54"/>
      <c r="S852" s="54">
        <v>0</v>
      </c>
      <c r="T852" s="153"/>
    </row>
    <row r="853" spans="2:20">
      <c r="B853" s="55">
        <v>11067</v>
      </c>
      <c r="C853" s="49" t="s">
        <v>1443</v>
      </c>
      <c r="D853" s="59" t="s">
        <v>1444</v>
      </c>
      <c r="E853" s="84" t="s">
        <v>1516</v>
      </c>
      <c r="F853" s="84" t="s">
        <v>1516</v>
      </c>
      <c r="G853" s="54">
        <v>7</v>
      </c>
      <c r="H853" s="49">
        <v>2</v>
      </c>
      <c r="I853" s="49"/>
      <c r="J853" s="55"/>
      <c r="K853" s="17"/>
      <c r="L853" s="17"/>
      <c r="M853" s="54">
        <v>1</v>
      </c>
      <c r="N853" s="49">
        <v>1</v>
      </c>
      <c r="O853" s="54">
        <v>0</v>
      </c>
      <c r="P853" s="54">
        <v>0</v>
      </c>
      <c r="Q853" s="54">
        <v>0</v>
      </c>
      <c r="R853" s="54"/>
      <c r="S853" s="54">
        <v>0</v>
      </c>
      <c r="T853" s="153"/>
    </row>
    <row r="854" spans="2:20">
      <c r="B854" s="55">
        <v>11068</v>
      </c>
      <c r="C854" s="49" t="s">
        <v>1446</v>
      </c>
      <c r="D854" s="59" t="s">
        <v>1447</v>
      </c>
      <c r="E854" s="84" t="s">
        <v>1517</v>
      </c>
      <c r="F854" s="84" t="s">
        <v>1517</v>
      </c>
      <c r="G854" s="54">
        <v>7</v>
      </c>
      <c r="H854" s="49">
        <v>3</v>
      </c>
      <c r="I854" s="49"/>
      <c r="J854" s="55"/>
      <c r="K854" s="17"/>
      <c r="L854" s="17"/>
      <c r="M854" s="54">
        <v>1</v>
      </c>
      <c r="N854" s="49">
        <v>1</v>
      </c>
      <c r="O854" s="54">
        <v>0</v>
      </c>
      <c r="P854" s="54">
        <v>0</v>
      </c>
      <c r="Q854" s="54">
        <v>0</v>
      </c>
      <c r="R854" s="54"/>
      <c r="S854" s="54">
        <v>0</v>
      </c>
      <c r="T854" s="153"/>
    </row>
    <row r="855" spans="2:20">
      <c r="B855" s="55">
        <v>11069</v>
      </c>
      <c r="C855" s="49" t="s">
        <v>1449</v>
      </c>
      <c r="D855" s="59" t="s">
        <v>1450</v>
      </c>
      <c r="E855" s="84" t="s">
        <v>1518</v>
      </c>
      <c r="F855" s="84" t="s">
        <v>1518</v>
      </c>
      <c r="G855" s="54">
        <v>7</v>
      </c>
      <c r="H855" s="55">
        <v>4</v>
      </c>
      <c r="I855" s="49"/>
      <c r="J855" s="55"/>
      <c r="K855" s="17"/>
      <c r="L855" s="17"/>
      <c r="M855" s="54">
        <v>1</v>
      </c>
      <c r="N855" s="49">
        <v>1</v>
      </c>
      <c r="O855" s="54">
        <v>0</v>
      </c>
      <c r="P855" s="54">
        <v>0</v>
      </c>
      <c r="Q855" s="54">
        <v>0</v>
      </c>
      <c r="R855" s="54"/>
      <c r="S855" s="54">
        <v>0</v>
      </c>
      <c r="T855" s="153"/>
    </row>
    <row r="856" spans="2:20">
      <c r="B856" s="55">
        <v>11070</v>
      </c>
      <c r="C856" s="49" t="s">
        <v>1452</v>
      </c>
      <c r="D856" s="59" t="s">
        <v>1453</v>
      </c>
      <c r="E856" s="84" t="s">
        <v>1519</v>
      </c>
      <c r="F856" s="84" t="s">
        <v>1519</v>
      </c>
      <c r="G856" s="54">
        <v>7</v>
      </c>
      <c r="H856" s="55">
        <v>5</v>
      </c>
      <c r="I856" s="49"/>
      <c r="J856" s="55"/>
      <c r="K856" s="17"/>
      <c r="L856" s="17"/>
      <c r="M856" s="54">
        <v>1</v>
      </c>
      <c r="N856" s="49">
        <v>1</v>
      </c>
      <c r="O856" s="54">
        <v>0</v>
      </c>
      <c r="P856" s="54">
        <v>0</v>
      </c>
      <c r="Q856" s="54">
        <v>0</v>
      </c>
      <c r="R856" s="54"/>
      <c r="S856" s="54">
        <v>0</v>
      </c>
      <c r="T856" s="153"/>
    </row>
    <row r="857" spans="2:20">
      <c r="B857" s="55">
        <v>11071</v>
      </c>
      <c r="C857" s="49" t="s">
        <v>1440</v>
      </c>
      <c r="D857" s="59" t="s">
        <v>1441</v>
      </c>
      <c r="E857" s="84" t="s">
        <v>1520</v>
      </c>
      <c r="F857" s="84" t="s">
        <v>1520</v>
      </c>
      <c r="G857" s="54">
        <v>7</v>
      </c>
      <c r="H857" s="55">
        <v>1</v>
      </c>
      <c r="I857" s="49"/>
      <c r="J857" s="55"/>
      <c r="K857" s="17"/>
      <c r="L857" s="17"/>
      <c r="M857" s="54">
        <v>1</v>
      </c>
      <c r="N857" s="49">
        <v>1</v>
      </c>
      <c r="O857" s="54">
        <v>0</v>
      </c>
      <c r="P857" s="54">
        <v>0</v>
      </c>
      <c r="Q857" s="54">
        <v>0</v>
      </c>
      <c r="R857" s="54"/>
      <c r="S857" s="54">
        <v>0</v>
      </c>
      <c r="T857" s="153"/>
    </row>
    <row r="858" spans="2:20">
      <c r="B858" s="55">
        <v>11072</v>
      </c>
      <c r="C858" s="49" t="s">
        <v>1443</v>
      </c>
      <c r="D858" s="59" t="s">
        <v>1444</v>
      </c>
      <c r="E858" s="84" t="s">
        <v>1521</v>
      </c>
      <c r="F858" s="84" t="s">
        <v>1521</v>
      </c>
      <c r="G858" s="54">
        <v>7</v>
      </c>
      <c r="H858" s="49">
        <v>2</v>
      </c>
      <c r="I858" s="49"/>
      <c r="J858" s="55"/>
      <c r="K858" s="17"/>
      <c r="L858" s="17"/>
      <c r="M858" s="54">
        <v>1</v>
      </c>
      <c r="N858" s="49">
        <v>1</v>
      </c>
      <c r="O858" s="54">
        <v>0</v>
      </c>
      <c r="P858" s="54">
        <v>0</v>
      </c>
      <c r="Q858" s="54">
        <v>0</v>
      </c>
      <c r="R858" s="54"/>
      <c r="S858" s="54">
        <v>0</v>
      </c>
      <c r="T858" s="153"/>
    </row>
    <row r="859" spans="2:20">
      <c r="B859" s="55">
        <v>11073</v>
      </c>
      <c r="C859" s="49" t="s">
        <v>1446</v>
      </c>
      <c r="D859" s="59" t="s">
        <v>1447</v>
      </c>
      <c r="E859" s="84" t="s">
        <v>1522</v>
      </c>
      <c r="F859" s="84" t="s">
        <v>1522</v>
      </c>
      <c r="G859" s="54">
        <v>7</v>
      </c>
      <c r="H859" s="49">
        <v>3</v>
      </c>
      <c r="I859" s="49"/>
      <c r="J859" s="55"/>
      <c r="K859" s="17"/>
      <c r="L859" s="17"/>
      <c r="M859" s="54">
        <v>1</v>
      </c>
      <c r="N859" s="49">
        <v>1</v>
      </c>
      <c r="O859" s="54">
        <v>0</v>
      </c>
      <c r="P859" s="54">
        <v>0</v>
      </c>
      <c r="Q859" s="54">
        <v>0</v>
      </c>
      <c r="R859" s="54"/>
      <c r="S859" s="54">
        <v>0</v>
      </c>
      <c r="T859" s="153"/>
    </row>
    <row r="860" spans="2:20">
      <c r="B860" s="55">
        <v>11074</v>
      </c>
      <c r="C860" s="49" t="s">
        <v>1449</v>
      </c>
      <c r="D860" s="59" t="s">
        <v>1450</v>
      </c>
      <c r="E860" s="84" t="s">
        <v>1523</v>
      </c>
      <c r="F860" s="84" t="s">
        <v>1523</v>
      </c>
      <c r="G860" s="54">
        <v>7</v>
      </c>
      <c r="H860" s="55">
        <v>4</v>
      </c>
      <c r="I860" s="49"/>
      <c r="J860" s="55"/>
      <c r="K860" s="17"/>
      <c r="L860" s="17"/>
      <c r="M860" s="54">
        <v>1</v>
      </c>
      <c r="N860" s="49">
        <v>1</v>
      </c>
      <c r="O860" s="54">
        <v>0</v>
      </c>
      <c r="P860" s="54">
        <v>0</v>
      </c>
      <c r="Q860" s="54">
        <v>0</v>
      </c>
      <c r="R860" s="54"/>
      <c r="S860" s="54">
        <v>0</v>
      </c>
      <c r="T860" s="153"/>
    </row>
    <row r="861" spans="2:20">
      <c r="B861" s="55">
        <v>11075</v>
      </c>
      <c r="C861" s="49" t="s">
        <v>1452</v>
      </c>
      <c r="D861" s="59" t="s">
        <v>1453</v>
      </c>
      <c r="E861" s="84" t="s">
        <v>1524</v>
      </c>
      <c r="F861" s="84" t="s">
        <v>1524</v>
      </c>
      <c r="G861" s="54">
        <v>7</v>
      </c>
      <c r="H861" s="55">
        <v>5</v>
      </c>
      <c r="I861" s="49"/>
      <c r="J861" s="55"/>
      <c r="K861" s="17"/>
      <c r="L861" s="17"/>
      <c r="M861" s="54">
        <v>1</v>
      </c>
      <c r="N861" s="49">
        <v>1</v>
      </c>
      <c r="O861" s="54">
        <v>0</v>
      </c>
      <c r="P861" s="54">
        <v>0</v>
      </c>
      <c r="Q861" s="54">
        <v>0</v>
      </c>
      <c r="R861" s="54"/>
      <c r="S861" s="54">
        <v>0</v>
      </c>
      <c r="T861" s="153"/>
    </row>
    <row r="862" spans="2:20">
      <c r="B862" s="55">
        <v>11076</v>
      </c>
      <c r="C862" s="49" t="s">
        <v>1440</v>
      </c>
      <c r="D862" s="59" t="s">
        <v>1441</v>
      </c>
      <c r="E862" s="84" t="s">
        <v>1525</v>
      </c>
      <c r="F862" s="84" t="s">
        <v>1525</v>
      </c>
      <c r="G862" s="54">
        <v>7</v>
      </c>
      <c r="H862" s="55">
        <v>1</v>
      </c>
      <c r="I862" s="49"/>
      <c r="J862" s="55"/>
      <c r="K862" s="17"/>
      <c r="L862" s="17"/>
      <c r="M862" s="54">
        <v>1</v>
      </c>
      <c r="N862" s="49">
        <v>1</v>
      </c>
      <c r="O862" s="54">
        <v>0</v>
      </c>
      <c r="P862" s="54">
        <v>0</v>
      </c>
      <c r="Q862" s="54">
        <v>0</v>
      </c>
      <c r="R862" s="54"/>
      <c r="S862" s="54">
        <v>0</v>
      </c>
      <c r="T862" s="153"/>
    </row>
    <row r="863" spans="2:20">
      <c r="B863" s="55">
        <v>11077</v>
      </c>
      <c r="C863" s="49" t="s">
        <v>1443</v>
      </c>
      <c r="D863" s="59" t="s">
        <v>1444</v>
      </c>
      <c r="E863" s="84" t="s">
        <v>1526</v>
      </c>
      <c r="F863" s="84" t="s">
        <v>1526</v>
      </c>
      <c r="G863" s="54">
        <v>7</v>
      </c>
      <c r="H863" s="49">
        <v>2</v>
      </c>
      <c r="I863" s="49"/>
      <c r="J863" s="55"/>
      <c r="K863" s="17"/>
      <c r="L863" s="17"/>
      <c r="M863" s="54">
        <v>1</v>
      </c>
      <c r="N863" s="49">
        <v>1</v>
      </c>
      <c r="O863" s="54">
        <v>0</v>
      </c>
      <c r="P863" s="54">
        <v>0</v>
      </c>
      <c r="Q863" s="54">
        <v>0</v>
      </c>
      <c r="R863" s="54"/>
      <c r="S863" s="54">
        <v>0</v>
      </c>
      <c r="T863" s="153"/>
    </row>
    <row r="864" spans="2:20">
      <c r="B864" s="55">
        <v>11078</v>
      </c>
      <c r="C864" s="49" t="s">
        <v>1446</v>
      </c>
      <c r="D864" s="59" t="s">
        <v>1447</v>
      </c>
      <c r="E864" s="84" t="s">
        <v>1527</v>
      </c>
      <c r="F864" s="84" t="s">
        <v>1527</v>
      </c>
      <c r="G864" s="54">
        <v>7</v>
      </c>
      <c r="H864" s="49">
        <v>3</v>
      </c>
      <c r="I864" s="49"/>
      <c r="J864" s="55"/>
      <c r="K864" s="17"/>
      <c r="L864" s="17"/>
      <c r="M864" s="54">
        <v>1</v>
      </c>
      <c r="N864" s="49">
        <v>1</v>
      </c>
      <c r="O864" s="54">
        <v>0</v>
      </c>
      <c r="P864" s="54">
        <v>0</v>
      </c>
      <c r="Q864" s="54">
        <v>0</v>
      </c>
      <c r="R864" s="54"/>
      <c r="S864" s="54">
        <v>0</v>
      </c>
      <c r="T864" s="153"/>
    </row>
    <row r="865" spans="2:20">
      <c r="B865" s="55">
        <v>11079</v>
      </c>
      <c r="C865" s="49" t="s">
        <v>1449</v>
      </c>
      <c r="D865" s="59" t="s">
        <v>1450</v>
      </c>
      <c r="E865" s="84" t="s">
        <v>1528</v>
      </c>
      <c r="F865" s="84" t="s">
        <v>1528</v>
      </c>
      <c r="G865" s="54">
        <v>7</v>
      </c>
      <c r="H865" s="55">
        <v>4</v>
      </c>
      <c r="I865" s="49"/>
      <c r="J865" s="55"/>
      <c r="K865" s="17"/>
      <c r="L865" s="17"/>
      <c r="M865" s="54">
        <v>1</v>
      </c>
      <c r="N865" s="49">
        <v>1</v>
      </c>
      <c r="O865" s="54">
        <v>0</v>
      </c>
      <c r="P865" s="54">
        <v>0</v>
      </c>
      <c r="Q865" s="54">
        <v>0</v>
      </c>
      <c r="R865" s="54"/>
      <c r="S865" s="54">
        <v>0</v>
      </c>
      <c r="T865" s="153"/>
    </row>
    <row r="866" spans="2:20">
      <c r="B866" s="55">
        <v>11080</v>
      </c>
      <c r="C866" s="49" t="s">
        <v>1452</v>
      </c>
      <c r="D866" s="59" t="s">
        <v>1453</v>
      </c>
      <c r="E866" s="84" t="s">
        <v>1529</v>
      </c>
      <c r="F866" s="84" t="s">
        <v>1529</v>
      </c>
      <c r="G866" s="54">
        <v>7</v>
      </c>
      <c r="H866" s="55">
        <v>5</v>
      </c>
      <c r="I866" s="49"/>
      <c r="J866" s="55"/>
      <c r="K866" s="17"/>
      <c r="L866" s="17"/>
      <c r="M866" s="54">
        <v>1</v>
      </c>
      <c r="N866" s="49">
        <v>1</v>
      </c>
      <c r="O866" s="54">
        <v>0</v>
      </c>
      <c r="P866" s="54">
        <v>0</v>
      </c>
      <c r="Q866" s="54">
        <v>0</v>
      </c>
      <c r="R866" s="54"/>
      <c r="S866" s="54">
        <v>0</v>
      </c>
      <c r="T866" s="153"/>
    </row>
    <row r="867" spans="2:20">
      <c r="B867" s="55">
        <v>11081</v>
      </c>
      <c r="C867" s="49" t="s">
        <v>1440</v>
      </c>
      <c r="D867" s="59" t="s">
        <v>1441</v>
      </c>
      <c r="E867" s="84" t="s">
        <v>1530</v>
      </c>
      <c r="F867" s="84" t="s">
        <v>1530</v>
      </c>
      <c r="G867" s="54">
        <v>7</v>
      </c>
      <c r="H867" s="55">
        <v>1</v>
      </c>
      <c r="I867" s="49"/>
      <c r="J867" s="55"/>
      <c r="K867" s="17"/>
      <c r="L867" s="17"/>
      <c r="M867" s="54">
        <v>1</v>
      </c>
      <c r="N867" s="49">
        <v>1</v>
      </c>
      <c r="O867" s="54">
        <v>0</v>
      </c>
      <c r="P867" s="54">
        <v>0</v>
      </c>
      <c r="Q867" s="54">
        <v>0</v>
      </c>
      <c r="R867" s="54"/>
      <c r="S867" s="54">
        <v>0</v>
      </c>
      <c r="T867" s="153"/>
    </row>
    <row r="868" spans="2:20">
      <c r="B868" s="55">
        <v>11082</v>
      </c>
      <c r="C868" s="49" t="s">
        <v>1443</v>
      </c>
      <c r="D868" s="59" t="s">
        <v>1444</v>
      </c>
      <c r="E868" s="84" t="s">
        <v>1531</v>
      </c>
      <c r="F868" s="84" t="s">
        <v>1531</v>
      </c>
      <c r="G868" s="54">
        <v>7</v>
      </c>
      <c r="H868" s="49">
        <v>2</v>
      </c>
      <c r="I868" s="49"/>
      <c r="J868" s="55"/>
      <c r="K868" s="17"/>
      <c r="L868" s="17"/>
      <c r="M868" s="54">
        <v>1</v>
      </c>
      <c r="N868" s="49">
        <v>1</v>
      </c>
      <c r="O868" s="54">
        <v>0</v>
      </c>
      <c r="P868" s="54">
        <v>0</v>
      </c>
      <c r="Q868" s="54">
        <v>0</v>
      </c>
      <c r="R868" s="54"/>
      <c r="S868" s="54">
        <v>0</v>
      </c>
      <c r="T868" s="153"/>
    </row>
    <row r="869" spans="2:20">
      <c r="B869" s="55">
        <v>11083</v>
      </c>
      <c r="C869" s="49" t="s">
        <v>1446</v>
      </c>
      <c r="D869" s="59" t="s">
        <v>1447</v>
      </c>
      <c r="E869" s="84" t="s">
        <v>1532</v>
      </c>
      <c r="F869" s="84" t="s">
        <v>1532</v>
      </c>
      <c r="G869" s="54">
        <v>7</v>
      </c>
      <c r="H869" s="49">
        <v>3</v>
      </c>
      <c r="I869" s="49"/>
      <c r="J869" s="55"/>
      <c r="K869" s="17"/>
      <c r="L869" s="17"/>
      <c r="M869" s="54">
        <v>1</v>
      </c>
      <c r="N869" s="49">
        <v>1</v>
      </c>
      <c r="O869" s="54">
        <v>0</v>
      </c>
      <c r="P869" s="54">
        <v>0</v>
      </c>
      <c r="Q869" s="54">
        <v>0</v>
      </c>
      <c r="R869" s="54"/>
      <c r="S869" s="54">
        <v>0</v>
      </c>
      <c r="T869" s="153"/>
    </row>
    <row r="870" spans="2:20">
      <c r="B870" s="55">
        <v>11084</v>
      </c>
      <c r="C870" s="49" t="s">
        <v>1449</v>
      </c>
      <c r="D870" s="59" t="s">
        <v>1450</v>
      </c>
      <c r="E870" s="84" t="s">
        <v>1533</v>
      </c>
      <c r="F870" s="84" t="s">
        <v>1533</v>
      </c>
      <c r="G870" s="54">
        <v>7</v>
      </c>
      <c r="H870" s="55">
        <v>4</v>
      </c>
      <c r="I870" s="49"/>
      <c r="J870" s="55"/>
      <c r="K870" s="17"/>
      <c r="L870" s="17"/>
      <c r="M870" s="54">
        <v>1</v>
      </c>
      <c r="N870" s="49">
        <v>1</v>
      </c>
      <c r="O870" s="54">
        <v>0</v>
      </c>
      <c r="P870" s="54">
        <v>0</v>
      </c>
      <c r="Q870" s="54">
        <v>0</v>
      </c>
      <c r="R870" s="54"/>
      <c r="S870" s="54">
        <v>0</v>
      </c>
      <c r="T870" s="153"/>
    </row>
    <row r="871" spans="2:20">
      <c r="B871" s="55">
        <v>11085</v>
      </c>
      <c r="C871" s="49" t="s">
        <v>1452</v>
      </c>
      <c r="D871" s="59" t="s">
        <v>1453</v>
      </c>
      <c r="E871" s="84" t="s">
        <v>1534</v>
      </c>
      <c r="F871" s="84" t="s">
        <v>1534</v>
      </c>
      <c r="G871" s="54">
        <v>7</v>
      </c>
      <c r="H871" s="55">
        <v>5</v>
      </c>
      <c r="I871" s="49"/>
      <c r="J871" s="55"/>
      <c r="K871" s="17"/>
      <c r="L871" s="17"/>
      <c r="M871" s="54">
        <v>1</v>
      </c>
      <c r="N871" s="49">
        <v>1</v>
      </c>
      <c r="O871" s="54">
        <v>0</v>
      </c>
      <c r="P871" s="54">
        <v>0</v>
      </c>
      <c r="Q871" s="54">
        <v>0</v>
      </c>
      <c r="R871" s="54"/>
      <c r="S871" s="54">
        <v>0</v>
      </c>
      <c r="T871" s="153"/>
    </row>
    <row r="872" spans="2:20">
      <c r="B872" s="55">
        <v>11086</v>
      </c>
      <c r="C872" s="49" t="s">
        <v>1440</v>
      </c>
      <c r="D872" s="59" t="s">
        <v>1441</v>
      </c>
      <c r="E872" s="84" t="s">
        <v>1535</v>
      </c>
      <c r="F872" s="84" t="s">
        <v>1535</v>
      </c>
      <c r="G872" s="54">
        <v>7</v>
      </c>
      <c r="H872" s="55">
        <v>1</v>
      </c>
      <c r="I872" s="49"/>
      <c r="J872" s="55"/>
      <c r="K872" s="17"/>
      <c r="L872" s="17"/>
      <c r="M872" s="54">
        <v>1</v>
      </c>
      <c r="N872" s="49">
        <v>1</v>
      </c>
      <c r="O872" s="54">
        <v>0</v>
      </c>
      <c r="P872" s="54">
        <v>0</v>
      </c>
      <c r="Q872" s="54">
        <v>0</v>
      </c>
      <c r="R872" s="54"/>
      <c r="S872" s="54">
        <v>0</v>
      </c>
      <c r="T872" s="153"/>
    </row>
    <row r="873" spans="2:20">
      <c r="B873" s="55">
        <v>11087</v>
      </c>
      <c r="C873" s="49" t="s">
        <v>1443</v>
      </c>
      <c r="D873" s="59" t="s">
        <v>1444</v>
      </c>
      <c r="E873" s="84" t="s">
        <v>1536</v>
      </c>
      <c r="F873" s="84" t="s">
        <v>1536</v>
      </c>
      <c r="G873" s="54">
        <v>7</v>
      </c>
      <c r="H873" s="49">
        <v>2</v>
      </c>
      <c r="I873" s="49"/>
      <c r="J873" s="55"/>
      <c r="K873" s="17"/>
      <c r="L873" s="17"/>
      <c r="M873" s="54">
        <v>1</v>
      </c>
      <c r="N873" s="49">
        <v>1</v>
      </c>
      <c r="O873" s="54">
        <v>0</v>
      </c>
      <c r="P873" s="54">
        <v>0</v>
      </c>
      <c r="Q873" s="54">
        <v>0</v>
      </c>
      <c r="R873" s="54"/>
      <c r="S873" s="54">
        <v>0</v>
      </c>
      <c r="T873" s="153"/>
    </row>
    <row r="874" spans="2:20">
      <c r="B874" s="55">
        <v>11088</v>
      </c>
      <c r="C874" s="49" t="s">
        <v>1446</v>
      </c>
      <c r="D874" s="59" t="s">
        <v>1447</v>
      </c>
      <c r="E874" s="84" t="s">
        <v>1537</v>
      </c>
      <c r="F874" s="84" t="s">
        <v>1537</v>
      </c>
      <c r="G874" s="54">
        <v>7</v>
      </c>
      <c r="H874" s="49">
        <v>3</v>
      </c>
      <c r="I874" s="49"/>
      <c r="J874" s="55"/>
      <c r="K874" s="17"/>
      <c r="L874" s="17"/>
      <c r="M874" s="54">
        <v>1</v>
      </c>
      <c r="N874" s="49">
        <v>1</v>
      </c>
      <c r="O874" s="54">
        <v>0</v>
      </c>
      <c r="P874" s="54">
        <v>0</v>
      </c>
      <c r="Q874" s="54">
        <v>0</v>
      </c>
      <c r="R874" s="54"/>
      <c r="S874" s="54">
        <v>0</v>
      </c>
      <c r="T874" s="153"/>
    </row>
    <row r="875" spans="2:20">
      <c r="B875" s="55">
        <v>11089</v>
      </c>
      <c r="C875" s="49" t="s">
        <v>1449</v>
      </c>
      <c r="D875" s="59" t="s">
        <v>1450</v>
      </c>
      <c r="E875" s="84" t="s">
        <v>1538</v>
      </c>
      <c r="F875" s="84" t="s">
        <v>1538</v>
      </c>
      <c r="G875" s="54">
        <v>7</v>
      </c>
      <c r="H875" s="55">
        <v>4</v>
      </c>
      <c r="I875" s="49"/>
      <c r="J875" s="55"/>
      <c r="K875" s="17"/>
      <c r="L875" s="17"/>
      <c r="M875" s="54">
        <v>1</v>
      </c>
      <c r="N875" s="49">
        <v>1</v>
      </c>
      <c r="O875" s="54">
        <v>0</v>
      </c>
      <c r="P875" s="54">
        <v>0</v>
      </c>
      <c r="Q875" s="54">
        <v>0</v>
      </c>
      <c r="R875" s="54"/>
      <c r="S875" s="54">
        <v>0</v>
      </c>
      <c r="T875" s="153"/>
    </row>
    <row r="876" spans="2:20">
      <c r="B876" s="55">
        <v>11090</v>
      </c>
      <c r="C876" s="49" t="s">
        <v>1452</v>
      </c>
      <c r="D876" s="59" t="s">
        <v>1453</v>
      </c>
      <c r="E876" s="84" t="s">
        <v>1539</v>
      </c>
      <c r="F876" s="84" t="s">
        <v>1539</v>
      </c>
      <c r="G876" s="54">
        <v>7</v>
      </c>
      <c r="H876" s="55">
        <v>5</v>
      </c>
      <c r="I876" s="49"/>
      <c r="J876" s="55"/>
      <c r="K876" s="17"/>
      <c r="L876" s="17"/>
      <c r="M876" s="54">
        <v>1</v>
      </c>
      <c r="N876" s="49">
        <v>1</v>
      </c>
      <c r="O876" s="54">
        <v>0</v>
      </c>
      <c r="P876" s="54">
        <v>0</v>
      </c>
      <c r="Q876" s="54">
        <v>0</v>
      </c>
      <c r="R876" s="54"/>
      <c r="S876" s="54">
        <v>0</v>
      </c>
      <c r="T876" s="153"/>
    </row>
    <row r="877" spans="2:20">
      <c r="B877" s="55">
        <v>11091</v>
      </c>
      <c r="C877" s="49" t="s">
        <v>1440</v>
      </c>
      <c r="D877" s="59" t="s">
        <v>1441</v>
      </c>
      <c r="E877" s="84" t="s">
        <v>1540</v>
      </c>
      <c r="F877" s="84" t="s">
        <v>1540</v>
      </c>
      <c r="G877" s="54">
        <v>7</v>
      </c>
      <c r="H877" s="55">
        <v>1</v>
      </c>
      <c r="I877" s="49"/>
      <c r="J877" s="55"/>
      <c r="K877" s="17"/>
      <c r="L877" s="17"/>
      <c r="M877" s="54">
        <v>1</v>
      </c>
      <c r="N877" s="49">
        <v>1</v>
      </c>
      <c r="O877" s="54">
        <v>0</v>
      </c>
      <c r="P877" s="54">
        <v>0</v>
      </c>
      <c r="Q877" s="54">
        <v>0</v>
      </c>
      <c r="R877" s="54"/>
      <c r="S877" s="54">
        <v>0</v>
      </c>
      <c r="T877" s="153"/>
    </row>
    <row r="878" spans="2:20">
      <c r="B878" s="55">
        <v>11092</v>
      </c>
      <c r="C878" s="49" t="s">
        <v>1443</v>
      </c>
      <c r="D878" s="59" t="s">
        <v>1444</v>
      </c>
      <c r="E878" s="84" t="s">
        <v>1541</v>
      </c>
      <c r="F878" s="84" t="s">
        <v>1541</v>
      </c>
      <c r="G878" s="54">
        <v>7</v>
      </c>
      <c r="H878" s="49">
        <v>2</v>
      </c>
      <c r="I878" s="49"/>
      <c r="J878" s="55"/>
      <c r="K878" s="17"/>
      <c r="L878" s="17"/>
      <c r="M878" s="54">
        <v>1</v>
      </c>
      <c r="N878" s="49">
        <v>1</v>
      </c>
      <c r="O878" s="54">
        <v>0</v>
      </c>
      <c r="P878" s="54">
        <v>0</v>
      </c>
      <c r="Q878" s="54">
        <v>0</v>
      </c>
      <c r="R878" s="54"/>
      <c r="S878" s="54">
        <v>0</v>
      </c>
      <c r="T878" s="153"/>
    </row>
    <row r="879" spans="2:20">
      <c r="B879" s="55">
        <v>11093</v>
      </c>
      <c r="C879" s="49" t="s">
        <v>1446</v>
      </c>
      <c r="D879" s="59" t="s">
        <v>1447</v>
      </c>
      <c r="E879" s="84" t="s">
        <v>1542</v>
      </c>
      <c r="F879" s="84" t="s">
        <v>1542</v>
      </c>
      <c r="G879" s="54">
        <v>7</v>
      </c>
      <c r="H879" s="49">
        <v>3</v>
      </c>
      <c r="I879" s="49"/>
      <c r="J879" s="55"/>
      <c r="K879" s="17"/>
      <c r="L879" s="17"/>
      <c r="M879" s="54">
        <v>1</v>
      </c>
      <c r="N879" s="49">
        <v>1</v>
      </c>
      <c r="O879" s="54">
        <v>0</v>
      </c>
      <c r="P879" s="54">
        <v>0</v>
      </c>
      <c r="Q879" s="54">
        <v>0</v>
      </c>
      <c r="R879" s="54"/>
      <c r="S879" s="54">
        <v>0</v>
      </c>
      <c r="T879" s="153"/>
    </row>
    <row r="880" spans="2:20">
      <c r="B880" s="55">
        <v>11094</v>
      </c>
      <c r="C880" s="49" t="s">
        <v>1449</v>
      </c>
      <c r="D880" s="59" t="s">
        <v>1450</v>
      </c>
      <c r="E880" s="84" t="s">
        <v>1543</v>
      </c>
      <c r="F880" s="84" t="s">
        <v>1543</v>
      </c>
      <c r="G880" s="54">
        <v>7</v>
      </c>
      <c r="H880" s="55">
        <v>4</v>
      </c>
      <c r="I880" s="49"/>
      <c r="J880" s="55"/>
      <c r="K880" s="17"/>
      <c r="L880" s="17"/>
      <c r="M880" s="54">
        <v>1</v>
      </c>
      <c r="N880" s="49">
        <v>1</v>
      </c>
      <c r="O880" s="54">
        <v>0</v>
      </c>
      <c r="P880" s="54">
        <v>0</v>
      </c>
      <c r="Q880" s="54">
        <v>0</v>
      </c>
      <c r="R880" s="54"/>
      <c r="S880" s="54">
        <v>0</v>
      </c>
      <c r="T880" s="153"/>
    </row>
    <row r="881" spans="2:20">
      <c r="B881" s="55">
        <v>11095</v>
      </c>
      <c r="C881" s="49" t="s">
        <v>1452</v>
      </c>
      <c r="D881" s="59" t="s">
        <v>1453</v>
      </c>
      <c r="E881" s="84" t="s">
        <v>1544</v>
      </c>
      <c r="F881" s="84" t="s">
        <v>1544</v>
      </c>
      <c r="G881" s="54">
        <v>7</v>
      </c>
      <c r="H881" s="55">
        <v>5</v>
      </c>
      <c r="I881" s="49"/>
      <c r="J881" s="55"/>
      <c r="K881" s="17"/>
      <c r="L881" s="17"/>
      <c r="M881" s="54">
        <v>1</v>
      </c>
      <c r="N881" s="49">
        <v>1</v>
      </c>
      <c r="O881" s="54">
        <v>0</v>
      </c>
      <c r="P881" s="54">
        <v>0</v>
      </c>
      <c r="Q881" s="54">
        <v>0</v>
      </c>
      <c r="R881" s="54"/>
      <c r="S881" s="54">
        <v>0</v>
      </c>
      <c r="T881" s="153"/>
    </row>
    <row r="882" spans="2:20">
      <c r="B882" s="55">
        <v>11096</v>
      </c>
      <c r="C882" s="49" t="s">
        <v>1440</v>
      </c>
      <c r="D882" s="59" t="s">
        <v>1441</v>
      </c>
      <c r="E882" s="84" t="s">
        <v>1545</v>
      </c>
      <c r="F882" s="84" t="s">
        <v>1545</v>
      </c>
      <c r="G882" s="54">
        <v>7</v>
      </c>
      <c r="H882" s="55">
        <v>1</v>
      </c>
      <c r="I882" s="49"/>
      <c r="J882" s="55"/>
      <c r="K882" s="17"/>
      <c r="L882" s="17"/>
      <c r="M882" s="54">
        <v>1</v>
      </c>
      <c r="N882" s="49">
        <v>1</v>
      </c>
      <c r="O882" s="54">
        <v>0</v>
      </c>
      <c r="P882" s="54">
        <v>0</v>
      </c>
      <c r="Q882" s="54">
        <v>0</v>
      </c>
      <c r="R882" s="54"/>
      <c r="S882" s="54">
        <v>0</v>
      </c>
      <c r="T882" s="153"/>
    </row>
    <row r="883" spans="2:20">
      <c r="B883" s="55">
        <v>11097</v>
      </c>
      <c r="C883" s="49" t="s">
        <v>1443</v>
      </c>
      <c r="D883" s="59" t="s">
        <v>1444</v>
      </c>
      <c r="E883" s="84" t="s">
        <v>1546</v>
      </c>
      <c r="F883" s="84" t="s">
        <v>1546</v>
      </c>
      <c r="G883" s="54">
        <v>7</v>
      </c>
      <c r="H883" s="49">
        <v>2</v>
      </c>
      <c r="I883" s="49"/>
      <c r="J883" s="55"/>
      <c r="K883" s="17"/>
      <c r="L883" s="17"/>
      <c r="M883" s="54">
        <v>1</v>
      </c>
      <c r="N883" s="49">
        <v>1</v>
      </c>
      <c r="O883" s="54">
        <v>0</v>
      </c>
      <c r="P883" s="54">
        <v>0</v>
      </c>
      <c r="Q883" s="54">
        <v>0</v>
      </c>
      <c r="R883" s="54"/>
      <c r="S883" s="54">
        <v>0</v>
      </c>
      <c r="T883" s="153"/>
    </row>
    <row r="884" spans="2:20">
      <c r="B884" s="55">
        <v>11098</v>
      </c>
      <c r="C884" s="49" t="s">
        <v>1446</v>
      </c>
      <c r="D884" s="59" t="s">
        <v>1447</v>
      </c>
      <c r="E884" s="84" t="s">
        <v>1547</v>
      </c>
      <c r="F884" s="84" t="s">
        <v>1547</v>
      </c>
      <c r="G884" s="54">
        <v>7</v>
      </c>
      <c r="H884" s="49">
        <v>3</v>
      </c>
      <c r="I884" s="49"/>
      <c r="J884" s="55"/>
      <c r="K884" s="17"/>
      <c r="L884" s="17"/>
      <c r="M884" s="54">
        <v>1</v>
      </c>
      <c r="N884" s="49">
        <v>1</v>
      </c>
      <c r="O884" s="54">
        <v>0</v>
      </c>
      <c r="P884" s="54">
        <v>0</v>
      </c>
      <c r="Q884" s="54">
        <v>0</v>
      </c>
      <c r="R884" s="54"/>
      <c r="S884" s="54">
        <v>0</v>
      </c>
      <c r="T884" s="153"/>
    </row>
    <row r="885" spans="2:20">
      <c r="B885" s="55">
        <v>11099</v>
      </c>
      <c r="C885" s="49" t="s">
        <v>1449</v>
      </c>
      <c r="D885" s="59" t="s">
        <v>1450</v>
      </c>
      <c r="E885" s="84" t="s">
        <v>1548</v>
      </c>
      <c r="F885" s="84" t="s">
        <v>1548</v>
      </c>
      <c r="G885" s="54">
        <v>7</v>
      </c>
      <c r="H885" s="55">
        <v>4</v>
      </c>
      <c r="I885" s="49"/>
      <c r="J885" s="55"/>
      <c r="K885" s="17"/>
      <c r="L885" s="17"/>
      <c r="M885" s="54">
        <v>1</v>
      </c>
      <c r="N885" s="49">
        <v>1</v>
      </c>
      <c r="O885" s="54">
        <v>0</v>
      </c>
      <c r="P885" s="54">
        <v>0</v>
      </c>
      <c r="Q885" s="54">
        <v>0</v>
      </c>
      <c r="R885" s="54"/>
      <c r="S885" s="54">
        <v>0</v>
      </c>
      <c r="T885" s="153"/>
    </row>
    <row r="886" spans="2:20">
      <c r="B886" s="55">
        <v>11100</v>
      </c>
      <c r="C886" s="49" t="s">
        <v>1452</v>
      </c>
      <c r="D886" s="59" t="s">
        <v>1453</v>
      </c>
      <c r="E886" s="84" t="s">
        <v>1549</v>
      </c>
      <c r="F886" s="84" t="s">
        <v>1549</v>
      </c>
      <c r="G886" s="54">
        <v>7</v>
      </c>
      <c r="H886" s="55">
        <v>5</v>
      </c>
      <c r="I886" s="49"/>
      <c r="J886" s="55"/>
      <c r="K886" s="17"/>
      <c r="L886" s="17"/>
      <c r="M886" s="54">
        <v>1</v>
      </c>
      <c r="N886" s="49">
        <v>1</v>
      </c>
      <c r="O886" s="54">
        <v>0</v>
      </c>
      <c r="P886" s="54">
        <v>0</v>
      </c>
      <c r="Q886" s="54">
        <v>0</v>
      </c>
      <c r="R886" s="54"/>
      <c r="S886" s="54">
        <v>0</v>
      </c>
      <c r="T886" s="153"/>
    </row>
    <row r="887" spans="2:20">
      <c r="B887" s="55">
        <v>11101</v>
      </c>
      <c r="C887" s="49" t="s">
        <v>1440</v>
      </c>
      <c r="D887" s="59" t="s">
        <v>1441</v>
      </c>
      <c r="E887" s="84" t="s">
        <v>1550</v>
      </c>
      <c r="F887" s="84" t="s">
        <v>1550</v>
      </c>
      <c r="G887" s="54">
        <v>7</v>
      </c>
      <c r="H887" s="55">
        <v>1</v>
      </c>
      <c r="I887" s="49"/>
      <c r="J887" s="55"/>
      <c r="K887" s="17"/>
      <c r="L887" s="17"/>
      <c r="M887" s="54">
        <v>1</v>
      </c>
      <c r="N887" s="49">
        <v>1</v>
      </c>
      <c r="O887" s="54">
        <v>0</v>
      </c>
      <c r="P887" s="54">
        <v>0</v>
      </c>
      <c r="Q887" s="54">
        <v>0</v>
      </c>
      <c r="R887" s="54"/>
      <c r="S887" s="54">
        <v>0</v>
      </c>
      <c r="T887" s="153"/>
    </row>
    <row r="888" spans="2:20">
      <c r="B888" s="55">
        <v>11102</v>
      </c>
      <c r="C888" s="49" t="s">
        <v>1443</v>
      </c>
      <c r="D888" s="59" t="s">
        <v>1444</v>
      </c>
      <c r="E888" s="84" t="s">
        <v>1551</v>
      </c>
      <c r="F888" s="84" t="s">
        <v>1551</v>
      </c>
      <c r="G888" s="54">
        <v>7</v>
      </c>
      <c r="H888" s="49">
        <v>2</v>
      </c>
      <c r="I888" s="49"/>
      <c r="J888" s="55"/>
      <c r="K888" s="17"/>
      <c r="L888" s="17"/>
      <c r="M888" s="54">
        <v>1</v>
      </c>
      <c r="N888" s="49">
        <v>1</v>
      </c>
      <c r="O888" s="54">
        <v>0</v>
      </c>
      <c r="P888" s="54">
        <v>0</v>
      </c>
      <c r="Q888" s="54">
        <v>0</v>
      </c>
      <c r="R888" s="54"/>
      <c r="S888" s="54">
        <v>0</v>
      </c>
      <c r="T888" s="153"/>
    </row>
    <row r="889" spans="2:20">
      <c r="B889" s="55">
        <v>11103</v>
      </c>
      <c r="C889" s="49" t="s">
        <v>1446</v>
      </c>
      <c r="D889" s="59" t="s">
        <v>1447</v>
      </c>
      <c r="E889" s="84" t="s">
        <v>1552</v>
      </c>
      <c r="F889" s="84" t="s">
        <v>1552</v>
      </c>
      <c r="G889" s="54">
        <v>7</v>
      </c>
      <c r="H889" s="49">
        <v>3</v>
      </c>
      <c r="I889" s="49"/>
      <c r="J889" s="55"/>
      <c r="K889" s="17"/>
      <c r="L889" s="17"/>
      <c r="M889" s="54">
        <v>1</v>
      </c>
      <c r="N889" s="49">
        <v>1</v>
      </c>
      <c r="O889" s="54">
        <v>0</v>
      </c>
      <c r="P889" s="54">
        <v>0</v>
      </c>
      <c r="Q889" s="54">
        <v>0</v>
      </c>
      <c r="R889" s="54"/>
      <c r="S889" s="54">
        <v>0</v>
      </c>
      <c r="T889" s="153"/>
    </row>
    <row r="890" spans="2:20">
      <c r="B890" s="55">
        <v>11104</v>
      </c>
      <c r="C890" s="49" t="s">
        <v>1449</v>
      </c>
      <c r="D890" s="59" t="s">
        <v>1450</v>
      </c>
      <c r="E890" s="84" t="s">
        <v>1553</v>
      </c>
      <c r="F890" s="84" t="s">
        <v>1553</v>
      </c>
      <c r="G890" s="54">
        <v>7</v>
      </c>
      <c r="H890" s="55">
        <v>4</v>
      </c>
      <c r="I890" s="49"/>
      <c r="J890" s="55"/>
      <c r="K890" s="17"/>
      <c r="L890" s="17"/>
      <c r="M890" s="54">
        <v>1</v>
      </c>
      <c r="N890" s="49">
        <v>1</v>
      </c>
      <c r="O890" s="54">
        <v>0</v>
      </c>
      <c r="P890" s="54">
        <v>0</v>
      </c>
      <c r="Q890" s="54">
        <v>0</v>
      </c>
      <c r="R890" s="54"/>
      <c r="S890" s="54">
        <v>0</v>
      </c>
      <c r="T890" s="153"/>
    </row>
    <row r="891" spans="2:20">
      <c r="B891" s="55">
        <v>11105</v>
      </c>
      <c r="C891" s="49" t="s">
        <v>1452</v>
      </c>
      <c r="D891" s="59" t="s">
        <v>1453</v>
      </c>
      <c r="E891" s="84" t="s">
        <v>1554</v>
      </c>
      <c r="F891" s="84" t="s">
        <v>1554</v>
      </c>
      <c r="G891" s="54">
        <v>7</v>
      </c>
      <c r="H891" s="55">
        <v>5</v>
      </c>
      <c r="I891" s="49"/>
      <c r="J891" s="55"/>
      <c r="K891" s="17"/>
      <c r="L891" s="17"/>
      <c r="M891" s="54">
        <v>1</v>
      </c>
      <c r="N891" s="49">
        <v>1</v>
      </c>
      <c r="O891" s="54">
        <v>0</v>
      </c>
      <c r="P891" s="54">
        <v>0</v>
      </c>
      <c r="Q891" s="54">
        <v>0</v>
      </c>
      <c r="R891" s="54"/>
      <c r="S891" s="54">
        <v>0</v>
      </c>
      <c r="T891" s="153"/>
    </row>
    <row r="892" spans="2:20">
      <c r="B892" s="55">
        <v>11106</v>
      </c>
      <c r="C892" s="49" t="s">
        <v>1440</v>
      </c>
      <c r="D892" s="59" t="s">
        <v>1441</v>
      </c>
      <c r="E892" s="84" t="s">
        <v>1555</v>
      </c>
      <c r="F892" s="84" t="s">
        <v>1555</v>
      </c>
      <c r="G892" s="54">
        <v>7</v>
      </c>
      <c r="H892" s="55">
        <v>1</v>
      </c>
      <c r="I892" s="49"/>
      <c r="J892" s="55"/>
      <c r="K892" s="17"/>
      <c r="L892" s="17"/>
      <c r="M892" s="54">
        <v>1</v>
      </c>
      <c r="N892" s="49">
        <v>1</v>
      </c>
      <c r="O892" s="54">
        <v>0</v>
      </c>
      <c r="P892" s="54">
        <v>0</v>
      </c>
      <c r="Q892" s="54">
        <v>0</v>
      </c>
      <c r="R892" s="54"/>
      <c r="S892" s="54">
        <v>0</v>
      </c>
      <c r="T892" s="153"/>
    </row>
    <row r="893" spans="2:20">
      <c r="B893" s="55">
        <v>11107</v>
      </c>
      <c r="C893" s="49" t="s">
        <v>1443</v>
      </c>
      <c r="D893" s="59" t="s">
        <v>1444</v>
      </c>
      <c r="E893" s="84" t="s">
        <v>1556</v>
      </c>
      <c r="F893" s="84" t="s">
        <v>1556</v>
      </c>
      <c r="G893" s="54">
        <v>7</v>
      </c>
      <c r="H893" s="49">
        <v>2</v>
      </c>
      <c r="I893" s="49"/>
      <c r="J893" s="55"/>
      <c r="K893" s="17"/>
      <c r="L893" s="17"/>
      <c r="M893" s="54">
        <v>1</v>
      </c>
      <c r="N893" s="49">
        <v>1</v>
      </c>
      <c r="O893" s="54">
        <v>0</v>
      </c>
      <c r="P893" s="54">
        <v>0</v>
      </c>
      <c r="Q893" s="54">
        <v>0</v>
      </c>
      <c r="R893" s="54"/>
      <c r="S893" s="54">
        <v>0</v>
      </c>
      <c r="T893" s="153"/>
    </row>
    <row r="894" spans="2:20">
      <c r="B894" s="55">
        <v>11108</v>
      </c>
      <c r="C894" s="49" t="s">
        <v>1446</v>
      </c>
      <c r="D894" s="59" t="s">
        <v>1447</v>
      </c>
      <c r="E894" s="84" t="s">
        <v>1557</v>
      </c>
      <c r="F894" s="84" t="s">
        <v>1557</v>
      </c>
      <c r="G894" s="54">
        <v>7</v>
      </c>
      <c r="H894" s="49">
        <v>3</v>
      </c>
      <c r="I894" s="49"/>
      <c r="J894" s="55"/>
      <c r="K894" s="17"/>
      <c r="L894" s="17"/>
      <c r="M894" s="54">
        <v>1</v>
      </c>
      <c r="N894" s="49">
        <v>1</v>
      </c>
      <c r="O894" s="54">
        <v>0</v>
      </c>
      <c r="P894" s="54">
        <v>0</v>
      </c>
      <c r="Q894" s="54">
        <v>0</v>
      </c>
      <c r="R894" s="54"/>
      <c r="S894" s="54">
        <v>0</v>
      </c>
      <c r="T894" s="153"/>
    </row>
    <row r="895" spans="2:20">
      <c r="B895" s="55">
        <v>11109</v>
      </c>
      <c r="C895" s="49" t="s">
        <v>1449</v>
      </c>
      <c r="D895" s="59" t="s">
        <v>1450</v>
      </c>
      <c r="E895" s="84" t="s">
        <v>1558</v>
      </c>
      <c r="F895" s="84" t="s">
        <v>1558</v>
      </c>
      <c r="G895" s="54">
        <v>7</v>
      </c>
      <c r="H895" s="55">
        <v>4</v>
      </c>
      <c r="I895" s="49"/>
      <c r="J895" s="55"/>
      <c r="K895" s="17"/>
      <c r="L895" s="17"/>
      <c r="M895" s="54">
        <v>1</v>
      </c>
      <c r="N895" s="49">
        <v>1</v>
      </c>
      <c r="O895" s="54">
        <v>0</v>
      </c>
      <c r="P895" s="54">
        <v>0</v>
      </c>
      <c r="Q895" s="54">
        <v>0</v>
      </c>
      <c r="R895" s="54"/>
      <c r="S895" s="54">
        <v>0</v>
      </c>
      <c r="T895" s="153"/>
    </row>
    <row r="896" spans="2:20">
      <c r="B896" s="55">
        <v>11110</v>
      </c>
      <c r="C896" s="49" t="s">
        <v>1452</v>
      </c>
      <c r="D896" s="59" t="s">
        <v>1453</v>
      </c>
      <c r="E896" s="84" t="s">
        <v>1559</v>
      </c>
      <c r="F896" s="84" t="s">
        <v>1559</v>
      </c>
      <c r="G896" s="54">
        <v>7</v>
      </c>
      <c r="H896" s="55">
        <v>5</v>
      </c>
      <c r="I896" s="49"/>
      <c r="J896" s="55"/>
      <c r="K896" s="17"/>
      <c r="L896" s="17"/>
      <c r="M896" s="54">
        <v>1</v>
      </c>
      <c r="N896" s="49">
        <v>1</v>
      </c>
      <c r="O896" s="54">
        <v>0</v>
      </c>
      <c r="P896" s="54">
        <v>0</v>
      </c>
      <c r="Q896" s="54">
        <v>0</v>
      </c>
      <c r="R896" s="54"/>
      <c r="S896" s="54">
        <v>0</v>
      </c>
      <c r="T896" s="153"/>
    </row>
    <row r="897" spans="1:25">
      <c r="B897" s="55">
        <v>11111</v>
      </c>
      <c r="C897" s="49" t="s">
        <v>1440</v>
      </c>
      <c r="D897" s="59" t="s">
        <v>1441</v>
      </c>
      <c r="E897" s="84" t="s">
        <v>1560</v>
      </c>
      <c r="F897" s="84" t="s">
        <v>1560</v>
      </c>
      <c r="G897" s="54">
        <v>7</v>
      </c>
      <c r="H897" s="55">
        <v>1</v>
      </c>
      <c r="I897" s="49"/>
      <c r="J897" s="55"/>
      <c r="K897" s="17"/>
      <c r="L897" s="17"/>
      <c r="M897" s="54">
        <v>1</v>
      </c>
      <c r="N897" s="49">
        <v>1</v>
      </c>
      <c r="O897" s="54">
        <v>0</v>
      </c>
      <c r="P897" s="54">
        <v>0</v>
      </c>
      <c r="Q897" s="54">
        <v>0</v>
      </c>
      <c r="R897" s="54"/>
      <c r="S897" s="54">
        <v>0</v>
      </c>
      <c r="T897" s="153"/>
    </row>
    <row r="898" spans="1:25">
      <c r="B898" s="55">
        <v>11112</v>
      </c>
      <c r="C898" s="49" t="s">
        <v>1443</v>
      </c>
      <c r="D898" s="59" t="s">
        <v>1444</v>
      </c>
      <c r="E898" s="84" t="s">
        <v>1561</v>
      </c>
      <c r="F898" s="84" t="s">
        <v>1561</v>
      </c>
      <c r="G898" s="54">
        <v>7</v>
      </c>
      <c r="H898" s="49">
        <v>2</v>
      </c>
      <c r="I898" s="49"/>
      <c r="J898" s="55"/>
      <c r="K898" s="17"/>
      <c r="L898" s="17"/>
      <c r="M898" s="54">
        <v>1</v>
      </c>
      <c r="N898" s="49">
        <v>1</v>
      </c>
      <c r="O898" s="54">
        <v>0</v>
      </c>
      <c r="P898" s="54">
        <v>0</v>
      </c>
      <c r="Q898" s="54">
        <v>0</v>
      </c>
      <c r="R898" s="54"/>
      <c r="S898" s="54">
        <v>0</v>
      </c>
      <c r="T898" s="153"/>
    </row>
    <row r="899" spans="1:25">
      <c r="B899" s="55">
        <v>11113</v>
      </c>
      <c r="C899" s="49" t="s">
        <v>1446</v>
      </c>
      <c r="D899" s="59" t="s">
        <v>1447</v>
      </c>
      <c r="E899" s="84" t="s">
        <v>1562</v>
      </c>
      <c r="F899" s="84" t="s">
        <v>1562</v>
      </c>
      <c r="G899" s="54">
        <v>7</v>
      </c>
      <c r="H899" s="49">
        <v>3</v>
      </c>
      <c r="I899" s="49"/>
      <c r="J899" s="55"/>
      <c r="K899" s="17"/>
      <c r="L899" s="17"/>
      <c r="M899" s="54">
        <v>1</v>
      </c>
      <c r="N899" s="49">
        <v>1</v>
      </c>
      <c r="O899" s="54">
        <v>0</v>
      </c>
      <c r="P899" s="54">
        <v>0</v>
      </c>
      <c r="Q899" s="54">
        <v>0</v>
      </c>
      <c r="R899" s="54"/>
      <c r="S899" s="54">
        <v>0</v>
      </c>
      <c r="T899" s="153"/>
    </row>
    <row r="900" spans="1:25">
      <c r="B900" s="55">
        <v>11114</v>
      </c>
      <c r="C900" s="49" t="s">
        <v>1449</v>
      </c>
      <c r="D900" s="59" t="s">
        <v>1450</v>
      </c>
      <c r="E900" s="84" t="s">
        <v>1563</v>
      </c>
      <c r="F900" s="84" t="s">
        <v>1563</v>
      </c>
      <c r="G900" s="54">
        <v>7</v>
      </c>
      <c r="H900" s="55">
        <v>4</v>
      </c>
      <c r="I900" s="49"/>
      <c r="J900" s="55"/>
      <c r="K900" s="17"/>
      <c r="L900" s="17"/>
      <c r="M900" s="54">
        <v>1</v>
      </c>
      <c r="N900" s="49">
        <v>1</v>
      </c>
      <c r="O900" s="54">
        <v>0</v>
      </c>
      <c r="P900" s="54">
        <v>0</v>
      </c>
      <c r="Q900" s="54">
        <v>0</v>
      </c>
      <c r="R900" s="54"/>
      <c r="S900" s="54">
        <v>0</v>
      </c>
      <c r="T900" s="153"/>
    </row>
    <row r="901" spans="1:25">
      <c r="B901" s="55">
        <v>11115</v>
      </c>
      <c r="C901" s="49" t="s">
        <v>1452</v>
      </c>
      <c r="D901" s="59" t="s">
        <v>1453</v>
      </c>
      <c r="E901" s="84" t="s">
        <v>1564</v>
      </c>
      <c r="F901" s="84" t="s">
        <v>1564</v>
      </c>
      <c r="G901" s="54">
        <v>7</v>
      </c>
      <c r="H901" s="55">
        <v>5</v>
      </c>
      <c r="I901" s="49"/>
      <c r="J901" s="55"/>
      <c r="K901" s="17"/>
      <c r="L901" s="17"/>
      <c r="M901" s="54">
        <v>1</v>
      </c>
      <c r="N901" s="49">
        <v>1</v>
      </c>
      <c r="O901" s="54">
        <v>0</v>
      </c>
      <c r="P901" s="54">
        <v>0</v>
      </c>
      <c r="Q901" s="54">
        <v>0</v>
      </c>
      <c r="R901" s="54"/>
      <c r="S901" s="54">
        <v>0</v>
      </c>
      <c r="T901" s="153"/>
    </row>
    <row r="902" spans="1:25" s="105" customFormat="1">
      <c r="A902" s="159" t="s">
        <v>48</v>
      </c>
      <c r="B902" s="103" t="s">
        <v>1565</v>
      </c>
      <c r="C902" s="159"/>
      <c r="D902" s="159"/>
      <c r="E902" s="160"/>
      <c r="F902" s="160"/>
      <c r="G902" s="159"/>
      <c r="H902" s="159"/>
      <c r="I902" s="159"/>
      <c r="J902" s="103"/>
      <c r="K902" s="18"/>
      <c r="L902" s="18"/>
      <c r="M902" s="159"/>
      <c r="N902" s="159"/>
      <c r="O902" s="159"/>
      <c r="P902" s="159"/>
      <c r="Q902" s="159"/>
      <c r="R902" s="159"/>
      <c r="S902" s="159"/>
      <c r="T902" s="161"/>
      <c r="Y902" s="112"/>
    </row>
    <row r="903" spans="1:25" s="105" customFormat="1">
      <c r="A903" s="7"/>
      <c r="B903" s="162">
        <v>9111</v>
      </c>
      <c r="C903" s="158" t="s">
        <v>1566</v>
      </c>
      <c r="D903" s="169" t="s">
        <v>3985</v>
      </c>
      <c r="E903" s="167" t="s">
        <v>3962</v>
      </c>
      <c r="F903" s="168" t="s">
        <v>3962</v>
      </c>
      <c r="G903" s="105">
        <v>10</v>
      </c>
      <c r="H903" s="163">
        <v>1</v>
      </c>
      <c r="I903" s="7"/>
      <c r="J903" s="7"/>
      <c r="K903" s="7"/>
      <c r="L903" s="7"/>
      <c r="M903" s="164">
        <v>1</v>
      </c>
      <c r="N903" s="91">
        <v>9999</v>
      </c>
      <c r="O903" s="54">
        <v>1</v>
      </c>
      <c r="P903" s="165">
        <v>154</v>
      </c>
      <c r="Q903" s="54">
        <v>0</v>
      </c>
      <c r="R903" s="54"/>
      <c r="S903" s="54">
        <v>0</v>
      </c>
      <c r="T903" s="7"/>
      <c r="Y903" s="112"/>
    </row>
    <row r="904" spans="1:25" s="105" customFormat="1">
      <c r="A904" s="7"/>
      <c r="B904" s="162">
        <v>9121</v>
      </c>
      <c r="C904" s="158" t="s">
        <v>1567</v>
      </c>
      <c r="D904" s="169" t="s">
        <v>3986</v>
      </c>
      <c r="E904" s="167" t="s">
        <v>3963</v>
      </c>
      <c r="F904" s="168" t="s">
        <v>3963</v>
      </c>
      <c r="G904" s="105">
        <v>10</v>
      </c>
      <c r="H904" s="163">
        <v>1</v>
      </c>
      <c r="I904" s="7"/>
      <c r="J904" s="7"/>
      <c r="K904" s="7"/>
      <c r="L904" s="7"/>
      <c r="M904" s="164">
        <v>1</v>
      </c>
      <c r="N904" s="91">
        <v>9999</v>
      </c>
      <c r="O904" s="54">
        <v>1</v>
      </c>
      <c r="P904" s="165">
        <v>154</v>
      </c>
      <c r="Q904" s="54">
        <v>0</v>
      </c>
      <c r="R904" s="54"/>
      <c r="S904" s="54">
        <v>0</v>
      </c>
      <c r="T904" s="7"/>
      <c r="Y904" s="112"/>
    </row>
    <row r="905" spans="1:25" s="105" customFormat="1">
      <c r="A905" s="7"/>
      <c r="B905" s="162">
        <v>9131</v>
      </c>
      <c r="C905" s="158" t="s">
        <v>1568</v>
      </c>
      <c r="D905" s="169" t="s">
        <v>3987</v>
      </c>
      <c r="E905" s="167" t="s">
        <v>3964</v>
      </c>
      <c r="F905" s="168" t="s">
        <v>3964</v>
      </c>
      <c r="G905" s="105">
        <v>10</v>
      </c>
      <c r="H905" s="163">
        <v>1</v>
      </c>
      <c r="I905" s="7"/>
      <c r="J905" s="7"/>
      <c r="K905" s="7"/>
      <c r="L905" s="7"/>
      <c r="M905" s="164">
        <v>1</v>
      </c>
      <c r="N905" s="91">
        <v>9999</v>
      </c>
      <c r="O905" s="54">
        <v>1</v>
      </c>
      <c r="P905" s="165">
        <v>154</v>
      </c>
      <c r="Q905" s="54">
        <v>0</v>
      </c>
      <c r="R905" s="54"/>
      <c r="S905" s="54">
        <v>0</v>
      </c>
      <c r="T905" s="7"/>
      <c r="Y905" s="112"/>
    </row>
    <row r="906" spans="1:25" s="105" customFormat="1">
      <c r="A906" s="7"/>
      <c r="B906" s="162">
        <v>9211</v>
      </c>
      <c r="C906" s="158" t="s">
        <v>1569</v>
      </c>
      <c r="D906" s="169" t="s">
        <v>3988</v>
      </c>
      <c r="E906" s="167" t="s">
        <v>3965</v>
      </c>
      <c r="F906" s="168" t="s">
        <v>3965</v>
      </c>
      <c r="G906" s="105">
        <v>10</v>
      </c>
      <c r="H906" s="163">
        <v>2</v>
      </c>
      <c r="I906" s="7"/>
      <c r="J906" s="7"/>
      <c r="K906" s="7"/>
      <c r="L906" s="7"/>
      <c r="M906" s="164">
        <v>1</v>
      </c>
      <c r="N906" s="91">
        <v>9999</v>
      </c>
      <c r="O906" s="54">
        <v>1</v>
      </c>
      <c r="P906" s="165">
        <v>154</v>
      </c>
      <c r="Q906" s="54">
        <v>0</v>
      </c>
      <c r="R906" s="54"/>
      <c r="S906" s="54">
        <v>0</v>
      </c>
      <c r="T906" s="7"/>
      <c r="Y906" s="112"/>
    </row>
    <row r="907" spans="1:25" s="105" customFormat="1">
      <c r="B907" s="162">
        <v>9221</v>
      </c>
      <c r="C907" s="158" t="s">
        <v>3957</v>
      </c>
      <c r="D907" s="169" t="s">
        <v>3989</v>
      </c>
      <c r="E907" s="167" t="s">
        <v>3966</v>
      </c>
      <c r="F907" s="168" t="s">
        <v>3966</v>
      </c>
      <c r="G907" s="105">
        <v>10</v>
      </c>
      <c r="H907" s="163">
        <v>2</v>
      </c>
      <c r="I907" s="7"/>
      <c r="J907" s="7"/>
      <c r="K907" s="7"/>
      <c r="L907" s="7"/>
      <c r="M907" s="164">
        <v>1</v>
      </c>
      <c r="N907" s="91">
        <v>9999</v>
      </c>
      <c r="O907" s="54">
        <v>1</v>
      </c>
      <c r="P907" s="165">
        <v>154</v>
      </c>
      <c r="Q907" s="54">
        <v>0</v>
      </c>
      <c r="R907" s="54"/>
      <c r="S907" s="54">
        <v>0</v>
      </c>
      <c r="Y907" s="112"/>
    </row>
    <row r="908" spans="1:25" s="105" customFormat="1">
      <c r="B908" s="162">
        <v>9231</v>
      </c>
      <c r="C908" s="158" t="s">
        <v>1570</v>
      </c>
      <c r="D908" s="169" t="s">
        <v>3990</v>
      </c>
      <c r="E908" s="167" t="s">
        <v>3967</v>
      </c>
      <c r="F908" s="168" t="s">
        <v>3967</v>
      </c>
      <c r="G908" s="105">
        <v>10</v>
      </c>
      <c r="H908" s="163">
        <v>2</v>
      </c>
      <c r="I908" s="7"/>
      <c r="J908" s="7"/>
      <c r="K908" s="7"/>
      <c r="L908" s="7"/>
      <c r="M908" s="164">
        <v>1</v>
      </c>
      <c r="N908" s="91">
        <v>9999</v>
      </c>
      <c r="O908" s="54">
        <v>1</v>
      </c>
      <c r="P908" s="165">
        <v>154</v>
      </c>
      <c r="Q908" s="54">
        <v>0</v>
      </c>
      <c r="R908" s="54"/>
      <c r="S908" s="54">
        <v>0</v>
      </c>
      <c r="Y908" s="112"/>
    </row>
    <row r="909" spans="1:25" s="105" customFormat="1">
      <c r="B909" s="162">
        <v>9311</v>
      </c>
      <c r="C909" s="158" t="s">
        <v>1571</v>
      </c>
      <c r="D909" s="169" t="s">
        <v>3991</v>
      </c>
      <c r="E909" s="167" t="s">
        <v>3968</v>
      </c>
      <c r="F909" s="168" t="s">
        <v>3968</v>
      </c>
      <c r="G909" s="105">
        <v>10</v>
      </c>
      <c r="H909" s="163">
        <v>3</v>
      </c>
      <c r="I909" s="7"/>
      <c r="J909" s="7"/>
      <c r="K909" s="7"/>
      <c r="L909" s="7"/>
      <c r="M909" s="164">
        <v>1</v>
      </c>
      <c r="N909" s="91">
        <v>9999</v>
      </c>
      <c r="O909" s="54">
        <v>1</v>
      </c>
      <c r="P909" s="165">
        <v>154</v>
      </c>
      <c r="Q909" s="54">
        <v>0</v>
      </c>
      <c r="R909" s="54"/>
      <c r="S909" s="54">
        <v>0</v>
      </c>
      <c r="Y909" s="112"/>
    </row>
    <row r="910" spans="1:25" s="105" customFormat="1">
      <c r="B910" s="162">
        <v>9321</v>
      </c>
      <c r="C910" s="158" t="s">
        <v>1572</v>
      </c>
      <c r="D910" s="169" t="s">
        <v>3992</v>
      </c>
      <c r="E910" s="167" t="s">
        <v>3969</v>
      </c>
      <c r="F910" s="168" t="s">
        <v>3969</v>
      </c>
      <c r="G910" s="105">
        <v>10</v>
      </c>
      <c r="H910" s="163">
        <v>3</v>
      </c>
      <c r="I910" s="7"/>
      <c r="J910" s="7"/>
      <c r="K910" s="7"/>
      <c r="L910" s="7"/>
      <c r="M910" s="164">
        <v>1</v>
      </c>
      <c r="N910" s="91">
        <v>9999</v>
      </c>
      <c r="O910" s="54">
        <v>1</v>
      </c>
      <c r="P910" s="165">
        <v>154</v>
      </c>
      <c r="Q910" s="54">
        <v>0</v>
      </c>
      <c r="R910" s="54"/>
      <c r="S910" s="54">
        <v>0</v>
      </c>
      <c r="Y910" s="112"/>
    </row>
    <row r="911" spans="1:25" s="105" customFormat="1">
      <c r="B911" s="162">
        <v>9331</v>
      </c>
      <c r="C911" s="158" t="s">
        <v>1573</v>
      </c>
      <c r="D911" s="169" t="s">
        <v>3993</v>
      </c>
      <c r="E911" s="167" t="s">
        <v>3970</v>
      </c>
      <c r="F911" s="168" t="s">
        <v>3970</v>
      </c>
      <c r="G911" s="105">
        <v>10</v>
      </c>
      <c r="H911" s="163">
        <v>3</v>
      </c>
      <c r="I911" s="7"/>
      <c r="J911" s="7"/>
      <c r="K911" s="7"/>
      <c r="L911" s="7"/>
      <c r="M911" s="164">
        <v>1</v>
      </c>
      <c r="N911" s="91">
        <v>9999</v>
      </c>
      <c r="O911" s="54">
        <v>1</v>
      </c>
      <c r="P911" s="165">
        <v>154</v>
      </c>
      <c r="Q911" s="54">
        <v>0</v>
      </c>
      <c r="R911" s="54"/>
      <c r="S911" s="54">
        <v>0</v>
      </c>
      <c r="Y911" s="112"/>
    </row>
    <row r="912" spans="1:25" s="105" customFormat="1">
      <c r="B912" s="162">
        <v>9341</v>
      </c>
      <c r="C912" s="158" t="s">
        <v>1574</v>
      </c>
      <c r="D912" s="169" t="s">
        <v>3994</v>
      </c>
      <c r="E912" s="167" t="s">
        <v>3971</v>
      </c>
      <c r="F912" s="168" t="s">
        <v>3971</v>
      </c>
      <c r="G912" s="105">
        <v>10</v>
      </c>
      <c r="H912" s="163">
        <v>3</v>
      </c>
      <c r="I912" s="7"/>
      <c r="J912" s="7"/>
      <c r="K912" s="7"/>
      <c r="L912" s="7"/>
      <c r="M912" s="164">
        <v>1</v>
      </c>
      <c r="N912" s="91">
        <v>9999</v>
      </c>
      <c r="O912" s="54">
        <v>1</v>
      </c>
      <c r="P912" s="165">
        <v>154</v>
      </c>
      <c r="Q912" s="54">
        <v>0</v>
      </c>
      <c r="R912" s="54"/>
      <c r="S912" s="54">
        <v>0</v>
      </c>
      <c r="Y912" s="112"/>
    </row>
    <row r="913" spans="2:25" s="105" customFormat="1">
      <c r="B913" s="162">
        <v>9112</v>
      </c>
      <c r="C913" s="158" t="s">
        <v>1575</v>
      </c>
      <c r="D913" s="170" t="s">
        <v>3985</v>
      </c>
      <c r="E913" s="167" t="s">
        <v>3962</v>
      </c>
      <c r="F913" s="168" t="s">
        <v>3962</v>
      </c>
      <c r="G913" s="105">
        <v>10</v>
      </c>
      <c r="H913" s="163">
        <v>1</v>
      </c>
      <c r="I913" s="7"/>
      <c r="J913" s="7"/>
      <c r="K913" s="7"/>
      <c r="L913" s="7"/>
      <c r="M913" s="164">
        <v>2</v>
      </c>
      <c r="N913" s="91">
        <v>9999</v>
      </c>
      <c r="O913" s="54">
        <v>1</v>
      </c>
      <c r="P913" s="165">
        <v>155</v>
      </c>
      <c r="Q913" s="54">
        <v>0</v>
      </c>
      <c r="R913" s="54"/>
      <c r="S913" s="54">
        <v>0</v>
      </c>
      <c r="Y913" s="112"/>
    </row>
    <row r="914" spans="2:25" s="105" customFormat="1">
      <c r="B914" s="162">
        <v>9122</v>
      </c>
      <c r="C914" s="158" t="s">
        <v>1576</v>
      </c>
      <c r="D914" s="170" t="s">
        <v>3986</v>
      </c>
      <c r="E914" s="167" t="s">
        <v>3963</v>
      </c>
      <c r="F914" s="168" t="s">
        <v>3963</v>
      </c>
      <c r="G914" s="105">
        <v>10</v>
      </c>
      <c r="H914" s="163">
        <v>1</v>
      </c>
      <c r="I914" s="7"/>
      <c r="J914" s="7"/>
      <c r="K914" s="7"/>
      <c r="L914" s="7"/>
      <c r="M914" s="164">
        <v>2</v>
      </c>
      <c r="N914" s="91">
        <v>9999</v>
      </c>
      <c r="O914" s="54">
        <v>1</v>
      </c>
      <c r="P914" s="165">
        <v>155</v>
      </c>
      <c r="Q914" s="54">
        <v>0</v>
      </c>
      <c r="R914" s="54"/>
      <c r="S914" s="54">
        <v>0</v>
      </c>
      <c r="Y914" s="112"/>
    </row>
    <row r="915" spans="2:25" s="105" customFormat="1">
      <c r="B915" s="162">
        <v>9132</v>
      </c>
      <c r="C915" s="158" t="s">
        <v>1577</v>
      </c>
      <c r="D915" s="170" t="s">
        <v>3987</v>
      </c>
      <c r="E915" s="167" t="s">
        <v>3964</v>
      </c>
      <c r="F915" s="168" t="s">
        <v>3964</v>
      </c>
      <c r="G915" s="105">
        <v>10</v>
      </c>
      <c r="H915" s="163">
        <v>1</v>
      </c>
      <c r="I915" s="7"/>
      <c r="J915" s="7"/>
      <c r="K915" s="7"/>
      <c r="L915" s="7"/>
      <c r="M915" s="164">
        <v>2</v>
      </c>
      <c r="N915" s="91">
        <v>9999</v>
      </c>
      <c r="O915" s="54">
        <v>1</v>
      </c>
      <c r="P915" s="165">
        <v>155</v>
      </c>
      <c r="Q915" s="54">
        <v>0</v>
      </c>
      <c r="R915" s="54"/>
      <c r="S915" s="54">
        <v>0</v>
      </c>
      <c r="Y915" s="112"/>
    </row>
    <row r="916" spans="2:25" s="105" customFormat="1">
      <c r="B916" s="162">
        <v>9212</v>
      </c>
      <c r="C916" s="158" t="s">
        <v>1578</v>
      </c>
      <c r="D916" s="170" t="s">
        <v>3988</v>
      </c>
      <c r="E916" s="167" t="s">
        <v>3965</v>
      </c>
      <c r="F916" s="168" t="s">
        <v>3965</v>
      </c>
      <c r="G916" s="105">
        <v>10</v>
      </c>
      <c r="H916" s="163">
        <v>2</v>
      </c>
      <c r="I916" s="7"/>
      <c r="J916" s="7"/>
      <c r="K916" s="7"/>
      <c r="L916" s="7"/>
      <c r="M916" s="164">
        <v>2</v>
      </c>
      <c r="N916" s="91">
        <v>9999</v>
      </c>
      <c r="O916" s="54">
        <v>1</v>
      </c>
      <c r="P916" s="165">
        <v>155</v>
      </c>
      <c r="Q916" s="54">
        <v>0</v>
      </c>
      <c r="R916" s="54"/>
      <c r="S916" s="54">
        <v>0</v>
      </c>
      <c r="Y916" s="112"/>
    </row>
    <row r="917" spans="2:25" s="105" customFormat="1">
      <c r="B917" s="162">
        <v>9222</v>
      </c>
      <c r="C917" s="158" t="s">
        <v>1579</v>
      </c>
      <c r="D917" s="170" t="s">
        <v>3989</v>
      </c>
      <c r="E917" s="167" t="s">
        <v>3966</v>
      </c>
      <c r="F917" s="168" t="s">
        <v>3966</v>
      </c>
      <c r="G917" s="105">
        <v>10</v>
      </c>
      <c r="H917" s="163">
        <v>2</v>
      </c>
      <c r="I917" s="7"/>
      <c r="J917" s="7"/>
      <c r="K917" s="7"/>
      <c r="L917" s="7"/>
      <c r="M917" s="164">
        <v>2</v>
      </c>
      <c r="N917" s="91">
        <v>9999</v>
      </c>
      <c r="O917" s="54">
        <v>1</v>
      </c>
      <c r="P917" s="165">
        <v>155</v>
      </c>
      <c r="Q917" s="54">
        <v>0</v>
      </c>
      <c r="R917" s="54"/>
      <c r="S917" s="54">
        <v>0</v>
      </c>
      <c r="Y917" s="112"/>
    </row>
    <row r="918" spans="2:25" s="105" customFormat="1">
      <c r="B918" s="162">
        <v>9232</v>
      </c>
      <c r="C918" s="158" t="s">
        <v>1580</v>
      </c>
      <c r="D918" s="170" t="s">
        <v>3990</v>
      </c>
      <c r="E918" s="167" t="s">
        <v>3967</v>
      </c>
      <c r="F918" s="168" t="s">
        <v>3967</v>
      </c>
      <c r="G918" s="105">
        <v>10</v>
      </c>
      <c r="H918" s="163">
        <v>2</v>
      </c>
      <c r="I918" s="7"/>
      <c r="J918" s="7"/>
      <c r="K918" s="7"/>
      <c r="L918" s="7"/>
      <c r="M918" s="164">
        <v>2</v>
      </c>
      <c r="N918" s="91">
        <v>9999</v>
      </c>
      <c r="O918" s="54">
        <v>1</v>
      </c>
      <c r="P918" s="165">
        <v>155</v>
      </c>
      <c r="Q918" s="54">
        <v>0</v>
      </c>
      <c r="R918" s="54"/>
      <c r="S918" s="54">
        <v>0</v>
      </c>
      <c r="Y918" s="112"/>
    </row>
    <row r="919" spans="2:25" s="105" customFormat="1">
      <c r="B919" s="162">
        <v>9312</v>
      </c>
      <c r="C919" s="158" t="s">
        <v>1581</v>
      </c>
      <c r="D919" s="170" t="s">
        <v>3991</v>
      </c>
      <c r="E919" s="167" t="s">
        <v>3968</v>
      </c>
      <c r="F919" s="168" t="s">
        <v>3968</v>
      </c>
      <c r="G919" s="105">
        <v>10</v>
      </c>
      <c r="H919" s="163">
        <v>3</v>
      </c>
      <c r="I919" s="7"/>
      <c r="J919" s="7"/>
      <c r="K919" s="7"/>
      <c r="L919" s="7"/>
      <c r="M919" s="164">
        <v>2</v>
      </c>
      <c r="N919" s="91">
        <v>9999</v>
      </c>
      <c r="O919" s="54">
        <v>1</v>
      </c>
      <c r="P919" s="165">
        <v>155</v>
      </c>
      <c r="Q919" s="54">
        <v>0</v>
      </c>
      <c r="R919" s="54"/>
      <c r="S919" s="54">
        <v>0</v>
      </c>
      <c r="Y919" s="112"/>
    </row>
    <row r="920" spans="2:25" s="105" customFormat="1">
      <c r="B920" s="162">
        <v>9322</v>
      </c>
      <c r="C920" s="158" t="s">
        <v>1582</v>
      </c>
      <c r="D920" s="170" t="s">
        <v>3992</v>
      </c>
      <c r="E920" s="167" t="s">
        <v>3969</v>
      </c>
      <c r="F920" s="168" t="s">
        <v>3969</v>
      </c>
      <c r="G920" s="105">
        <v>10</v>
      </c>
      <c r="H920" s="163">
        <v>3</v>
      </c>
      <c r="I920" s="7"/>
      <c r="J920" s="7"/>
      <c r="K920" s="7"/>
      <c r="L920" s="7"/>
      <c r="M920" s="164">
        <v>2</v>
      </c>
      <c r="N920" s="91">
        <v>9999</v>
      </c>
      <c r="O920" s="54">
        <v>1</v>
      </c>
      <c r="P920" s="165">
        <v>155</v>
      </c>
      <c r="Q920" s="54">
        <v>0</v>
      </c>
      <c r="R920" s="54"/>
      <c r="S920" s="54">
        <v>0</v>
      </c>
      <c r="Y920" s="112"/>
    </row>
    <row r="921" spans="2:25" s="105" customFormat="1">
      <c r="B921" s="162">
        <v>9332</v>
      </c>
      <c r="C921" s="158" t="s">
        <v>1583</v>
      </c>
      <c r="D921" s="170" t="s">
        <v>3993</v>
      </c>
      <c r="E921" s="167" t="s">
        <v>3970</v>
      </c>
      <c r="F921" s="168" t="s">
        <v>3970</v>
      </c>
      <c r="G921" s="105">
        <v>10</v>
      </c>
      <c r="H921" s="163">
        <v>3</v>
      </c>
      <c r="I921" s="7"/>
      <c r="J921" s="7"/>
      <c r="K921" s="7"/>
      <c r="L921" s="7"/>
      <c r="M921" s="164">
        <v>2</v>
      </c>
      <c r="N921" s="91">
        <v>9999</v>
      </c>
      <c r="O921" s="54">
        <v>1</v>
      </c>
      <c r="P921" s="165">
        <v>155</v>
      </c>
      <c r="Q921" s="54">
        <v>0</v>
      </c>
      <c r="R921" s="54"/>
      <c r="S921" s="54">
        <v>0</v>
      </c>
      <c r="Y921" s="112"/>
    </row>
    <row r="922" spans="2:25" s="105" customFormat="1">
      <c r="B922" s="162">
        <v>9342</v>
      </c>
      <c r="C922" s="158" t="s">
        <v>1584</v>
      </c>
      <c r="D922" s="170" t="s">
        <v>3994</v>
      </c>
      <c r="E922" s="167" t="s">
        <v>3971</v>
      </c>
      <c r="F922" s="168" t="s">
        <v>3971</v>
      </c>
      <c r="G922" s="105">
        <v>10</v>
      </c>
      <c r="H922" s="163">
        <v>3</v>
      </c>
      <c r="I922" s="7"/>
      <c r="J922" s="7"/>
      <c r="K922" s="7"/>
      <c r="L922" s="7"/>
      <c r="M922" s="164">
        <v>2</v>
      </c>
      <c r="N922" s="91">
        <v>9999</v>
      </c>
      <c r="O922" s="54">
        <v>1</v>
      </c>
      <c r="P922" s="165">
        <v>155</v>
      </c>
      <c r="Q922" s="54">
        <v>0</v>
      </c>
      <c r="R922" s="54"/>
      <c r="S922" s="54">
        <v>0</v>
      </c>
      <c r="Y922" s="112"/>
    </row>
    <row r="923" spans="2:25" s="105" customFormat="1">
      <c r="B923" s="162">
        <v>9412</v>
      </c>
      <c r="C923" s="158" t="s">
        <v>1585</v>
      </c>
      <c r="D923" s="170" t="s">
        <v>3995</v>
      </c>
      <c r="E923" s="167" t="s">
        <v>3972</v>
      </c>
      <c r="F923" s="168" t="s">
        <v>3972</v>
      </c>
      <c r="G923" s="105">
        <v>10</v>
      </c>
      <c r="H923" s="163">
        <v>4</v>
      </c>
      <c r="I923" s="7"/>
      <c r="J923" s="7"/>
      <c r="K923" s="7"/>
      <c r="L923" s="7"/>
      <c r="M923" s="166">
        <v>2</v>
      </c>
      <c r="N923" s="91">
        <v>9999</v>
      </c>
      <c r="O923" s="54">
        <v>1</v>
      </c>
      <c r="P923" s="165">
        <v>155</v>
      </c>
      <c r="Q923" s="54">
        <v>0</v>
      </c>
      <c r="R923" s="54"/>
      <c r="S923" s="54">
        <v>0</v>
      </c>
      <c r="Y923" s="112"/>
    </row>
    <row r="924" spans="2:25" s="105" customFormat="1">
      <c r="B924" s="162">
        <v>9422</v>
      </c>
      <c r="C924" s="158" t="s">
        <v>1586</v>
      </c>
      <c r="D924" s="170" t="s">
        <v>3996</v>
      </c>
      <c r="E924" s="167" t="s">
        <v>3973</v>
      </c>
      <c r="F924" s="168" t="s">
        <v>3973</v>
      </c>
      <c r="G924" s="105">
        <v>10</v>
      </c>
      <c r="H924" s="163">
        <v>4</v>
      </c>
      <c r="I924" s="7"/>
      <c r="J924" s="7"/>
      <c r="K924" s="7"/>
      <c r="L924" s="7"/>
      <c r="M924" s="166">
        <v>2</v>
      </c>
      <c r="N924" s="91">
        <v>9999</v>
      </c>
      <c r="O924" s="54">
        <v>1</v>
      </c>
      <c r="P924" s="165">
        <v>155</v>
      </c>
      <c r="Q924" s="54">
        <v>0</v>
      </c>
      <c r="R924" s="54"/>
      <c r="S924" s="54">
        <v>0</v>
      </c>
      <c r="Y924" s="112"/>
    </row>
    <row r="925" spans="2:25" s="105" customFormat="1">
      <c r="B925" s="162">
        <v>9432</v>
      </c>
      <c r="C925" s="158" t="s">
        <v>1587</v>
      </c>
      <c r="D925" s="170" t="s">
        <v>3997</v>
      </c>
      <c r="E925" s="167" t="s">
        <v>3974</v>
      </c>
      <c r="F925" s="168" t="s">
        <v>3974</v>
      </c>
      <c r="G925" s="105">
        <v>10</v>
      </c>
      <c r="H925" s="163">
        <v>4</v>
      </c>
      <c r="I925" s="7"/>
      <c r="J925" s="7"/>
      <c r="K925" s="7"/>
      <c r="L925" s="7"/>
      <c r="M925" s="166">
        <v>2</v>
      </c>
      <c r="N925" s="91">
        <v>9999</v>
      </c>
      <c r="O925" s="54">
        <v>1</v>
      </c>
      <c r="P925" s="165">
        <v>155</v>
      </c>
      <c r="Q925" s="54">
        <v>0</v>
      </c>
      <c r="R925" s="54"/>
      <c r="S925" s="54">
        <v>0</v>
      </c>
      <c r="Y925" s="112"/>
    </row>
    <row r="926" spans="2:25" s="105" customFormat="1">
      <c r="B926" s="162">
        <v>9442</v>
      </c>
      <c r="C926" s="158" t="s">
        <v>3958</v>
      </c>
      <c r="D926" s="170" t="s">
        <v>3998</v>
      </c>
      <c r="E926" s="167" t="s">
        <v>3975</v>
      </c>
      <c r="F926" s="168" t="s">
        <v>3975</v>
      </c>
      <c r="G926" s="105">
        <v>10</v>
      </c>
      <c r="H926" s="163">
        <v>4</v>
      </c>
      <c r="I926" s="7"/>
      <c r="J926" s="7"/>
      <c r="K926" s="7"/>
      <c r="L926" s="7"/>
      <c r="M926" s="166">
        <v>2</v>
      </c>
      <c r="N926" s="91">
        <v>9999</v>
      </c>
      <c r="O926" s="54">
        <v>1</v>
      </c>
      <c r="P926" s="165">
        <v>155</v>
      </c>
      <c r="Q926" s="54">
        <v>0</v>
      </c>
      <c r="R926" s="54"/>
      <c r="S926" s="54">
        <v>0</v>
      </c>
      <c r="Y926" s="112"/>
    </row>
    <row r="927" spans="2:25" s="105" customFormat="1">
      <c r="B927" s="162">
        <v>9452</v>
      </c>
      <c r="C927" s="158" t="s">
        <v>1588</v>
      </c>
      <c r="D927" s="170" t="s">
        <v>3999</v>
      </c>
      <c r="E927" s="167" t="s">
        <v>3976</v>
      </c>
      <c r="F927" s="168" t="s">
        <v>3976</v>
      </c>
      <c r="G927" s="105">
        <v>10</v>
      </c>
      <c r="H927" s="163">
        <v>4</v>
      </c>
      <c r="I927" s="7"/>
      <c r="J927" s="7"/>
      <c r="K927" s="7"/>
      <c r="L927" s="7"/>
      <c r="M927" s="166">
        <v>2</v>
      </c>
      <c r="N927" s="91">
        <v>9999</v>
      </c>
      <c r="O927" s="54">
        <v>1</v>
      </c>
      <c r="P927" s="165">
        <v>155</v>
      </c>
      <c r="Q927" s="54">
        <v>0</v>
      </c>
      <c r="R927" s="54"/>
      <c r="S927" s="54">
        <v>0</v>
      </c>
      <c r="Y927" s="112"/>
    </row>
    <row r="928" spans="2:25" s="105" customFormat="1">
      <c r="B928" s="162">
        <v>9113</v>
      </c>
      <c r="C928" s="158" t="s">
        <v>1589</v>
      </c>
      <c r="D928" s="171" t="s">
        <v>3985</v>
      </c>
      <c r="E928" s="167" t="s">
        <v>3962</v>
      </c>
      <c r="F928" s="168" t="s">
        <v>3962</v>
      </c>
      <c r="G928" s="105">
        <v>10</v>
      </c>
      <c r="H928" s="163">
        <v>1</v>
      </c>
      <c r="I928" s="7"/>
      <c r="J928" s="7"/>
      <c r="K928" s="7"/>
      <c r="L928" s="7"/>
      <c r="M928" s="164">
        <v>3</v>
      </c>
      <c r="N928" s="91">
        <v>9999</v>
      </c>
      <c r="O928" s="54">
        <v>1</v>
      </c>
      <c r="P928" s="165">
        <v>156</v>
      </c>
      <c r="Q928" s="54">
        <v>0</v>
      </c>
      <c r="R928" s="54"/>
      <c r="S928" s="54">
        <v>0</v>
      </c>
      <c r="Y928" s="112"/>
    </row>
    <row r="929" spans="2:25" s="105" customFormat="1">
      <c r="B929" s="162">
        <v>9123</v>
      </c>
      <c r="C929" s="158" t="s">
        <v>1590</v>
      </c>
      <c r="D929" s="171" t="s">
        <v>3986</v>
      </c>
      <c r="E929" s="167" t="s">
        <v>3963</v>
      </c>
      <c r="F929" s="168" t="s">
        <v>3963</v>
      </c>
      <c r="G929" s="105">
        <v>10</v>
      </c>
      <c r="H929" s="163">
        <v>1</v>
      </c>
      <c r="I929" s="7"/>
      <c r="J929" s="7"/>
      <c r="K929" s="7"/>
      <c r="L929" s="7"/>
      <c r="M929" s="164">
        <v>3</v>
      </c>
      <c r="N929" s="91">
        <v>9999</v>
      </c>
      <c r="O929" s="54">
        <v>1</v>
      </c>
      <c r="P929" s="165">
        <v>156</v>
      </c>
      <c r="Q929" s="54">
        <v>0</v>
      </c>
      <c r="R929" s="54"/>
      <c r="S929" s="54">
        <v>0</v>
      </c>
      <c r="Y929" s="112"/>
    </row>
    <row r="930" spans="2:25" s="105" customFormat="1">
      <c r="B930" s="162">
        <v>9133</v>
      </c>
      <c r="C930" s="158" t="s">
        <v>1591</v>
      </c>
      <c r="D930" s="171" t="s">
        <v>3987</v>
      </c>
      <c r="E930" s="167" t="s">
        <v>3964</v>
      </c>
      <c r="F930" s="168" t="s">
        <v>3964</v>
      </c>
      <c r="G930" s="105">
        <v>10</v>
      </c>
      <c r="H930" s="163">
        <v>1</v>
      </c>
      <c r="I930" s="7"/>
      <c r="J930" s="7"/>
      <c r="K930" s="7"/>
      <c r="L930" s="7"/>
      <c r="M930" s="164">
        <v>3</v>
      </c>
      <c r="N930" s="91">
        <v>9999</v>
      </c>
      <c r="O930" s="54">
        <v>1</v>
      </c>
      <c r="P930" s="165">
        <v>156</v>
      </c>
      <c r="Q930" s="54">
        <v>0</v>
      </c>
      <c r="R930" s="54"/>
      <c r="S930" s="54">
        <v>0</v>
      </c>
      <c r="Y930" s="112"/>
    </row>
    <row r="931" spans="2:25" s="105" customFormat="1">
      <c r="B931" s="162">
        <v>9213</v>
      </c>
      <c r="C931" s="158" t="s">
        <v>1592</v>
      </c>
      <c r="D931" s="171" t="s">
        <v>3988</v>
      </c>
      <c r="E931" s="167" t="s">
        <v>3965</v>
      </c>
      <c r="F931" s="168" t="s">
        <v>3965</v>
      </c>
      <c r="G931" s="105">
        <v>10</v>
      </c>
      <c r="H931" s="163">
        <v>2</v>
      </c>
      <c r="I931" s="7"/>
      <c r="J931" s="7"/>
      <c r="K931" s="7"/>
      <c r="L931" s="7"/>
      <c r="M931" s="164">
        <v>3</v>
      </c>
      <c r="N931" s="91">
        <v>9999</v>
      </c>
      <c r="O931" s="54">
        <v>1</v>
      </c>
      <c r="P931" s="165">
        <v>156</v>
      </c>
      <c r="Q931" s="54">
        <v>0</v>
      </c>
      <c r="R931" s="54"/>
      <c r="S931" s="54">
        <v>0</v>
      </c>
      <c r="Y931" s="112"/>
    </row>
    <row r="932" spans="2:25" s="105" customFormat="1">
      <c r="B932" s="162">
        <v>9223</v>
      </c>
      <c r="C932" s="158" t="s">
        <v>1593</v>
      </c>
      <c r="D932" s="171" t="s">
        <v>3989</v>
      </c>
      <c r="E932" s="167" t="s">
        <v>3966</v>
      </c>
      <c r="F932" s="168" t="s">
        <v>3966</v>
      </c>
      <c r="G932" s="105">
        <v>10</v>
      </c>
      <c r="H932" s="163">
        <v>2</v>
      </c>
      <c r="I932" s="7"/>
      <c r="J932" s="7"/>
      <c r="K932" s="7"/>
      <c r="L932" s="7"/>
      <c r="M932" s="164">
        <v>3</v>
      </c>
      <c r="N932" s="91">
        <v>9999</v>
      </c>
      <c r="O932" s="54">
        <v>1</v>
      </c>
      <c r="P932" s="165">
        <v>156</v>
      </c>
      <c r="Q932" s="54">
        <v>0</v>
      </c>
      <c r="R932" s="54"/>
      <c r="S932" s="54">
        <v>0</v>
      </c>
      <c r="Y932" s="112"/>
    </row>
    <row r="933" spans="2:25" s="105" customFormat="1">
      <c r="B933" s="162">
        <v>9233</v>
      </c>
      <c r="C933" s="158" t="s">
        <v>1594</v>
      </c>
      <c r="D933" s="171" t="s">
        <v>3990</v>
      </c>
      <c r="E933" s="167" t="s">
        <v>3967</v>
      </c>
      <c r="F933" s="168" t="s">
        <v>3967</v>
      </c>
      <c r="G933" s="105">
        <v>10</v>
      </c>
      <c r="H933" s="163">
        <v>2</v>
      </c>
      <c r="I933" s="7"/>
      <c r="J933" s="7"/>
      <c r="K933" s="7"/>
      <c r="L933" s="7"/>
      <c r="M933" s="164">
        <v>3</v>
      </c>
      <c r="N933" s="91">
        <v>9999</v>
      </c>
      <c r="O933" s="54">
        <v>1</v>
      </c>
      <c r="P933" s="165">
        <v>156</v>
      </c>
      <c r="Q933" s="54">
        <v>0</v>
      </c>
      <c r="R933" s="54"/>
      <c r="S933" s="54">
        <v>0</v>
      </c>
      <c r="Y933" s="112"/>
    </row>
    <row r="934" spans="2:25" s="105" customFormat="1">
      <c r="B934" s="162">
        <v>9313</v>
      </c>
      <c r="C934" s="158" t="s">
        <v>1595</v>
      </c>
      <c r="D934" s="171" t="s">
        <v>3991</v>
      </c>
      <c r="E934" s="167" t="s">
        <v>3968</v>
      </c>
      <c r="F934" s="168" t="s">
        <v>3968</v>
      </c>
      <c r="G934" s="105">
        <v>10</v>
      </c>
      <c r="H934" s="163">
        <v>3</v>
      </c>
      <c r="I934" s="7"/>
      <c r="J934" s="7"/>
      <c r="K934" s="7"/>
      <c r="L934" s="7"/>
      <c r="M934" s="164">
        <v>3</v>
      </c>
      <c r="N934" s="91">
        <v>9999</v>
      </c>
      <c r="O934" s="54">
        <v>1</v>
      </c>
      <c r="P934" s="165">
        <v>156</v>
      </c>
      <c r="Q934" s="54">
        <v>0</v>
      </c>
      <c r="R934" s="54"/>
      <c r="S934" s="54">
        <v>0</v>
      </c>
      <c r="Y934" s="112"/>
    </row>
    <row r="935" spans="2:25" s="105" customFormat="1">
      <c r="B935" s="162">
        <v>9323</v>
      </c>
      <c r="C935" s="158" t="s">
        <v>1596</v>
      </c>
      <c r="D935" s="171" t="s">
        <v>3992</v>
      </c>
      <c r="E935" s="167" t="s">
        <v>3969</v>
      </c>
      <c r="F935" s="168" t="s">
        <v>3969</v>
      </c>
      <c r="G935" s="105">
        <v>10</v>
      </c>
      <c r="H935" s="163">
        <v>3</v>
      </c>
      <c r="I935" s="7"/>
      <c r="J935" s="7"/>
      <c r="K935" s="7"/>
      <c r="L935" s="7"/>
      <c r="M935" s="164">
        <v>3</v>
      </c>
      <c r="N935" s="91">
        <v>9999</v>
      </c>
      <c r="O935" s="54">
        <v>1</v>
      </c>
      <c r="P935" s="165">
        <v>156</v>
      </c>
      <c r="Q935" s="54">
        <v>0</v>
      </c>
      <c r="R935" s="54"/>
      <c r="S935" s="54">
        <v>0</v>
      </c>
      <c r="Y935" s="112"/>
    </row>
    <row r="936" spans="2:25" s="105" customFormat="1">
      <c r="B936" s="162">
        <v>9333</v>
      </c>
      <c r="C936" s="158" t="s">
        <v>1597</v>
      </c>
      <c r="D936" s="171" t="s">
        <v>3993</v>
      </c>
      <c r="E936" s="167" t="s">
        <v>3970</v>
      </c>
      <c r="F936" s="168" t="s">
        <v>3970</v>
      </c>
      <c r="G936" s="105">
        <v>10</v>
      </c>
      <c r="H936" s="163">
        <v>3</v>
      </c>
      <c r="I936" s="7"/>
      <c r="J936" s="7"/>
      <c r="K936" s="7"/>
      <c r="L936" s="7"/>
      <c r="M936" s="164">
        <v>3</v>
      </c>
      <c r="N936" s="91">
        <v>9999</v>
      </c>
      <c r="O936" s="54">
        <v>1</v>
      </c>
      <c r="P936" s="165">
        <v>156</v>
      </c>
      <c r="Q936" s="54">
        <v>0</v>
      </c>
      <c r="R936" s="54"/>
      <c r="S936" s="54">
        <v>0</v>
      </c>
      <c r="Y936" s="112"/>
    </row>
    <row r="937" spans="2:25" s="105" customFormat="1">
      <c r="B937" s="162">
        <v>9343</v>
      </c>
      <c r="C937" s="158" t="s">
        <v>1598</v>
      </c>
      <c r="D937" s="171" t="s">
        <v>3994</v>
      </c>
      <c r="E937" s="167" t="s">
        <v>3971</v>
      </c>
      <c r="F937" s="168" t="s">
        <v>3971</v>
      </c>
      <c r="G937" s="105">
        <v>10</v>
      </c>
      <c r="H937" s="163">
        <v>3</v>
      </c>
      <c r="I937" s="7"/>
      <c r="J937" s="7"/>
      <c r="K937" s="7"/>
      <c r="L937" s="7"/>
      <c r="M937" s="164">
        <v>3</v>
      </c>
      <c r="N937" s="91">
        <v>9999</v>
      </c>
      <c r="O937" s="54">
        <v>1</v>
      </c>
      <c r="P937" s="165">
        <v>156</v>
      </c>
      <c r="Q937" s="54">
        <v>0</v>
      </c>
      <c r="R937" s="54"/>
      <c r="S937" s="54">
        <v>0</v>
      </c>
      <c r="Y937" s="112"/>
    </row>
    <row r="938" spans="2:25" s="105" customFormat="1">
      <c r="B938" s="162">
        <v>9413</v>
      </c>
      <c r="C938" s="158" t="s">
        <v>1599</v>
      </c>
      <c r="D938" s="171" t="s">
        <v>3995</v>
      </c>
      <c r="E938" s="167" t="s">
        <v>3972</v>
      </c>
      <c r="F938" s="168" t="s">
        <v>3972</v>
      </c>
      <c r="G938" s="105">
        <v>10</v>
      </c>
      <c r="H938" s="163">
        <v>4</v>
      </c>
      <c r="I938" s="7"/>
      <c r="J938" s="7"/>
      <c r="K938" s="7"/>
      <c r="L938" s="7"/>
      <c r="M938" s="164">
        <v>3</v>
      </c>
      <c r="N938" s="91">
        <v>9999</v>
      </c>
      <c r="O938" s="54">
        <v>1</v>
      </c>
      <c r="P938" s="165">
        <v>156</v>
      </c>
      <c r="Q938" s="54">
        <v>0</v>
      </c>
      <c r="R938" s="54"/>
      <c r="S938" s="54">
        <v>0</v>
      </c>
      <c r="Y938" s="112"/>
    </row>
    <row r="939" spans="2:25" s="105" customFormat="1">
      <c r="B939" s="162">
        <v>9423</v>
      </c>
      <c r="C939" s="158" t="s">
        <v>1600</v>
      </c>
      <c r="D939" s="171" t="s">
        <v>3996</v>
      </c>
      <c r="E939" s="167" t="s">
        <v>3973</v>
      </c>
      <c r="F939" s="168" t="s">
        <v>3973</v>
      </c>
      <c r="G939" s="105">
        <v>10</v>
      </c>
      <c r="H939" s="163">
        <v>4</v>
      </c>
      <c r="I939" s="7"/>
      <c r="J939" s="7"/>
      <c r="K939" s="7"/>
      <c r="L939" s="7"/>
      <c r="M939" s="164">
        <v>3</v>
      </c>
      <c r="N939" s="91">
        <v>9999</v>
      </c>
      <c r="O939" s="54">
        <v>1</v>
      </c>
      <c r="P939" s="165">
        <v>156</v>
      </c>
      <c r="Q939" s="54">
        <v>0</v>
      </c>
      <c r="R939" s="54"/>
      <c r="S939" s="54">
        <v>0</v>
      </c>
      <c r="Y939" s="112"/>
    </row>
    <row r="940" spans="2:25" s="105" customFormat="1">
      <c r="B940" s="162">
        <v>9433</v>
      </c>
      <c r="C940" s="158" t="s">
        <v>1601</v>
      </c>
      <c r="D940" s="171" t="s">
        <v>3997</v>
      </c>
      <c r="E940" s="167" t="s">
        <v>3974</v>
      </c>
      <c r="F940" s="168" t="s">
        <v>3974</v>
      </c>
      <c r="G940" s="105">
        <v>10</v>
      </c>
      <c r="H940" s="163">
        <v>4</v>
      </c>
      <c r="I940" s="7"/>
      <c r="J940" s="7"/>
      <c r="K940" s="7"/>
      <c r="L940" s="7"/>
      <c r="M940" s="164">
        <v>3</v>
      </c>
      <c r="N940" s="91">
        <v>9999</v>
      </c>
      <c r="O940" s="54">
        <v>1</v>
      </c>
      <c r="P940" s="165">
        <v>156</v>
      </c>
      <c r="Q940" s="54">
        <v>0</v>
      </c>
      <c r="R940" s="54"/>
      <c r="S940" s="54">
        <v>0</v>
      </c>
      <c r="Y940" s="112"/>
    </row>
    <row r="941" spans="2:25" s="105" customFormat="1">
      <c r="B941" s="162">
        <v>9443</v>
      </c>
      <c r="C941" s="158" t="s">
        <v>3959</v>
      </c>
      <c r="D941" s="171" t="s">
        <v>3998</v>
      </c>
      <c r="E941" s="167" t="s">
        <v>3975</v>
      </c>
      <c r="F941" s="168" t="s">
        <v>3975</v>
      </c>
      <c r="G941" s="105">
        <v>10</v>
      </c>
      <c r="H941" s="163">
        <v>4</v>
      </c>
      <c r="I941" s="7"/>
      <c r="J941" s="7"/>
      <c r="K941" s="7"/>
      <c r="L941" s="7"/>
      <c r="M941" s="164">
        <v>3</v>
      </c>
      <c r="N941" s="91">
        <v>9999</v>
      </c>
      <c r="O941" s="54">
        <v>1</v>
      </c>
      <c r="P941" s="165">
        <v>156</v>
      </c>
      <c r="Q941" s="54">
        <v>0</v>
      </c>
      <c r="R941" s="54"/>
      <c r="S941" s="54">
        <v>0</v>
      </c>
      <c r="Y941" s="112"/>
    </row>
    <row r="942" spans="2:25" s="105" customFormat="1">
      <c r="B942" s="162">
        <v>9453</v>
      </c>
      <c r="C942" s="158" t="s">
        <v>1602</v>
      </c>
      <c r="D942" s="171" t="s">
        <v>3999</v>
      </c>
      <c r="E942" s="167" t="s">
        <v>3976</v>
      </c>
      <c r="F942" s="168" t="s">
        <v>3976</v>
      </c>
      <c r="G942" s="105">
        <v>10</v>
      </c>
      <c r="H942" s="163">
        <v>4</v>
      </c>
      <c r="I942" s="7"/>
      <c r="J942" s="7"/>
      <c r="K942" s="7"/>
      <c r="L942" s="7"/>
      <c r="M942" s="164">
        <v>3</v>
      </c>
      <c r="N942" s="91">
        <v>9999</v>
      </c>
      <c r="O942" s="54">
        <v>1</v>
      </c>
      <c r="P942" s="165">
        <v>156</v>
      </c>
      <c r="Q942" s="54">
        <v>0</v>
      </c>
      <c r="R942" s="54"/>
      <c r="S942" s="54">
        <v>0</v>
      </c>
      <c r="Y942" s="112"/>
    </row>
    <row r="943" spans="2:25" s="105" customFormat="1">
      <c r="B943" s="162">
        <v>9114</v>
      </c>
      <c r="C943" s="158" t="s">
        <v>1603</v>
      </c>
      <c r="D943" s="172" t="s">
        <v>3985</v>
      </c>
      <c r="E943" s="167" t="s">
        <v>3962</v>
      </c>
      <c r="F943" s="168" t="s">
        <v>3962</v>
      </c>
      <c r="G943" s="105">
        <v>10</v>
      </c>
      <c r="H943" s="163">
        <v>1</v>
      </c>
      <c r="I943" s="7"/>
      <c r="J943" s="7"/>
      <c r="K943" s="7"/>
      <c r="L943" s="7"/>
      <c r="M943" s="164">
        <v>4</v>
      </c>
      <c r="N943" s="91">
        <v>9999</v>
      </c>
      <c r="O943" s="54">
        <v>1</v>
      </c>
      <c r="P943" s="165">
        <v>157</v>
      </c>
      <c r="Q943" s="54">
        <v>0</v>
      </c>
      <c r="R943" s="54"/>
      <c r="S943" s="54">
        <v>0</v>
      </c>
      <c r="Y943" s="112"/>
    </row>
    <row r="944" spans="2:25" s="105" customFormat="1">
      <c r="B944" s="162">
        <v>9124</v>
      </c>
      <c r="C944" s="158" t="s">
        <v>1604</v>
      </c>
      <c r="D944" s="172" t="s">
        <v>3986</v>
      </c>
      <c r="E944" s="167" t="s">
        <v>3963</v>
      </c>
      <c r="F944" s="168" t="s">
        <v>3963</v>
      </c>
      <c r="G944" s="105">
        <v>10</v>
      </c>
      <c r="H944" s="163">
        <v>1</v>
      </c>
      <c r="I944" s="7"/>
      <c r="J944" s="7"/>
      <c r="K944" s="7"/>
      <c r="L944" s="7"/>
      <c r="M944" s="164">
        <v>4</v>
      </c>
      <c r="N944" s="91">
        <v>9999</v>
      </c>
      <c r="O944" s="54">
        <v>1</v>
      </c>
      <c r="P944" s="165">
        <v>157</v>
      </c>
      <c r="Q944" s="54">
        <v>0</v>
      </c>
      <c r="R944" s="54"/>
      <c r="S944" s="54">
        <v>0</v>
      </c>
      <c r="Y944" s="112"/>
    </row>
    <row r="945" spans="2:25" s="105" customFormat="1">
      <c r="B945" s="162">
        <v>9134</v>
      </c>
      <c r="C945" s="158" t="s">
        <v>1605</v>
      </c>
      <c r="D945" s="172" t="s">
        <v>3987</v>
      </c>
      <c r="E945" s="167" t="s">
        <v>3964</v>
      </c>
      <c r="F945" s="168" t="s">
        <v>3964</v>
      </c>
      <c r="G945" s="105">
        <v>10</v>
      </c>
      <c r="H945" s="163">
        <v>1</v>
      </c>
      <c r="I945" s="7"/>
      <c r="J945" s="7"/>
      <c r="K945" s="7"/>
      <c r="L945" s="7"/>
      <c r="M945" s="164">
        <v>4</v>
      </c>
      <c r="N945" s="91">
        <v>9999</v>
      </c>
      <c r="O945" s="54">
        <v>1</v>
      </c>
      <c r="P945" s="165">
        <v>157</v>
      </c>
      <c r="Q945" s="54">
        <v>0</v>
      </c>
      <c r="R945" s="54"/>
      <c r="S945" s="54">
        <v>0</v>
      </c>
      <c r="Y945" s="112"/>
    </row>
    <row r="946" spans="2:25" s="105" customFormat="1">
      <c r="B946" s="162">
        <v>9214</v>
      </c>
      <c r="C946" s="158" t="s">
        <v>1606</v>
      </c>
      <c r="D946" s="172" t="s">
        <v>3988</v>
      </c>
      <c r="E946" s="167" t="s">
        <v>3965</v>
      </c>
      <c r="F946" s="168" t="s">
        <v>3965</v>
      </c>
      <c r="G946" s="105">
        <v>10</v>
      </c>
      <c r="H946" s="163">
        <v>2</v>
      </c>
      <c r="I946" s="7"/>
      <c r="J946" s="7"/>
      <c r="K946" s="7"/>
      <c r="L946" s="7"/>
      <c r="M946" s="164">
        <v>4</v>
      </c>
      <c r="N946" s="91">
        <v>9999</v>
      </c>
      <c r="O946" s="54">
        <v>1</v>
      </c>
      <c r="P946" s="165">
        <v>157</v>
      </c>
      <c r="Q946" s="54">
        <v>0</v>
      </c>
      <c r="R946" s="54"/>
      <c r="S946" s="54">
        <v>0</v>
      </c>
      <c r="Y946" s="112"/>
    </row>
    <row r="947" spans="2:25" s="105" customFormat="1">
      <c r="B947" s="162">
        <v>9224</v>
      </c>
      <c r="C947" s="158" t="s">
        <v>1607</v>
      </c>
      <c r="D947" s="172" t="s">
        <v>3989</v>
      </c>
      <c r="E947" s="167" t="s">
        <v>3966</v>
      </c>
      <c r="F947" s="168" t="s">
        <v>3966</v>
      </c>
      <c r="G947" s="105">
        <v>10</v>
      </c>
      <c r="H947" s="163">
        <v>2</v>
      </c>
      <c r="I947" s="7"/>
      <c r="J947" s="7"/>
      <c r="K947" s="7"/>
      <c r="L947" s="7"/>
      <c r="M947" s="164">
        <v>4</v>
      </c>
      <c r="N947" s="91">
        <v>9999</v>
      </c>
      <c r="O947" s="54">
        <v>1</v>
      </c>
      <c r="P947" s="165">
        <v>157</v>
      </c>
      <c r="Q947" s="54">
        <v>0</v>
      </c>
      <c r="R947" s="54"/>
      <c r="S947" s="54">
        <v>0</v>
      </c>
      <c r="Y947" s="112"/>
    </row>
    <row r="948" spans="2:25" s="105" customFormat="1">
      <c r="B948" s="162">
        <v>9234</v>
      </c>
      <c r="C948" s="158" t="s">
        <v>1608</v>
      </c>
      <c r="D948" s="172" t="s">
        <v>3990</v>
      </c>
      <c r="E948" s="167" t="s">
        <v>3967</v>
      </c>
      <c r="F948" s="168" t="s">
        <v>3967</v>
      </c>
      <c r="G948" s="105">
        <v>10</v>
      </c>
      <c r="H948" s="163">
        <v>2</v>
      </c>
      <c r="I948" s="7"/>
      <c r="J948" s="7"/>
      <c r="K948" s="7"/>
      <c r="L948" s="7"/>
      <c r="M948" s="164">
        <v>4</v>
      </c>
      <c r="N948" s="91">
        <v>9999</v>
      </c>
      <c r="O948" s="54">
        <v>1</v>
      </c>
      <c r="P948" s="165">
        <v>157</v>
      </c>
      <c r="Q948" s="54">
        <v>0</v>
      </c>
      <c r="R948" s="54"/>
      <c r="S948" s="54">
        <v>0</v>
      </c>
      <c r="Y948" s="112"/>
    </row>
    <row r="949" spans="2:25" s="105" customFormat="1">
      <c r="B949" s="162">
        <v>9314</v>
      </c>
      <c r="C949" s="158" t="s">
        <v>1609</v>
      </c>
      <c r="D949" s="172" t="s">
        <v>3991</v>
      </c>
      <c r="E949" s="167" t="s">
        <v>3968</v>
      </c>
      <c r="F949" s="168" t="s">
        <v>3968</v>
      </c>
      <c r="G949" s="105">
        <v>10</v>
      </c>
      <c r="H949" s="163">
        <v>3</v>
      </c>
      <c r="I949" s="7"/>
      <c r="J949" s="7"/>
      <c r="K949" s="7"/>
      <c r="L949" s="7"/>
      <c r="M949" s="164">
        <v>4</v>
      </c>
      <c r="N949" s="91">
        <v>9999</v>
      </c>
      <c r="O949" s="54">
        <v>1</v>
      </c>
      <c r="P949" s="165">
        <v>157</v>
      </c>
      <c r="Q949" s="54">
        <v>0</v>
      </c>
      <c r="R949" s="54"/>
      <c r="S949" s="54">
        <v>0</v>
      </c>
      <c r="Y949" s="112"/>
    </row>
    <row r="950" spans="2:25" s="105" customFormat="1">
      <c r="B950" s="162">
        <v>9324</v>
      </c>
      <c r="C950" s="158" t="s">
        <v>1610</v>
      </c>
      <c r="D950" s="172" t="s">
        <v>3992</v>
      </c>
      <c r="E950" s="167" t="s">
        <v>3969</v>
      </c>
      <c r="F950" s="168" t="s">
        <v>3969</v>
      </c>
      <c r="G950" s="105">
        <v>10</v>
      </c>
      <c r="H950" s="163">
        <v>3</v>
      </c>
      <c r="I950" s="7"/>
      <c r="J950" s="7"/>
      <c r="K950" s="7"/>
      <c r="L950" s="7"/>
      <c r="M950" s="164">
        <v>4</v>
      </c>
      <c r="N950" s="91">
        <v>9999</v>
      </c>
      <c r="O950" s="54">
        <v>1</v>
      </c>
      <c r="P950" s="165">
        <v>157</v>
      </c>
      <c r="Q950" s="54">
        <v>0</v>
      </c>
      <c r="R950" s="54"/>
      <c r="S950" s="54">
        <v>0</v>
      </c>
      <c r="Y950" s="112"/>
    </row>
    <row r="951" spans="2:25" s="105" customFormat="1">
      <c r="B951" s="162">
        <v>9334</v>
      </c>
      <c r="C951" s="158" t="s">
        <v>1611</v>
      </c>
      <c r="D951" s="172" t="s">
        <v>3993</v>
      </c>
      <c r="E951" s="167" t="s">
        <v>3970</v>
      </c>
      <c r="F951" s="168" t="s">
        <v>3970</v>
      </c>
      <c r="G951" s="105">
        <v>10</v>
      </c>
      <c r="H951" s="163">
        <v>3</v>
      </c>
      <c r="I951" s="7"/>
      <c r="J951" s="7"/>
      <c r="K951" s="7"/>
      <c r="L951" s="7"/>
      <c r="M951" s="164">
        <v>4</v>
      </c>
      <c r="N951" s="91">
        <v>9999</v>
      </c>
      <c r="O951" s="54">
        <v>1</v>
      </c>
      <c r="P951" s="165">
        <v>157</v>
      </c>
      <c r="Q951" s="54">
        <v>0</v>
      </c>
      <c r="R951" s="54"/>
      <c r="S951" s="54">
        <v>0</v>
      </c>
      <c r="Y951" s="112"/>
    </row>
    <row r="952" spans="2:25" s="105" customFormat="1">
      <c r="B952" s="162">
        <v>9344</v>
      </c>
      <c r="C952" s="158" t="s">
        <v>1612</v>
      </c>
      <c r="D952" s="172" t="s">
        <v>3994</v>
      </c>
      <c r="E952" s="167" t="s">
        <v>3971</v>
      </c>
      <c r="F952" s="168" t="s">
        <v>3971</v>
      </c>
      <c r="G952" s="105">
        <v>10</v>
      </c>
      <c r="H952" s="163">
        <v>3</v>
      </c>
      <c r="I952" s="7"/>
      <c r="J952" s="7"/>
      <c r="K952" s="7"/>
      <c r="L952" s="7"/>
      <c r="M952" s="164">
        <v>4</v>
      </c>
      <c r="N952" s="91">
        <v>9999</v>
      </c>
      <c r="O952" s="54">
        <v>1</v>
      </c>
      <c r="P952" s="165">
        <v>157</v>
      </c>
      <c r="Q952" s="54">
        <v>0</v>
      </c>
      <c r="R952" s="54"/>
      <c r="S952" s="54">
        <v>0</v>
      </c>
      <c r="Y952" s="112"/>
    </row>
    <row r="953" spans="2:25" s="105" customFormat="1">
      <c r="B953" s="162">
        <v>9414</v>
      </c>
      <c r="C953" s="158" t="s">
        <v>1613</v>
      </c>
      <c r="D953" s="172" t="s">
        <v>3995</v>
      </c>
      <c r="E953" s="167" t="s">
        <v>3972</v>
      </c>
      <c r="F953" s="168" t="s">
        <v>3972</v>
      </c>
      <c r="G953" s="105">
        <v>10</v>
      </c>
      <c r="H953" s="163">
        <v>4</v>
      </c>
      <c r="I953" s="7"/>
      <c r="J953" s="7"/>
      <c r="K953" s="7"/>
      <c r="L953" s="7"/>
      <c r="M953" s="164">
        <v>4</v>
      </c>
      <c r="N953" s="91">
        <v>9999</v>
      </c>
      <c r="O953" s="54">
        <v>1</v>
      </c>
      <c r="P953" s="165">
        <v>157</v>
      </c>
      <c r="Q953" s="54">
        <v>0</v>
      </c>
      <c r="R953" s="54"/>
      <c r="S953" s="54">
        <v>0</v>
      </c>
      <c r="Y953" s="112"/>
    </row>
    <row r="954" spans="2:25" s="105" customFormat="1">
      <c r="B954" s="162">
        <v>9424</v>
      </c>
      <c r="C954" s="158" t="s">
        <v>1614</v>
      </c>
      <c r="D954" s="172" t="s">
        <v>3996</v>
      </c>
      <c r="E954" s="167" t="s">
        <v>3977</v>
      </c>
      <c r="F954" s="168" t="s">
        <v>3973</v>
      </c>
      <c r="G954" s="105">
        <v>10</v>
      </c>
      <c r="H954" s="163">
        <v>4</v>
      </c>
      <c r="I954" s="7"/>
      <c r="J954" s="7"/>
      <c r="K954" s="7"/>
      <c r="L954" s="7"/>
      <c r="M954" s="164">
        <v>4</v>
      </c>
      <c r="N954" s="91">
        <v>9999</v>
      </c>
      <c r="O954" s="54">
        <v>1</v>
      </c>
      <c r="P954" s="165">
        <v>157</v>
      </c>
      <c r="Q954" s="54">
        <v>0</v>
      </c>
      <c r="R954" s="54"/>
      <c r="S954" s="54">
        <v>0</v>
      </c>
      <c r="Y954" s="112"/>
    </row>
    <row r="955" spans="2:25" s="105" customFormat="1">
      <c r="B955" s="162">
        <v>9434</v>
      </c>
      <c r="C955" s="158" t="s">
        <v>1615</v>
      </c>
      <c r="D955" s="172" t="s">
        <v>3997</v>
      </c>
      <c r="E955" s="167" t="s">
        <v>3974</v>
      </c>
      <c r="F955" s="168" t="s">
        <v>3974</v>
      </c>
      <c r="G955" s="105">
        <v>10</v>
      </c>
      <c r="H955" s="163">
        <v>4</v>
      </c>
      <c r="I955" s="7"/>
      <c r="J955" s="7"/>
      <c r="K955" s="7"/>
      <c r="L955" s="7"/>
      <c r="M955" s="164">
        <v>4</v>
      </c>
      <c r="N955" s="91">
        <v>9999</v>
      </c>
      <c r="O955" s="54">
        <v>1</v>
      </c>
      <c r="P955" s="165">
        <v>157</v>
      </c>
      <c r="Q955" s="54">
        <v>0</v>
      </c>
      <c r="R955" s="54"/>
      <c r="S955" s="54">
        <v>0</v>
      </c>
      <c r="Y955" s="112"/>
    </row>
    <row r="956" spans="2:25" s="105" customFormat="1">
      <c r="B956" s="162">
        <v>9444</v>
      </c>
      <c r="C956" s="158" t="s">
        <v>3960</v>
      </c>
      <c r="D956" s="172" t="s">
        <v>3998</v>
      </c>
      <c r="E956" s="167" t="s">
        <v>3975</v>
      </c>
      <c r="F956" s="168" t="s">
        <v>3975</v>
      </c>
      <c r="G956" s="105">
        <v>10</v>
      </c>
      <c r="H956" s="163">
        <v>4</v>
      </c>
      <c r="I956" s="7"/>
      <c r="J956" s="7"/>
      <c r="K956" s="7"/>
      <c r="L956" s="7"/>
      <c r="M956" s="164">
        <v>4</v>
      </c>
      <c r="N956" s="91">
        <v>9999</v>
      </c>
      <c r="O956" s="54">
        <v>1</v>
      </c>
      <c r="P956" s="165">
        <v>157</v>
      </c>
      <c r="Q956" s="54">
        <v>0</v>
      </c>
      <c r="R956" s="54"/>
      <c r="S956" s="54">
        <v>0</v>
      </c>
      <c r="Y956" s="112"/>
    </row>
    <row r="957" spans="2:25" s="105" customFormat="1">
      <c r="B957" s="162">
        <v>9454</v>
      </c>
      <c r="C957" s="158" t="s">
        <v>1616</v>
      </c>
      <c r="D957" s="172" t="s">
        <v>3999</v>
      </c>
      <c r="E957" s="167" t="s">
        <v>3976</v>
      </c>
      <c r="F957" s="168" t="s">
        <v>3976</v>
      </c>
      <c r="G957" s="105">
        <v>10</v>
      </c>
      <c r="H957" s="163">
        <v>4</v>
      </c>
      <c r="I957" s="7"/>
      <c r="J957" s="7"/>
      <c r="K957" s="7"/>
      <c r="L957" s="7"/>
      <c r="M957" s="164">
        <v>4</v>
      </c>
      <c r="N957" s="91">
        <v>9999</v>
      </c>
      <c r="O957" s="54">
        <v>1</v>
      </c>
      <c r="P957" s="165">
        <v>157</v>
      </c>
      <c r="Q957" s="54">
        <v>0</v>
      </c>
      <c r="R957" s="54"/>
      <c r="S957" s="54">
        <v>0</v>
      </c>
      <c r="Y957" s="112"/>
    </row>
    <row r="958" spans="2:25" s="105" customFormat="1">
      <c r="B958" s="162">
        <v>9115</v>
      </c>
      <c r="C958" s="158" t="s">
        <v>1617</v>
      </c>
      <c r="D958" s="173" t="s">
        <v>3985</v>
      </c>
      <c r="E958" s="167" t="s">
        <v>3962</v>
      </c>
      <c r="F958" s="168" t="s">
        <v>3962</v>
      </c>
      <c r="G958" s="105">
        <v>10</v>
      </c>
      <c r="H958" s="163">
        <v>1</v>
      </c>
      <c r="I958" s="7"/>
      <c r="J958" s="7"/>
      <c r="K958" s="7"/>
      <c r="L958" s="7"/>
      <c r="M958" s="164">
        <v>5</v>
      </c>
      <c r="N958" s="91">
        <v>9999</v>
      </c>
      <c r="O958" s="54">
        <v>1</v>
      </c>
      <c r="P958" s="165">
        <v>158</v>
      </c>
      <c r="Q958" s="54">
        <v>0</v>
      </c>
      <c r="R958" s="54"/>
      <c r="S958" s="54">
        <v>0</v>
      </c>
      <c r="Y958" s="112"/>
    </row>
    <row r="959" spans="2:25" s="105" customFormat="1">
      <c r="B959" s="162">
        <v>9125</v>
      </c>
      <c r="C959" s="158" t="s">
        <v>1618</v>
      </c>
      <c r="D959" s="173" t="s">
        <v>3986</v>
      </c>
      <c r="E959" s="167" t="s">
        <v>3963</v>
      </c>
      <c r="F959" s="168" t="s">
        <v>3963</v>
      </c>
      <c r="G959" s="105">
        <v>10</v>
      </c>
      <c r="H959" s="163">
        <v>1</v>
      </c>
      <c r="I959" s="7"/>
      <c r="J959" s="7"/>
      <c r="K959" s="7"/>
      <c r="L959" s="7"/>
      <c r="M959" s="164">
        <v>5</v>
      </c>
      <c r="N959" s="91">
        <v>9999</v>
      </c>
      <c r="O959" s="54">
        <v>1</v>
      </c>
      <c r="P959" s="165">
        <v>158</v>
      </c>
      <c r="Q959" s="54">
        <v>0</v>
      </c>
      <c r="R959" s="54"/>
      <c r="S959" s="54">
        <v>0</v>
      </c>
      <c r="Y959" s="112"/>
    </row>
    <row r="960" spans="2:25" s="105" customFormat="1">
      <c r="B960" s="162">
        <v>9135</v>
      </c>
      <c r="C960" s="158" t="s">
        <v>1619</v>
      </c>
      <c r="D960" s="173" t="s">
        <v>3987</v>
      </c>
      <c r="E960" s="167" t="s">
        <v>3964</v>
      </c>
      <c r="F960" s="168" t="s">
        <v>3964</v>
      </c>
      <c r="G960" s="105">
        <v>10</v>
      </c>
      <c r="H960" s="163">
        <v>1</v>
      </c>
      <c r="I960" s="7"/>
      <c r="J960" s="7"/>
      <c r="K960" s="7"/>
      <c r="L960" s="7"/>
      <c r="M960" s="164">
        <v>5</v>
      </c>
      <c r="N960" s="91">
        <v>9999</v>
      </c>
      <c r="O960" s="54">
        <v>1</v>
      </c>
      <c r="P960" s="165">
        <v>158</v>
      </c>
      <c r="Q960" s="54">
        <v>0</v>
      </c>
      <c r="R960" s="54"/>
      <c r="S960" s="54">
        <v>0</v>
      </c>
      <c r="Y960" s="112"/>
    </row>
    <row r="961" spans="1:25" s="105" customFormat="1">
      <c r="B961" s="162">
        <v>9215</v>
      </c>
      <c r="C961" s="158" t="s">
        <v>1620</v>
      </c>
      <c r="D961" s="173" t="s">
        <v>3988</v>
      </c>
      <c r="E961" s="167" t="s">
        <v>3965</v>
      </c>
      <c r="F961" s="168" t="s">
        <v>3965</v>
      </c>
      <c r="G961" s="105">
        <v>10</v>
      </c>
      <c r="H961" s="163">
        <v>2</v>
      </c>
      <c r="I961" s="7"/>
      <c r="J961" s="7"/>
      <c r="K961" s="7"/>
      <c r="L961" s="7"/>
      <c r="M961" s="164">
        <v>5</v>
      </c>
      <c r="N961" s="91">
        <v>9999</v>
      </c>
      <c r="O961" s="54">
        <v>1</v>
      </c>
      <c r="P961" s="165">
        <v>158</v>
      </c>
      <c r="Q961" s="54">
        <v>0</v>
      </c>
      <c r="R961" s="54"/>
      <c r="S961" s="54">
        <v>0</v>
      </c>
      <c r="Y961" s="112"/>
    </row>
    <row r="962" spans="1:25" s="105" customFormat="1">
      <c r="B962" s="162">
        <v>9225</v>
      </c>
      <c r="C962" s="158" t="s">
        <v>1621</v>
      </c>
      <c r="D962" s="173" t="s">
        <v>3989</v>
      </c>
      <c r="E962" s="167" t="s">
        <v>3966</v>
      </c>
      <c r="F962" s="168" t="s">
        <v>3966</v>
      </c>
      <c r="G962" s="105">
        <v>10</v>
      </c>
      <c r="H962" s="163">
        <v>2</v>
      </c>
      <c r="I962" s="7"/>
      <c r="J962" s="7"/>
      <c r="K962" s="7"/>
      <c r="L962" s="7"/>
      <c r="M962" s="164">
        <v>5</v>
      </c>
      <c r="N962" s="91">
        <v>9999</v>
      </c>
      <c r="O962" s="54">
        <v>1</v>
      </c>
      <c r="P962" s="165">
        <v>158</v>
      </c>
      <c r="Q962" s="54">
        <v>0</v>
      </c>
      <c r="R962" s="54"/>
      <c r="S962" s="54">
        <v>0</v>
      </c>
      <c r="Y962" s="112"/>
    </row>
    <row r="963" spans="1:25" s="105" customFormat="1">
      <c r="B963" s="162">
        <v>9235</v>
      </c>
      <c r="C963" s="158" t="s">
        <v>1622</v>
      </c>
      <c r="D963" s="173" t="s">
        <v>3990</v>
      </c>
      <c r="E963" s="167" t="s">
        <v>3967</v>
      </c>
      <c r="F963" s="168" t="s">
        <v>3967</v>
      </c>
      <c r="G963" s="105">
        <v>10</v>
      </c>
      <c r="H963" s="163">
        <v>2</v>
      </c>
      <c r="I963" s="7"/>
      <c r="J963" s="7"/>
      <c r="K963" s="7"/>
      <c r="L963" s="7"/>
      <c r="M963" s="164">
        <v>5</v>
      </c>
      <c r="N963" s="91">
        <v>9999</v>
      </c>
      <c r="O963" s="54">
        <v>1</v>
      </c>
      <c r="P963" s="165">
        <v>158</v>
      </c>
      <c r="Q963" s="54">
        <v>0</v>
      </c>
      <c r="R963" s="54"/>
      <c r="S963" s="54">
        <v>0</v>
      </c>
      <c r="Y963" s="112"/>
    </row>
    <row r="964" spans="1:25" s="105" customFormat="1">
      <c r="B964" s="162">
        <v>9315</v>
      </c>
      <c r="C964" s="158" t="s">
        <v>1623</v>
      </c>
      <c r="D964" s="173" t="s">
        <v>3991</v>
      </c>
      <c r="E964" s="167" t="s">
        <v>3968</v>
      </c>
      <c r="F964" s="168" t="s">
        <v>3968</v>
      </c>
      <c r="G964" s="105">
        <v>10</v>
      </c>
      <c r="H964" s="163">
        <v>3</v>
      </c>
      <c r="I964" s="7"/>
      <c r="J964" s="7"/>
      <c r="K964" s="7"/>
      <c r="L964" s="7"/>
      <c r="M964" s="164">
        <v>5</v>
      </c>
      <c r="N964" s="91">
        <v>9999</v>
      </c>
      <c r="O964" s="54">
        <v>1</v>
      </c>
      <c r="P964" s="165">
        <v>158</v>
      </c>
      <c r="Q964" s="54">
        <v>0</v>
      </c>
      <c r="R964" s="54"/>
      <c r="S964" s="54">
        <v>0</v>
      </c>
      <c r="Y964" s="112"/>
    </row>
    <row r="965" spans="1:25" s="105" customFormat="1">
      <c r="B965" s="162">
        <v>9325</v>
      </c>
      <c r="C965" s="158" t="s">
        <v>1624</v>
      </c>
      <c r="D965" s="173" t="s">
        <v>3992</v>
      </c>
      <c r="E965" s="167" t="s">
        <v>3969</v>
      </c>
      <c r="F965" s="168" t="s">
        <v>3969</v>
      </c>
      <c r="G965" s="105">
        <v>10</v>
      </c>
      <c r="H965" s="163">
        <v>3</v>
      </c>
      <c r="I965" s="7"/>
      <c r="J965" s="7"/>
      <c r="K965" s="7"/>
      <c r="L965" s="7"/>
      <c r="M965" s="164">
        <v>5</v>
      </c>
      <c r="N965" s="91">
        <v>9999</v>
      </c>
      <c r="O965" s="54">
        <v>1</v>
      </c>
      <c r="P965" s="165">
        <v>158</v>
      </c>
      <c r="Q965" s="54">
        <v>0</v>
      </c>
      <c r="R965" s="54"/>
      <c r="S965" s="54">
        <v>0</v>
      </c>
      <c r="Y965" s="112"/>
    </row>
    <row r="966" spans="1:25" s="105" customFormat="1">
      <c r="B966" s="162">
        <v>9335</v>
      </c>
      <c r="C966" s="158" t="s">
        <v>1625</v>
      </c>
      <c r="D966" s="173" t="s">
        <v>3993</v>
      </c>
      <c r="E966" s="167" t="s">
        <v>3970</v>
      </c>
      <c r="F966" s="168" t="s">
        <v>3970</v>
      </c>
      <c r="G966" s="105">
        <v>10</v>
      </c>
      <c r="H966" s="163">
        <v>3</v>
      </c>
      <c r="I966" s="7"/>
      <c r="J966" s="7"/>
      <c r="K966" s="7"/>
      <c r="L966" s="7"/>
      <c r="M966" s="164">
        <v>5</v>
      </c>
      <c r="N966" s="91">
        <v>9999</v>
      </c>
      <c r="O966" s="54">
        <v>1</v>
      </c>
      <c r="P966" s="165">
        <v>158</v>
      </c>
      <c r="Q966" s="54">
        <v>0</v>
      </c>
      <c r="R966" s="54"/>
      <c r="S966" s="54">
        <v>0</v>
      </c>
      <c r="Y966" s="112"/>
    </row>
    <row r="967" spans="1:25" s="105" customFormat="1">
      <c r="B967" s="162">
        <v>9345</v>
      </c>
      <c r="C967" s="158" t="s">
        <v>1626</v>
      </c>
      <c r="D967" s="173" t="s">
        <v>3994</v>
      </c>
      <c r="E967" s="167" t="s">
        <v>3971</v>
      </c>
      <c r="F967" s="168" t="s">
        <v>3971</v>
      </c>
      <c r="G967" s="105">
        <v>10</v>
      </c>
      <c r="H967" s="163">
        <v>3</v>
      </c>
      <c r="I967" s="7"/>
      <c r="J967" s="7"/>
      <c r="K967" s="7"/>
      <c r="L967" s="7"/>
      <c r="M967" s="164">
        <v>5</v>
      </c>
      <c r="N967" s="91">
        <v>9999</v>
      </c>
      <c r="O967" s="54">
        <v>1</v>
      </c>
      <c r="P967" s="165">
        <v>158</v>
      </c>
      <c r="Q967" s="54">
        <v>0</v>
      </c>
      <c r="R967" s="54"/>
      <c r="S967" s="54">
        <v>0</v>
      </c>
      <c r="Y967" s="112"/>
    </row>
    <row r="968" spans="1:25" s="105" customFormat="1">
      <c r="B968" s="162">
        <v>9415</v>
      </c>
      <c r="C968" s="158" t="s">
        <v>1627</v>
      </c>
      <c r="D968" s="173" t="s">
        <v>3995</v>
      </c>
      <c r="E968" s="167" t="s">
        <v>3972</v>
      </c>
      <c r="F968" s="168" t="s">
        <v>3972</v>
      </c>
      <c r="G968" s="105">
        <v>10</v>
      </c>
      <c r="H968" s="163">
        <v>4</v>
      </c>
      <c r="I968" s="7"/>
      <c r="J968" s="7"/>
      <c r="K968" s="7"/>
      <c r="L968" s="7"/>
      <c r="M968" s="164">
        <v>5</v>
      </c>
      <c r="N968" s="91">
        <v>9999</v>
      </c>
      <c r="O968" s="54">
        <v>1</v>
      </c>
      <c r="P968" s="165">
        <v>158</v>
      </c>
      <c r="Q968" s="54">
        <v>0</v>
      </c>
      <c r="R968" s="54"/>
      <c r="S968" s="54">
        <v>0</v>
      </c>
      <c r="Y968" s="112"/>
    </row>
    <row r="969" spans="1:25" s="105" customFormat="1">
      <c r="B969" s="162">
        <v>9425</v>
      </c>
      <c r="C969" s="158" t="s">
        <v>1628</v>
      </c>
      <c r="D969" s="173" t="s">
        <v>3996</v>
      </c>
      <c r="E969" s="167" t="s">
        <v>3973</v>
      </c>
      <c r="F969" s="168" t="s">
        <v>3973</v>
      </c>
      <c r="G969" s="105">
        <v>10</v>
      </c>
      <c r="H969" s="163">
        <v>4</v>
      </c>
      <c r="I969" s="7"/>
      <c r="J969" s="7"/>
      <c r="K969" s="7"/>
      <c r="L969" s="7"/>
      <c r="M969" s="164">
        <v>5</v>
      </c>
      <c r="N969" s="91">
        <v>9999</v>
      </c>
      <c r="O969" s="54">
        <v>1</v>
      </c>
      <c r="P969" s="165">
        <v>158</v>
      </c>
      <c r="Q969" s="54">
        <v>0</v>
      </c>
      <c r="R969" s="54"/>
      <c r="S969" s="54">
        <v>0</v>
      </c>
      <c r="Y969" s="112"/>
    </row>
    <row r="970" spans="1:25" s="105" customFormat="1">
      <c r="B970" s="162">
        <v>9435</v>
      </c>
      <c r="C970" s="158" t="s">
        <v>1629</v>
      </c>
      <c r="D970" s="173" t="s">
        <v>3997</v>
      </c>
      <c r="E970" s="167" t="s">
        <v>3974</v>
      </c>
      <c r="F970" s="168" t="s">
        <v>3974</v>
      </c>
      <c r="G970" s="105">
        <v>10</v>
      </c>
      <c r="H970" s="163">
        <v>4</v>
      </c>
      <c r="I970" s="7"/>
      <c r="J970" s="7"/>
      <c r="K970" s="7"/>
      <c r="L970" s="7"/>
      <c r="M970" s="164">
        <v>5</v>
      </c>
      <c r="N970" s="91">
        <v>9999</v>
      </c>
      <c r="O970" s="54">
        <v>1</v>
      </c>
      <c r="P970" s="165">
        <v>158</v>
      </c>
      <c r="Q970" s="54">
        <v>0</v>
      </c>
      <c r="R970" s="54"/>
      <c r="S970" s="54">
        <v>0</v>
      </c>
      <c r="Y970" s="112"/>
    </row>
    <row r="971" spans="1:25" s="105" customFormat="1">
      <c r="A971" s="7"/>
      <c r="B971" s="162">
        <v>9445</v>
      </c>
      <c r="C971" s="158" t="s">
        <v>3961</v>
      </c>
      <c r="D971" s="173" t="s">
        <v>3998</v>
      </c>
      <c r="E971" s="167" t="s">
        <v>3975</v>
      </c>
      <c r="F971" s="168" t="s">
        <v>3975</v>
      </c>
      <c r="G971" s="105">
        <v>10</v>
      </c>
      <c r="H971" s="163">
        <v>4</v>
      </c>
      <c r="I971" s="7"/>
      <c r="J971" s="7"/>
      <c r="K971" s="7"/>
      <c r="L971" s="7"/>
      <c r="M971" s="164">
        <v>5</v>
      </c>
      <c r="N971" s="91">
        <v>9999</v>
      </c>
      <c r="O971" s="54">
        <v>1</v>
      </c>
      <c r="P971" s="165">
        <v>158</v>
      </c>
      <c r="Q971" s="54">
        <v>0</v>
      </c>
      <c r="R971" s="54"/>
      <c r="S971" s="54">
        <v>0</v>
      </c>
      <c r="T971" s="7"/>
      <c r="Y971" s="112"/>
    </row>
    <row r="972" spans="1:25" s="105" customFormat="1">
      <c r="A972" s="7"/>
      <c r="B972" s="162">
        <v>9455</v>
      </c>
      <c r="C972" s="158" t="s">
        <v>1630</v>
      </c>
      <c r="D972" s="173" t="s">
        <v>3999</v>
      </c>
      <c r="E972" s="167" t="s">
        <v>3976</v>
      </c>
      <c r="F972" s="168" t="s">
        <v>3976</v>
      </c>
      <c r="G972" s="105">
        <v>10</v>
      </c>
      <c r="H972" s="163">
        <v>4</v>
      </c>
      <c r="I972" s="7"/>
      <c r="J972" s="7"/>
      <c r="K972" s="7"/>
      <c r="L972" s="7"/>
      <c r="M972" s="164">
        <v>5</v>
      </c>
      <c r="N972" s="91">
        <v>9999</v>
      </c>
      <c r="O972" s="54">
        <v>1</v>
      </c>
      <c r="P972" s="165">
        <v>158</v>
      </c>
      <c r="Q972" s="54">
        <v>0</v>
      </c>
      <c r="R972" s="54"/>
      <c r="S972" s="54">
        <v>0</v>
      </c>
      <c r="T972" s="7"/>
      <c r="Y972" s="112"/>
    </row>
  </sheetData>
  <autoFilter ref="A1:Z972"/>
  <phoneticPr fontId="24" type="noConversion"/>
  <conditionalFormatting sqref="B79:B84">
    <cfRule type="duplicateValues" dxfId="3" priority="6"/>
  </conditionalFormatting>
  <conditionalFormatting sqref="B83:B84">
    <cfRule type="duplicateValues" dxfId="2" priority="5"/>
  </conditionalFormatting>
  <conditionalFormatting sqref="D79:D84">
    <cfRule type="duplicateValues" dxfId="1" priority="4"/>
  </conditionalFormatting>
  <conditionalFormatting sqref="D83:D84">
    <cfRule type="duplicateValues" dxfId="0" priority="3"/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V37"/>
  <sheetViews>
    <sheetView topLeftCell="A16" workbookViewId="0">
      <selection activeCell="G29" sqref="G29:G33"/>
    </sheetView>
  </sheetViews>
  <sheetFormatPr defaultColWidth="9" defaultRowHeight="13.5"/>
  <cols>
    <col min="1" max="1" width="11.125" customWidth="1"/>
    <col min="2" max="2" width="13" customWidth="1"/>
    <col min="3" max="3" width="10.5" customWidth="1"/>
    <col min="4" max="4" width="11.375" customWidth="1"/>
    <col min="5" max="5" width="9.125" customWidth="1"/>
    <col min="6" max="6" width="12.25" customWidth="1"/>
    <col min="7" max="7" width="11.375" customWidth="1"/>
    <col min="8" max="8" width="10.5" customWidth="1"/>
    <col min="9" max="9" width="11" customWidth="1"/>
    <col min="10" max="10" width="10.25" customWidth="1"/>
    <col min="11" max="12" width="11.625" customWidth="1"/>
  </cols>
  <sheetData>
    <row r="1" spans="1:22" ht="24.95" customHeight="1">
      <c r="A1" s="29" t="s">
        <v>1</v>
      </c>
      <c r="B1" s="29" t="s">
        <v>1631</v>
      </c>
      <c r="C1" s="30" t="s">
        <v>1632</v>
      </c>
      <c r="D1" s="31" t="s">
        <v>1633</v>
      </c>
      <c r="E1" s="29" t="s">
        <v>1634</v>
      </c>
      <c r="F1" s="29" t="s">
        <v>1635</v>
      </c>
      <c r="G1" s="29" t="s">
        <v>1636</v>
      </c>
      <c r="H1" s="29" t="s">
        <v>1637</v>
      </c>
      <c r="I1" s="31" t="s">
        <v>1638</v>
      </c>
      <c r="J1" s="29" t="s">
        <v>1639</v>
      </c>
      <c r="K1" s="29" t="s">
        <v>1640</v>
      </c>
      <c r="L1" s="29" t="s">
        <v>1641</v>
      </c>
      <c r="M1" s="29" t="s">
        <v>1642</v>
      </c>
      <c r="N1" s="31" t="s">
        <v>1643</v>
      </c>
      <c r="O1" s="29" t="s">
        <v>1644</v>
      </c>
      <c r="P1" s="29" t="s">
        <v>1645</v>
      </c>
      <c r="Q1" s="29" t="s">
        <v>1646</v>
      </c>
      <c r="R1" s="29" t="s">
        <v>1647</v>
      </c>
      <c r="S1" s="31" t="s">
        <v>1648</v>
      </c>
      <c r="T1" s="29" t="s">
        <v>1649</v>
      </c>
      <c r="U1" s="29" t="s">
        <v>1650</v>
      </c>
      <c r="V1" s="29" t="s">
        <v>1651</v>
      </c>
    </row>
    <row r="2" spans="1:22" ht="15" customHeight="1">
      <c r="A2" s="32">
        <v>50</v>
      </c>
      <c r="B2" s="32">
        <v>1</v>
      </c>
      <c r="C2" s="33">
        <v>5</v>
      </c>
      <c r="D2" s="34">
        <v>37000</v>
      </c>
      <c r="E2" s="32">
        <v>10000</v>
      </c>
      <c r="F2" s="32">
        <v>1</v>
      </c>
      <c r="G2" s="32">
        <v>1</v>
      </c>
      <c r="H2" s="32"/>
      <c r="I2" s="37"/>
      <c r="J2" s="32"/>
      <c r="K2" s="32"/>
      <c r="L2" s="32"/>
      <c r="M2" s="32"/>
      <c r="N2" s="19"/>
      <c r="O2" s="19"/>
      <c r="P2" s="19"/>
      <c r="Q2" s="19"/>
      <c r="R2" s="32"/>
      <c r="S2" s="19"/>
      <c r="T2" s="19"/>
      <c r="U2" s="19"/>
      <c r="V2" s="19"/>
    </row>
    <row r="3" spans="1:22" ht="15" customHeight="1">
      <c r="A3" s="32">
        <v>51</v>
      </c>
      <c r="B3" s="32">
        <v>1</v>
      </c>
      <c r="C3" s="33">
        <v>5</v>
      </c>
      <c r="D3" s="34">
        <v>37001</v>
      </c>
      <c r="E3" s="32">
        <v>10000</v>
      </c>
      <c r="F3" s="32">
        <v>1</v>
      </c>
      <c r="G3" s="32">
        <v>1</v>
      </c>
      <c r="H3" s="32"/>
      <c r="I3" s="37"/>
      <c r="J3" s="32"/>
      <c r="K3" s="32"/>
      <c r="L3" s="32"/>
      <c r="M3" s="32"/>
      <c r="N3" s="37"/>
      <c r="O3" s="32"/>
      <c r="P3" s="32"/>
      <c r="Q3" s="32"/>
      <c r="R3" s="32"/>
      <c r="S3" s="37"/>
      <c r="T3" s="32"/>
      <c r="U3" s="32"/>
      <c r="V3" s="32"/>
    </row>
    <row r="4" spans="1:22" ht="15" customHeight="1">
      <c r="A4" s="32">
        <v>52</v>
      </c>
      <c r="B4" s="32">
        <v>1</v>
      </c>
      <c r="C4" s="33">
        <v>5</v>
      </c>
      <c r="D4" s="34">
        <v>37002</v>
      </c>
      <c r="E4" s="32">
        <v>10000</v>
      </c>
      <c r="F4" s="32">
        <v>1</v>
      </c>
      <c r="G4" s="32">
        <v>1</v>
      </c>
      <c r="H4" s="32"/>
      <c r="I4" s="37"/>
      <c r="J4" s="32"/>
      <c r="K4" s="32"/>
      <c r="L4" s="32"/>
      <c r="M4" s="32"/>
      <c r="N4" s="37"/>
      <c r="O4" s="32"/>
      <c r="P4" s="32"/>
      <c r="Q4" s="32"/>
      <c r="R4" s="32"/>
      <c r="S4" s="37"/>
      <c r="T4" s="32"/>
      <c r="U4" s="32"/>
      <c r="V4" s="32"/>
    </row>
    <row r="5" spans="1:22" ht="15" customHeight="1">
      <c r="A5" s="32">
        <v>53</v>
      </c>
      <c r="B5" s="32">
        <v>1</v>
      </c>
      <c r="C5" s="33">
        <v>5</v>
      </c>
      <c r="D5" s="34" t="s">
        <v>1652</v>
      </c>
      <c r="E5" s="32">
        <v>10000</v>
      </c>
      <c r="F5" s="32">
        <v>1</v>
      </c>
      <c r="G5" s="32">
        <v>1</v>
      </c>
      <c r="H5" s="32"/>
      <c r="I5" s="37"/>
      <c r="J5" s="32"/>
      <c r="K5" s="32"/>
      <c r="L5" s="32"/>
      <c r="M5" s="32"/>
      <c r="N5" s="37"/>
      <c r="O5" s="32"/>
      <c r="P5" s="32"/>
      <c r="Q5" s="32"/>
      <c r="R5" s="32"/>
      <c r="S5" s="37"/>
      <c r="T5" s="32"/>
      <c r="U5" s="32"/>
      <c r="V5" s="32"/>
    </row>
    <row r="6" spans="1:22" ht="15" customHeight="1">
      <c r="A6" s="32">
        <v>54</v>
      </c>
      <c r="B6" s="32">
        <v>1</v>
      </c>
      <c r="C6" s="33">
        <v>5</v>
      </c>
      <c r="D6" s="34">
        <v>37004</v>
      </c>
      <c r="E6" s="32">
        <v>10000</v>
      </c>
      <c r="F6" s="32">
        <v>1</v>
      </c>
      <c r="G6" s="32">
        <v>1</v>
      </c>
      <c r="H6" s="32"/>
      <c r="I6" s="37"/>
      <c r="J6" s="32"/>
      <c r="K6" s="32"/>
      <c r="L6" s="32"/>
      <c r="M6" s="32"/>
      <c r="N6" s="37"/>
      <c r="O6" s="32"/>
      <c r="P6" s="32"/>
      <c r="Q6" s="32"/>
      <c r="R6" s="32"/>
      <c r="S6" s="37"/>
      <c r="T6" s="32"/>
      <c r="U6" s="32"/>
      <c r="V6" s="32"/>
    </row>
    <row r="7" spans="1:22" ht="15" customHeight="1">
      <c r="A7" s="32">
        <v>55</v>
      </c>
      <c r="B7" s="32">
        <v>1</v>
      </c>
      <c r="C7" s="33">
        <v>5</v>
      </c>
      <c r="D7" s="34">
        <v>37005</v>
      </c>
      <c r="E7" s="32">
        <v>10000</v>
      </c>
      <c r="F7" s="32">
        <v>1</v>
      </c>
      <c r="G7" s="32">
        <v>1</v>
      </c>
      <c r="H7" s="32"/>
      <c r="I7" s="37"/>
      <c r="J7" s="32"/>
      <c r="K7" s="32"/>
      <c r="L7" s="32"/>
      <c r="M7" s="32"/>
      <c r="N7" s="37"/>
      <c r="O7" s="32"/>
      <c r="P7" s="32"/>
      <c r="Q7" s="32"/>
      <c r="R7" s="32"/>
      <c r="S7" s="37"/>
      <c r="T7" s="32"/>
      <c r="U7" s="32"/>
      <c r="V7" s="32"/>
    </row>
    <row r="8" spans="1:22" ht="15" customHeight="1">
      <c r="A8" s="32">
        <v>56</v>
      </c>
      <c r="B8" s="32">
        <v>1</v>
      </c>
      <c r="C8" s="33">
        <v>5</v>
      </c>
      <c r="D8" s="34">
        <v>37006</v>
      </c>
      <c r="E8" s="32">
        <v>10000</v>
      </c>
      <c r="F8" s="32">
        <v>1</v>
      </c>
      <c r="G8" s="32">
        <v>1</v>
      </c>
      <c r="H8" s="32"/>
      <c r="I8" s="37"/>
      <c r="J8" s="32"/>
      <c r="K8" s="32"/>
      <c r="L8" s="32"/>
      <c r="M8" s="32"/>
      <c r="N8" s="37"/>
      <c r="O8" s="32"/>
      <c r="P8" s="32"/>
      <c r="Q8" s="32"/>
      <c r="R8" s="32"/>
      <c r="S8" s="37"/>
      <c r="T8" s="32"/>
      <c r="U8" s="32"/>
      <c r="V8" s="32"/>
    </row>
    <row r="9" spans="1:22" ht="15" customHeight="1">
      <c r="A9" s="32">
        <v>57</v>
      </c>
      <c r="B9" s="32">
        <v>1</v>
      </c>
      <c r="C9" s="33">
        <v>5</v>
      </c>
      <c r="D9" s="34">
        <v>37007</v>
      </c>
      <c r="E9" s="32">
        <v>10000</v>
      </c>
      <c r="F9" s="32">
        <v>1</v>
      </c>
      <c r="G9" s="32">
        <v>1</v>
      </c>
      <c r="H9" s="32"/>
      <c r="I9" s="37"/>
      <c r="J9" s="32"/>
      <c r="K9" s="32"/>
      <c r="L9" s="32"/>
      <c r="M9" s="32"/>
      <c r="N9" s="37"/>
      <c r="O9" s="32"/>
      <c r="P9" s="32"/>
      <c r="Q9" s="32"/>
      <c r="R9" s="32"/>
      <c r="S9" s="37"/>
      <c r="T9" s="32"/>
      <c r="U9" s="32"/>
      <c r="V9" s="32"/>
    </row>
    <row r="10" spans="1:22" ht="15" customHeight="1">
      <c r="A10" s="32">
        <v>58</v>
      </c>
      <c r="B10" s="32">
        <v>1</v>
      </c>
      <c r="C10" s="33">
        <v>5</v>
      </c>
      <c r="D10" s="34">
        <v>37008</v>
      </c>
      <c r="E10" s="32">
        <v>10000</v>
      </c>
      <c r="F10" s="32">
        <v>1</v>
      </c>
      <c r="G10" s="32">
        <v>1</v>
      </c>
      <c r="H10" s="32"/>
      <c r="I10" s="37"/>
      <c r="J10" s="32"/>
      <c r="K10" s="32"/>
      <c r="L10" s="32"/>
      <c r="M10" s="32"/>
      <c r="N10" s="37"/>
      <c r="O10" s="32"/>
      <c r="P10" s="32"/>
      <c r="Q10" s="32"/>
      <c r="R10" s="32"/>
      <c r="S10" s="37"/>
      <c r="T10" s="32"/>
      <c r="U10" s="32"/>
      <c r="V10" s="32"/>
    </row>
    <row r="11" spans="1:22">
      <c r="A11" s="32">
        <v>59</v>
      </c>
      <c r="B11" s="32">
        <v>1</v>
      </c>
      <c r="C11" s="33">
        <v>5</v>
      </c>
      <c r="D11" s="34">
        <v>37009</v>
      </c>
      <c r="E11" s="32">
        <v>10000</v>
      </c>
      <c r="F11" s="32">
        <v>1</v>
      </c>
      <c r="G11" s="32">
        <v>1</v>
      </c>
      <c r="H11" s="32"/>
      <c r="I11" s="37"/>
      <c r="J11" s="32"/>
      <c r="K11" s="32"/>
      <c r="L11" s="32"/>
      <c r="M11" s="32"/>
      <c r="N11" s="37"/>
      <c r="O11" s="32"/>
      <c r="P11" s="32"/>
      <c r="Q11" s="32"/>
      <c r="R11" s="32"/>
      <c r="S11" s="37"/>
      <c r="T11" s="32"/>
      <c r="U11" s="32"/>
      <c r="V11" s="32"/>
    </row>
    <row r="12" spans="1:22">
      <c r="A12" s="32">
        <v>60</v>
      </c>
      <c r="B12" s="32">
        <v>1</v>
      </c>
      <c r="C12" s="33">
        <v>5</v>
      </c>
      <c r="D12" s="34">
        <v>37010</v>
      </c>
      <c r="E12" s="32">
        <v>10000</v>
      </c>
      <c r="F12" s="32">
        <v>1</v>
      </c>
      <c r="G12" s="32">
        <v>1</v>
      </c>
      <c r="H12" s="32"/>
      <c r="I12" s="37"/>
      <c r="J12" s="32"/>
      <c r="K12" s="32"/>
      <c r="L12" s="32"/>
      <c r="M12" s="32"/>
      <c r="N12" s="37"/>
      <c r="O12" s="32"/>
      <c r="P12" s="32"/>
      <c r="Q12" s="32"/>
      <c r="R12" s="32"/>
      <c r="S12" s="37"/>
      <c r="T12" s="32"/>
      <c r="U12" s="32"/>
      <c r="V12" s="32"/>
    </row>
    <row r="13" spans="1:22">
      <c r="A13" s="32">
        <v>61</v>
      </c>
      <c r="B13" s="32">
        <v>1</v>
      </c>
      <c r="C13" s="33">
        <v>5</v>
      </c>
      <c r="D13" s="34">
        <v>37011</v>
      </c>
      <c r="E13" s="32">
        <v>10000</v>
      </c>
      <c r="F13" s="32">
        <v>1</v>
      </c>
      <c r="G13" s="32">
        <v>1</v>
      </c>
      <c r="H13" s="32"/>
      <c r="I13" s="37"/>
      <c r="J13" s="32"/>
      <c r="K13" s="32"/>
      <c r="L13" s="32"/>
      <c r="M13" s="32"/>
      <c r="N13" s="37"/>
      <c r="O13" s="32"/>
      <c r="P13" s="32"/>
      <c r="Q13" s="32"/>
      <c r="R13" s="32"/>
      <c r="S13" s="37"/>
      <c r="T13" s="32"/>
      <c r="U13" s="32"/>
      <c r="V13" s="32"/>
    </row>
    <row r="14" spans="1:22">
      <c r="A14" s="32">
        <v>62</v>
      </c>
      <c r="B14" s="32">
        <v>1</v>
      </c>
      <c r="C14" s="33">
        <v>5</v>
      </c>
      <c r="D14" s="34">
        <v>37012</v>
      </c>
      <c r="E14" s="32">
        <v>10000</v>
      </c>
      <c r="F14" s="32">
        <v>1</v>
      </c>
      <c r="G14" s="32">
        <v>1</v>
      </c>
      <c r="H14" s="32"/>
      <c r="I14" s="37"/>
      <c r="J14" s="32"/>
      <c r="K14" s="32"/>
      <c r="L14" s="32"/>
      <c r="M14" s="32"/>
      <c r="N14" s="37"/>
      <c r="O14" s="32"/>
      <c r="P14" s="32"/>
      <c r="Q14" s="32"/>
      <c r="R14" s="32"/>
      <c r="S14" s="37"/>
      <c r="T14" s="32"/>
      <c r="U14" s="32"/>
      <c r="V14" s="32"/>
    </row>
    <row r="15" spans="1:22">
      <c r="A15" s="32">
        <v>63</v>
      </c>
      <c r="B15" s="32">
        <v>1</v>
      </c>
      <c r="C15" s="33">
        <v>5</v>
      </c>
      <c r="D15" s="34">
        <v>37013</v>
      </c>
      <c r="E15" s="32">
        <v>10000</v>
      </c>
      <c r="F15" s="32">
        <v>1</v>
      </c>
      <c r="G15" s="32">
        <v>1</v>
      </c>
      <c r="H15" s="32"/>
      <c r="I15" s="37"/>
      <c r="J15" s="32"/>
      <c r="K15" s="32"/>
      <c r="L15" s="32"/>
      <c r="M15" s="32"/>
      <c r="N15" s="37"/>
      <c r="O15" s="32"/>
      <c r="P15" s="32"/>
      <c r="Q15" s="32"/>
      <c r="R15" s="32"/>
      <c r="S15" s="37"/>
      <c r="T15" s="32"/>
      <c r="U15" s="32"/>
      <c r="V15" s="32"/>
    </row>
    <row r="16" spans="1:22">
      <c r="A16" s="32">
        <v>64</v>
      </c>
      <c r="B16" s="32">
        <v>1</v>
      </c>
      <c r="C16" s="33">
        <v>5</v>
      </c>
      <c r="D16" s="34">
        <v>37014</v>
      </c>
      <c r="E16" s="32">
        <v>10000</v>
      </c>
      <c r="F16" s="32">
        <v>1</v>
      </c>
      <c r="G16" s="32">
        <v>1</v>
      </c>
      <c r="H16" s="32"/>
      <c r="I16" s="37"/>
      <c r="J16" s="32"/>
      <c r="K16" s="32"/>
      <c r="L16" s="32"/>
      <c r="M16" s="32"/>
      <c r="N16" s="37"/>
      <c r="O16" s="32"/>
      <c r="P16" s="32"/>
      <c r="Q16" s="32"/>
      <c r="R16" s="32"/>
      <c r="S16" s="37"/>
      <c r="T16" s="32"/>
      <c r="U16" s="32"/>
      <c r="V16" s="32"/>
    </row>
    <row r="17" spans="1:22">
      <c r="A17" s="32">
        <v>65</v>
      </c>
      <c r="B17" s="32">
        <v>1</v>
      </c>
      <c r="C17" s="33">
        <v>5</v>
      </c>
      <c r="D17" s="34">
        <v>37015</v>
      </c>
      <c r="E17" s="32">
        <v>10000</v>
      </c>
      <c r="F17" s="32">
        <v>1</v>
      </c>
      <c r="G17" s="32">
        <v>1</v>
      </c>
      <c r="H17" s="32"/>
      <c r="I17" s="37"/>
      <c r="J17" s="32"/>
      <c r="K17" s="32"/>
      <c r="L17" s="32"/>
      <c r="M17" s="32"/>
      <c r="N17" s="37"/>
      <c r="O17" s="32"/>
      <c r="P17" s="32"/>
      <c r="Q17" s="32"/>
      <c r="R17" s="32"/>
      <c r="S17" s="37"/>
      <c r="T17" s="32"/>
      <c r="U17" s="32"/>
      <c r="V17" s="32"/>
    </row>
    <row r="18" spans="1:22">
      <c r="A18" s="35">
        <v>101</v>
      </c>
      <c r="B18" s="35">
        <v>1</v>
      </c>
      <c r="C18" s="33">
        <v>5</v>
      </c>
      <c r="D18" s="36" t="s">
        <v>1653</v>
      </c>
      <c r="E18" s="35">
        <v>10000</v>
      </c>
      <c r="F18" s="32">
        <v>1</v>
      </c>
      <c r="G18" s="32">
        <v>1</v>
      </c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</row>
    <row r="19" spans="1:22">
      <c r="A19" s="35">
        <v>102</v>
      </c>
      <c r="B19" s="35">
        <v>1</v>
      </c>
      <c r="C19" s="33">
        <v>5</v>
      </c>
      <c r="D19" s="36" t="s">
        <v>1654</v>
      </c>
      <c r="E19" s="35">
        <v>10000</v>
      </c>
      <c r="F19" s="32">
        <v>1</v>
      </c>
      <c r="G19" s="32">
        <v>1</v>
      </c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22">
      <c r="A20" s="35">
        <v>103</v>
      </c>
      <c r="B20" s="35">
        <v>1</v>
      </c>
      <c r="C20" s="33">
        <v>5</v>
      </c>
      <c r="D20" s="36" t="s">
        <v>1655</v>
      </c>
      <c r="E20" s="35">
        <v>10000</v>
      </c>
      <c r="F20" s="32">
        <v>1</v>
      </c>
      <c r="G20" s="32">
        <v>1</v>
      </c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22">
      <c r="A21" s="35">
        <v>104</v>
      </c>
      <c r="B21" s="35">
        <v>1</v>
      </c>
      <c r="C21" s="33">
        <v>5</v>
      </c>
      <c r="D21" s="36" t="s">
        <v>1656</v>
      </c>
      <c r="E21" s="35">
        <v>10000</v>
      </c>
      <c r="F21" s="32">
        <v>1</v>
      </c>
      <c r="G21" s="32">
        <v>1</v>
      </c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22">
      <c r="A22" s="35">
        <v>105</v>
      </c>
      <c r="B22" s="35">
        <v>1</v>
      </c>
      <c r="C22" s="33">
        <v>5</v>
      </c>
      <c r="D22" s="36" t="s">
        <v>1657</v>
      </c>
      <c r="E22" s="35">
        <v>10000</v>
      </c>
      <c r="F22" s="32">
        <v>1</v>
      </c>
      <c r="G22" s="32">
        <v>1</v>
      </c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22">
      <c r="A23" s="35">
        <v>106</v>
      </c>
      <c r="B23" s="35">
        <v>1</v>
      </c>
      <c r="C23" s="33">
        <v>5</v>
      </c>
      <c r="D23" s="36" t="s">
        <v>1658</v>
      </c>
      <c r="E23" s="35">
        <v>10000</v>
      </c>
      <c r="F23" s="32">
        <v>1</v>
      </c>
      <c r="G23" s="32">
        <v>1</v>
      </c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22">
      <c r="A24" s="35">
        <v>107</v>
      </c>
      <c r="B24" s="35">
        <v>1</v>
      </c>
      <c r="C24" s="33">
        <v>5</v>
      </c>
      <c r="D24" s="36" t="s">
        <v>1659</v>
      </c>
      <c r="E24" s="35">
        <v>10000</v>
      </c>
      <c r="F24" s="32">
        <v>1</v>
      </c>
      <c r="G24" s="32">
        <v>1</v>
      </c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22">
      <c r="A25" s="35">
        <v>150</v>
      </c>
      <c r="B25" s="35">
        <v>1</v>
      </c>
      <c r="C25" s="33">
        <v>5</v>
      </c>
      <c r="D25" s="37" t="s">
        <v>1660</v>
      </c>
      <c r="E25" s="35">
        <v>10000</v>
      </c>
      <c r="F25" s="32">
        <v>1</v>
      </c>
      <c r="G25" s="32">
        <v>1</v>
      </c>
      <c r="H25" s="32"/>
      <c r="I25" s="37"/>
      <c r="J25" s="32"/>
      <c r="K25" s="32"/>
      <c r="L25" s="32"/>
      <c r="M25" s="32"/>
      <c r="N25" s="37"/>
      <c r="O25" s="32"/>
      <c r="P25" s="32"/>
      <c r="Q25" s="32"/>
      <c r="R25" s="32"/>
      <c r="S25" s="37"/>
      <c r="T25" s="32"/>
      <c r="U25" s="32"/>
      <c r="V25" s="32"/>
    </row>
    <row r="26" spans="1:22">
      <c r="A26" s="35">
        <v>151</v>
      </c>
      <c r="B26" s="35">
        <v>1</v>
      </c>
      <c r="C26" s="33">
        <v>5</v>
      </c>
      <c r="D26" s="37" t="s">
        <v>1661</v>
      </c>
      <c r="E26" s="35">
        <v>10000</v>
      </c>
      <c r="F26" s="32">
        <v>1</v>
      </c>
      <c r="G26" s="32">
        <v>1</v>
      </c>
      <c r="H26" s="32"/>
      <c r="I26" s="37"/>
      <c r="J26" s="32"/>
      <c r="K26" s="32"/>
      <c r="L26" s="32"/>
      <c r="M26" s="32"/>
      <c r="N26" s="37"/>
      <c r="O26" s="32"/>
      <c r="P26" s="32"/>
      <c r="Q26" s="32"/>
      <c r="R26" s="32"/>
      <c r="S26" s="37"/>
      <c r="T26" s="32"/>
      <c r="U26" s="32"/>
      <c r="V26" s="32"/>
    </row>
    <row r="27" spans="1:22">
      <c r="A27" s="35">
        <v>152</v>
      </c>
      <c r="B27" s="35">
        <v>1</v>
      </c>
      <c r="C27" s="33">
        <v>5</v>
      </c>
      <c r="D27" s="37" t="s">
        <v>1662</v>
      </c>
      <c r="E27" s="35">
        <v>10000</v>
      </c>
      <c r="F27" s="32">
        <v>1</v>
      </c>
      <c r="G27" s="32">
        <v>1</v>
      </c>
      <c r="H27" s="32"/>
      <c r="I27" s="37"/>
      <c r="J27" s="32"/>
      <c r="K27" s="32"/>
      <c r="L27" s="32"/>
      <c r="M27" s="32"/>
      <c r="N27" s="37"/>
      <c r="O27" s="32"/>
      <c r="P27" s="32"/>
      <c r="Q27" s="32"/>
      <c r="R27" s="32"/>
      <c r="S27" s="37"/>
      <c r="T27" s="32"/>
      <c r="U27" s="32"/>
      <c r="V27" s="32"/>
    </row>
    <row r="28" spans="1:22">
      <c r="A28" s="35">
        <v>153</v>
      </c>
      <c r="B28" s="35">
        <v>1</v>
      </c>
      <c r="C28" s="33">
        <v>5</v>
      </c>
      <c r="D28" s="37" t="s">
        <v>1663</v>
      </c>
      <c r="E28" s="35">
        <v>10000</v>
      </c>
      <c r="F28" s="32">
        <v>1</v>
      </c>
      <c r="G28" s="32">
        <v>1</v>
      </c>
      <c r="H28" s="32"/>
      <c r="I28" s="37"/>
      <c r="J28" s="32"/>
      <c r="K28" s="32"/>
      <c r="L28" s="32"/>
      <c r="M28" s="32"/>
      <c r="N28" s="37"/>
      <c r="O28" s="32"/>
      <c r="P28" s="32"/>
      <c r="Q28" s="32"/>
      <c r="R28" s="32"/>
      <c r="S28" s="37"/>
      <c r="T28" s="32"/>
      <c r="U28" s="32"/>
      <c r="V28" s="32"/>
    </row>
    <row r="29" spans="1:22">
      <c r="A29" s="35">
        <v>154</v>
      </c>
      <c r="B29" s="35">
        <v>1</v>
      </c>
      <c r="C29" s="38">
        <v>4</v>
      </c>
      <c r="D29" s="8" t="s">
        <v>3956</v>
      </c>
      <c r="E29" s="35">
        <v>10000</v>
      </c>
      <c r="F29" s="32">
        <v>15</v>
      </c>
      <c r="G29" s="32">
        <v>15</v>
      </c>
    </row>
    <row r="30" spans="1:22">
      <c r="A30" s="35">
        <v>155</v>
      </c>
      <c r="B30" s="35">
        <v>1</v>
      </c>
      <c r="C30" s="38">
        <v>4</v>
      </c>
      <c r="D30" s="8" t="s">
        <v>3956</v>
      </c>
      <c r="E30" s="35">
        <v>10000</v>
      </c>
      <c r="F30" s="32">
        <v>30</v>
      </c>
      <c r="G30" s="32">
        <v>30</v>
      </c>
    </row>
    <row r="31" spans="1:22">
      <c r="A31" s="35">
        <v>156</v>
      </c>
      <c r="B31" s="35">
        <v>1</v>
      </c>
      <c r="C31" s="38">
        <v>4</v>
      </c>
      <c r="D31" s="8" t="s">
        <v>3956</v>
      </c>
      <c r="E31" s="35">
        <v>10000</v>
      </c>
      <c r="F31" s="32">
        <v>100</v>
      </c>
      <c r="G31" s="32">
        <v>100</v>
      </c>
    </row>
    <row r="32" spans="1:22">
      <c r="A32" s="35">
        <v>157</v>
      </c>
      <c r="B32" s="35">
        <v>1</v>
      </c>
      <c r="C32" s="38">
        <v>4</v>
      </c>
      <c r="D32" s="8" t="s">
        <v>3956</v>
      </c>
      <c r="E32" s="35">
        <v>10000</v>
      </c>
      <c r="F32" s="32">
        <v>300</v>
      </c>
      <c r="G32" s="32">
        <v>300</v>
      </c>
    </row>
    <row r="33" spans="1:7">
      <c r="A33" s="35">
        <v>158</v>
      </c>
      <c r="B33" s="35">
        <v>1</v>
      </c>
      <c r="C33" s="38">
        <v>4</v>
      </c>
      <c r="D33" s="8" t="s">
        <v>3956</v>
      </c>
      <c r="E33" s="35">
        <v>10000</v>
      </c>
      <c r="F33" s="32">
        <v>1000</v>
      </c>
      <c r="G33" s="32">
        <v>1000</v>
      </c>
    </row>
    <row r="34" spans="1:7">
      <c r="A34" s="39">
        <v>159</v>
      </c>
      <c r="B34" s="35">
        <v>1</v>
      </c>
      <c r="C34" s="33">
        <v>5</v>
      </c>
      <c r="D34" s="8" t="s">
        <v>1664</v>
      </c>
      <c r="E34" s="35">
        <v>10000</v>
      </c>
      <c r="F34" s="32">
        <v>1</v>
      </c>
      <c r="G34" s="32">
        <v>1</v>
      </c>
    </row>
    <row r="35" spans="1:7">
      <c r="A35" s="39">
        <v>160</v>
      </c>
      <c r="B35" s="35">
        <v>1</v>
      </c>
      <c r="C35" s="33">
        <v>5</v>
      </c>
      <c r="D35" s="8" t="s">
        <v>1665</v>
      </c>
      <c r="E35" s="35">
        <v>10000</v>
      </c>
      <c r="F35" s="32">
        <v>1</v>
      </c>
      <c r="G35" s="32">
        <v>1</v>
      </c>
    </row>
    <row r="36" spans="1:7">
      <c r="A36" s="39">
        <v>161</v>
      </c>
      <c r="B36" s="35">
        <v>1</v>
      </c>
      <c r="C36" s="33">
        <v>5</v>
      </c>
      <c r="D36" s="8" t="s">
        <v>1666</v>
      </c>
      <c r="E36" s="35">
        <v>10000</v>
      </c>
      <c r="F36" s="32">
        <v>1</v>
      </c>
      <c r="G36" s="32">
        <v>1</v>
      </c>
    </row>
    <row r="37" spans="1:7">
      <c r="A37" s="39">
        <v>162</v>
      </c>
      <c r="B37" s="35">
        <v>1</v>
      </c>
      <c r="C37" s="33">
        <v>5</v>
      </c>
      <c r="D37" s="8" t="s">
        <v>1667</v>
      </c>
      <c r="E37" s="35">
        <v>10000</v>
      </c>
      <c r="F37" s="32">
        <v>1</v>
      </c>
      <c r="G37" s="32">
        <v>1</v>
      </c>
    </row>
  </sheetData>
  <phoneticPr fontId="24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26"/>
  <sheetViews>
    <sheetView workbookViewId="0">
      <selection activeCell="F34" sqref="F34"/>
    </sheetView>
  </sheetViews>
  <sheetFormatPr defaultColWidth="9" defaultRowHeight="13.5"/>
  <cols>
    <col min="1" max="1" width="7.5" customWidth="1"/>
    <col min="2" max="2" width="8.5" customWidth="1"/>
    <col min="3" max="3" width="10.5" customWidth="1"/>
    <col min="4" max="5" width="9.5" customWidth="1"/>
  </cols>
  <sheetData>
    <row r="1" spans="1:5" ht="15" customHeight="1">
      <c r="A1" s="27" t="s">
        <v>1668</v>
      </c>
      <c r="B1" s="27" t="s">
        <v>1669</v>
      </c>
      <c r="C1" s="27" t="s">
        <v>1670</v>
      </c>
      <c r="D1" s="27" t="s">
        <v>1671</v>
      </c>
      <c r="E1" s="27" t="s">
        <v>1672</v>
      </c>
    </row>
    <row r="2" spans="1:5" ht="15" customHeight="1">
      <c r="A2" s="28">
        <v>7006</v>
      </c>
      <c r="B2" s="28">
        <v>4</v>
      </c>
      <c r="C2" s="28">
        <v>8006</v>
      </c>
      <c r="D2" s="28">
        <v>1</v>
      </c>
      <c r="E2" s="19">
        <v>0</v>
      </c>
    </row>
    <row r="3" spans="1:5" ht="15" customHeight="1">
      <c r="A3" s="28">
        <v>7007</v>
      </c>
      <c r="B3" s="28">
        <v>4</v>
      </c>
      <c r="C3" s="28">
        <v>8007</v>
      </c>
      <c r="D3" s="28">
        <v>1</v>
      </c>
      <c r="E3" s="19">
        <v>0</v>
      </c>
    </row>
    <row r="4" spans="1:5" ht="15" customHeight="1">
      <c r="A4" s="28">
        <v>7008</v>
      </c>
      <c r="B4" s="28">
        <v>4</v>
      </c>
      <c r="C4" s="28">
        <v>8008</v>
      </c>
      <c r="D4" s="28">
        <v>1</v>
      </c>
      <c r="E4" s="19">
        <v>0</v>
      </c>
    </row>
    <row r="5" spans="1:5" ht="15" customHeight="1">
      <c r="A5" s="28">
        <v>7009</v>
      </c>
      <c r="B5" s="28">
        <v>4</v>
      </c>
      <c r="C5" s="28">
        <v>8009</v>
      </c>
      <c r="D5" s="28">
        <v>1</v>
      </c>
      <c r="E5" s="19">
        <v>0</v>
      </c>
    </row>
    <row r="6" spans="1:5" ht="15" customHeight="1">
      <c r="A6" s="28">
        <v>7010</v>
      </c>
      <c r="B6" s="28">
        <v>4</v>
      </c>
      <c r="C6" s="28">
        <v>8010</v>
      </c>
      <c r="D6" s="28">
        <v>1</v>
      </c>
      <c r="E6" s="19">
        <v>0</v>
      </c>
    </row>
    <row r="7" spans="1:5" ht="15" customHeight="1">
      <c r="A7" s="28">
        <v>7011</v>
      </c>
      <c r="B7" s="28">
        <v>16</v>
      </c>
      <c r="C7" s="28">
        <v>8011</v>
      </c>
      <c r="D7" s="28">
        <v>1</v>
      </c>
      <c r="E7" s="19">
        <v>0</v>
      </c>
    </row>
    <row r="8" spans="1:5" ht="15" customHeight="1">
      <c r="A8" s="28">
        <v>7012</v>
      </c>
      <c r="B8" s="28">
        <v>16</v>
      </c>
      <c r="C8" s="28">
        <v>8012</v>
      </c>
      <c r="D8" s="28">
        <v>1</v>
      </c>
      <c r="E8" s="19">
        <v>0</v>
      </c>
    </row>
    <row r="9" spans="1:5" ht="15" customHeight="1">
      <c r="A9" s="28">
        <v>7013</v>
      </c>
      <c r="B9" s="28">
        <v>16</v>
      </c>
      <c r="C9" s="28">
        <v>8013</v>
      </c>
      <c r="D9" s="28">
        <v>1</v>
      </c>
      <c r="E9" s="19">
        <v>0</v>
      </c>
    </row>
    <row r="10" spans="1:5" ht="15" customHeight="1">
      <c r="A10" s="28">
        <v>7014</v>
      </c>
      <c r="B10" s="28">
        <v>16</v>
      </c>
      <c r="C10" s="28">
        <v>8014</v>
      </c>
      <c r="D10" s="28">
        <v>1</v>
      </c>
      <c r="E10" s="19">
        <v>0</v>
      </c>
    </row>
    <row r="11" spans="1:5">
      <c r="A11" s="28">
        <v>7015</v>
      </c>
      <c r="B11" s="28">
        <v>16</v>
      </c>
      <c r="C11" s="28">
        <v>8015</v>
      </c>
      <c r="D11" s="28">
        <v>1</v>
      </c>
      <c r="E11" s="19">
        <v>0</v>
      </c>
    </row>
    <row r="12" spans="1:5">
      <c r="A12" s="28">
        <v>7016</v>
      </c>
      <c r="B12" s="28">
        <v>70</v>
      </c>
      <c r="C12" s="28">
        <v>8016</v>
      </c>
      <c r="D12" s="28">
        <v>1</v>
      </c>
      <c r="E12" s="19">
        <v>0</v>
      </c>
    </row>
    <row r="13" spans="1:5">
      <c r="A13" s="28">
        <v>7017</v>
      </c>
      <c r="B13" s="28">
        <v>70</v>
      </c>
      <c r="C13" s="28">
        <v>8017</v>
      </c>
      <c r="D13" s="28">
        <v>1</v>
      </c>
      <c r="E13" s="19">
        <v>0</v>
      </c>
    </row>
    <row r="14" spans="1:5">
      <c r="A14" s="28">
        <v>7018</v>
      </c>
      <c r="B14" s="28">
        <v>70</v>
      </c>
      <c r="C14" s="28">
        <v>8018</v>
      </c>
      <c r="D14" s="28">
        <v>1</v>
      </c>
      <c r="E14" s="19">
        <v>0</v>
      </c>
    </row>
    <row r="15" spans="1:5">
      <c r="A15" s="28">
        <v>7019</v>
      </c>
      <c r="B15" s="28">
        <v>70</v>
      </c>
      <c r="C15" s="28">
        <v>8019</v>
      </c>
      <c r="D15" s="28">
        <v>1</v>
      </c>
      <c r="E15" s="19">
        <v>0</v>
      </c>
    </row>
    <row r="16" spans="1:5">
      <c r="A16" s="28">
        <v>7020</v>
      </c>
      <c r="B16" s="28">
        <v>70</v>
      </c>
      <c r="C16" s="28">
        <v>8020</v>
      </c>
      <c r="D16" s="28">
        <v>1</v>
      </c>
      <c r="E16" s="19">
        <v>0</v>
      </c>
    </row>
    <row r="17" spans="1:5">
      <c r="A17" s="28">
        <v>7021</v>
      </c>
      <c r="B17" s="28">
        <v>26</v>
      </c>
      <c r="C17" s="28">
        <v>8021</v>
      </c>
      <c r="D17" s="28">
        <v>1</v>
      </c>
      <c r="E17" s="19">
        <v>0</v>
      </c>
    </row>
    <row r="18" spans="1:5">
      <c r="A18" s="28">
        <v>7022</v>
      </c>
      <c r="B18" s="28">
        <v>26</v>
      </c>
      <c r="C18" s="28">
        <v>8022</v>
      </c>
      <c r="D18" s="28">
        <v>1</v>
      </c>
      <c r="E18" s="19">
        <v>0</v>
      </c>
    </row>
    <row r="19" spans="1:5">
      <c r="A19" s="28">
        <v>7023</v>
      </c>
      <c r="B19" s="28">
        <v>26</v>
      </c>
      <c r="C19" s="28">
        <v>8023</v>
      </c>
      <c r="D19" s="28">
        <v>1</v>
      </c>
      <c r="E19" s="19">
        <v>0</v>
      </c>
    </row>
    <row r="20" spans="1:5">
      <c r="A20" s="28">
        <v>7024</v>
      </c>
      <c r="B20" s="28">
        <v>26</v>
      </c>
      <c r="C20" s="28">
        <v>8024</v>
      </c>
      <c r="D20" s="28">
        <v>1</v>
      </c>
      <c r="E20" s="19">
        <v>0</v>
      </c>
    </row>
    <row r="21" spans="1:5">
      <c r="A21" s="28">
        <v>7025</v>
      </c>
      <c r="B21" s="28">
        <v>26</v>
      </c>
      <c r="C21" s="28">
        <v>8025</v>
      </c>
      <c r="D21" s="28">
        <v>1</v>
      </c>
      <c r="E21" s="19">
        <v>0</v>
      </c>
    </row>
    <row r="22" spans="1:5">
      <c r="A22" s="28">
        <v>7026</v>
      </c>
      <c r="B22" s="28">
        <v>90</v>
      </c>
      <c r="C22" s="28">
        <v>8026</v>
      </c>
      <c r="D22" s="28">
        <v>1</v>
      </c>
      <c r="E22" s="19">
        <v>0</v>
      </c>
    </row>
    <row r="23" spans="1:5">
      <c r="A23" s="28">
        <v>7027</v>
      </c>
      <c r="B23" s="28">
        <v>90</v>
      </c>
      <c r="C23" s="28">
        <v>8027</v>
      </c>
      <c r="D23" s="28">
        <v>1</v>
      </c>
      <c r="E23" s="19">
        <v>0</v>
      </c>
    </row>
    <row r="24" spans="1:5">
      <c r="A24" s="28">
        <v>7028</v>
      </c>
      <c r="B24" s="28">
        <v>90</v>
      </c>
      <c r="C24" s="28">
        <v>8028</v>
      </c>
      <c r="D24" s="28">
        <v>1</v>
      </c>
      <c r="E24" s="19">
        <v>0</v>
      </c>
    </row>
    <row r="25" spans="1:5">
      <c r="A25" s="28">
        <v>7029</v>
      </c>
      <c r="B25" s="28">
        <v>90</v>
      </c>
      <c r="C25" s="28">
        <v>8029</v>
      </c>
      <c r="D25" s="28">
        <v>1</v>
      </c>
      <c r="E25" s="19">
        <v>0</v>
      </c>
    </row>
    <row r="26" spans="1:5">
      <c r="A26" s="28">
        <v>7030</v>
      </c>
      <c r="B26" s="28">
        <v>90</v>
      </c>
      <c r="C26" s="28">
        <v>8030</v>
      </c>
      <c r="D26" s="28">
        <v>1</v>
      </c>
      <c r="E26" s="19">
        <v>0</v>
      </c>
    </row>
  </sheetData>
  <phoneticPr fontId="24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H2403"/>
  <sheetViews>
    <sheetView workbookViewId="0">
      <selection activeCell="D27" sqref="D27"/>
    </sheetView>
  </sheetViews>
  <sheetFormatPr defaultColWidth="9" defaultRowHeight="13.5"/>
  <cols>
    <col min="2" max="2" width="9" style="7"/>
    <col min="4" max="4" width="33.875" style="8" customWidth="1"/>
    <col min="5" max="5" width="16.25" customWidth="1"/>
    <col min="6" max="6" width="19.375" customWidth="1"/>
    <col min="7" max="7" width="15" customWidth="1"/>
  </cols>
  <sheetData>
    <row r="1" spans="1:8" ht="24.95" customHeight="1">
      <c r="A1" s="9" t="s">
        <v>0</v>
      </c>
      <c r="B1" s="10" t="s">
        <v>1</v>
      </c>
      <c r="C1" s="9" t="s">
        <v>1673</v>
      </c>
      <c r="D1" s="9" t="s">
        <v>1674</v>
      </c>
      <c r="E1" s="11" t="s">
        <v>1675</v>
      </c>
      <c r="F1" s="11" t="s">
        <v>1676</v>
      </c>
      <c r="G1" s="11" t="s">
        <v>18</v>
      </c>
    </row>
    <row r="2" spans="1:8" ht="15" customHeight="1">
      <c r="A2" s="12" t="s">
        <v>48</v>
      </c>
      <c r="B2" s="13" t="s">
        <v>1677</v>
      </c>
      <c r="C2" s="14">
        <v>1</v>
      </c>
      <c r="D2" s="14">
        <v>4</v>
      </c>
      <c r="E2" s="14">
        <v>7</v>
      </c>
      <c r="F2" s="13">
        <v>8</v>
      </c>
      <c r="G2" s="14">
        <v>9</v>
      </c>
    </row>
    <row r="3" spans="1:8" ht="15" customHeight="1">
      <c r="A3" s="15" t="s">
        <v>48</v>
      </c>
      <c r="B3" s="16" t="s">
        <v>1678</v>
      </c>
      <c r="C3" s="14"/>
      <c r="D3" s="14"/>
      <c r="E3" s="14" t="s">
        <v>1679</v>
      </c>
      <c r="F3" s="13" t="s">
        <v>1680</v>
      </c>
      <c r="G3" s="14" t="s">
        <v>1681</v>
      </c>
    </row>
    <row r="4" spans="1:8" ht="15" customHeight="1">
      <c r="A4" s="17"/>
      <c r="B4" s="18">
        <v>8001</v>
      </c>
      <c r="C4" s="17">
        <v>1</v>
      </c>
      <c r="D4" s="17" t="s">
        <v>1682</v>
      </c>
      <c r="E4" s="17">
        <v>2</v>
      </c>
      <c r="F4" s="19">
        <v>0</v>
      </c>
      <c r="G4" s="19">
        <v>0</v>
      </c>
      <c r="H4" s="8"/>
    </row>
    <row r="5" spans="1:8" ht="15" customHeight="1">
      <c r="A5" s="17"/>
      <c r="B5" s="18">
        <v>8001</v>
      </c>
      <c r="C5" s="17">
        <v>2</v>
      </c>
      <c r="D5" s="17" t="s">
        <v>1683</v>
      </c>
      <c r="E5" s="17">
        <v>3</v>
      </c>
      <c r="F5" s="19">
        <v>88</v>
      </c>
      <c r="G5" s="19">
        <v>88</v>
      </c>
      <c r="H5" s="8"/>
    </row>
    <row r="6" spans="1:8" ht="15" customHeight="1">
      <c r="A6" s="17"/>
      <c r="B6" s="18">
        <v>8001</v>
      </c>
      <c r="C6" s="17">
        <v>3</v>
      </c>
      <c r="D6" s="17" t="s">
        <v>1684</v>
      </c>
      <c r="E6" s="17">
        <v>4</v>
      </c>
      <c r="F6" s="19">
        <v>184</v>
      </c>
      <c r="G6" s="19">
        <v>272</v>
      </c>
      <c r="H6" s="8"/>
    </row>
    <row r="7" spans="1:8" ht="15" customHeight="1">
      <c r="A7" s="17"/>
      <c r="B7" s="18">
        <v>8001</v>
      </c>
      <c r="C7" s="17">
        <v>4</v>
      </c>
      <c r="D7" s="17" t="s">
        <v>1685</v>
      </c>
      <c r="E7" s="17">
        <v>5</v>
      </c>
      <c r="F7" s="19">
        <v>288</v>
      </c>
      <c r="G7" s="19">
        <v>560</v>
      </c>
      <c r="H7" s="8"/>
    </row>
    <row r="8" spans="1:8" ht="15" customHeight="1">
      <c r="A8" s="17"/>
      <c r="B8" s="18">
        <v>8001</v>
      </c>
      <c r="C8" s="17">
        <v>5</v>
      </c>
      <c r="D8" s="17" t="s">
        <v>1686</v>
      </c>
      <c r="E8" s="17">
        <v>6</v>
      </c>
      <c r="F8" s="19">
        <v>400</v>
      </c>
      <c r="G8" s="19">
        <v>960</v>
      </c>
      <c r="H8" s="8"/>
    </row>
    <row r="9" spans="1:8" ht="15" customHeight="1">
      <c r="A9" s="17"/>
      <c r="B9" s="18">
        <v>8001</v>
      </c>
      <c r="C9" s="17">
        <v>6</v>
      </c>
      <c r="D9" s="17" t="s">
        <v>1687</v>
      </c>
      <c r="E9" s="17">
        <v>7</v>
      </c>
      <c r="F9" s="19">
        <v>523</v>
      </c>
      <c r="G9" s="19">
        <v>1483</v>
      </c>
      <c r="H9" s="8"/>
    </row>
    <row r="10" spans="1:8" ht="15" customHeight="1">
      <c r="A10" s="17"/>
      <c r="B10" s="18">
        <v>8001</v>
      </c>
      <c r="C10" s="17">
        <v>7</v>
      </c>
      <c r="D10" s="17" t="s">
        <v>1688</v>
      </c>
      <c r="E10" s="17">
        <v>8</v>
      </c>
      <c r="F10" s="19">
        <v>656</v>
      </c>
      <c r="G10" s="19">
        <v>2139</v>
      </c>
      <c r="H10" s="8"/>
    </row>
    <row r="11" spans="1:8" ht="15" customHeight="1">
      <c r="A11" s="17"/>
      <c r="B11" s="18">
        <v>8001</v>
      </c>
      <c r="C11" s="17">
        <v>8</v>
      </c>
      <c r="D11" s="17" t="s">
        <v>1689</v>
      </c>
      <c r="E11" s="17">
        <v>9</v>
      </c>
      <c r="F11" s="19">
        <v>804</v>
      </c>
      <c r="G11" s="19">
        <v>2943</v>
      </c>
      <c r="H11" s="8"/>
    </row>
    <row r="12" spans="1:8" ht="15" customHeight="1">
      <c r="A12" s="17"/>
      <c r="B12" s="18">
        <v>8001</v>
      </c>
      <c r="C12" s="17">
        <v>9</v>
      </c>
      <c r="D12" s="17" t="s">
        <v>1690</v>
      </c>
      <c r="E12" s="17">
        <v>10</v>
      </c>
      <c r="F12" s="19">
        <v>971</v>
      </c>
      <c r="G12" s="19">
        <v>3914</v>
      </c>
      <c r="H12" s="8"/>
    </row>
    <row r="13" spans="1:8" ht="15" customHeight="1">
      <c r="A13" s="17"/>
      <c r="B13" s="18">
        <v>8001</v>
      </c>
      <c r="C13" s="17">
        <v>10</v>
      </c>
      <c r="D13" s="17" t="s">
        <v>1691</v>
      </c>
      <c r="E13" s="17">
        <v>11</v>
      </c>
      <c r="F13" s="19">
        <v>1162</v>
      </c>
      <c r="G13" s="19">
        <v>5076</v>
      </c>
      <c r="H13" s="8"/>
    </row>
    <row r="14" spans="1:8" ht="15" customHeight="1">
      <c r="A14" s="17"/>
      <c r="B14" s="18">
        <v>8001</v>
      </c>
      <c r="C14" s="17">
        <v>11</v>
      </c>
      <c r="D14" s="17" t="s">
        <v>1692</v>
      </c>
      <c r="E14" s="17">
        <v>12</v>
      </c>
      <c r="F14" s="19">
        <v>1385</v>
      </c>
      <c r="G14" s="19">
        <v>6461</v>
      </c>
      <c r="H14" s="8"/>
    </row>
    <row r="15" spans="1:8" ht="15" customHeight="1">
      <c r="A15" s="17"/>
      <c r="B15" s="18">
        <v>8001</v>
      </c>
      <c r="C15" s="17">
        <v>12</v>
      </c>
      <c r="D15" s="17" t="s">
        <v>1693</v>
      </c>
      <c r="E15" s="17">
        <v>13</v>
      </c>
      <c r="F15" s="19">
        <v>1650</v>
      </c>
      <c r="G15" s="19">
        <v>8111</v>
      </c>
      <c r="H15" s="8"/>
    </row>
    <row r="16" spans="1:8" ht="15" customHeight="1">
      <c r="A16" s="17"/>
      <c r="B16" s="18">
        <v>8001</v>
      </c>
      <c r="C16" s="17">
        <v>13</v>
      </c>
      <c r="D16" s="17" t="s">
        <v>1694</v>
      </c>
      <c r="E16" s="17">
        <v>14</v>
      </c>
      <c r="F16" s="19">
        <v>1969</v>
      </c>
      <c r="G16" s="19">
        <v>10080</v>
      </c>
      <c r="H16" s="8"/>
    </row>
    <row r="17" spans="1:8" ht="15" customHeight="1">
      <c r="A17" s="17"/>
      <c r="B17" s="18">
        <v>8001</v>
      </c>
      <c r="C17" s="17">
        <v>14</v>
      </c>
      <c r="D17" s="17" t="s">
        <v>1695</v>
      </c>
      <c r="E17" s="17">
        <v>15</v>
      </c>
      <c r="F17" s="19">
        <v>2359</v>
      </c>
      <c r="G17" s="19">
        <v>12439</v>
      </c>
      <c r="H17" s="8"/>
    </row>
    <row r="18" spans="1:8" ht="15" customHeight="1">
      <c r="A18" s="20"/>
      <c r="B18" s="18">
        <v>8001</v>
      </c>
      <c r="C18" s="17">
        <v>15</v>
      </c>
      <c r="D18" s="17" t="s">
        <v>1696</v>
      </c>
      <c r="E18" s="17">
        <v>16</v>
      </c>
      <c r="F18" s="19">
        <v>2838</v>
      </c>
      <c r="G18" s="19">
        <v>15277</v>
      </c>
      <c r="H18" s="8"/>
    </row>
    <row r="19" spans="1:8" ht="15" customHeight="1">
      <c r="A19" s="20"/>
      <c r="B19" s="18">
        <v>8001</v>
      </c>
      <c r="C19" s="17">
        <v>16</v>
      </c>
      <c r="D19" s="17" t="s">
        <v>1697</v>
      </c>
      <c r="E19" s="17">
        <v>17</v>
      </c>
      <c r="F19" s="19">
        <v>3430</v>
      </c>
      <c r="G19" s="19">
        <v>18707</v>
      </c>
      <c r="H19" s="8"/>
    </row>
    <row r="20" spans="1:8" ht="15" customHeight="1">
      <c r="A20" s="20"/>
      <c r="B20" s="18">
        <v>8001</v>
      </c>
      <c r="C20" s="17">
        <v>17</v>
      </c>
      <c r="D20" s="17" t="s">
        <v>1698</v>
      </c>
      <c r="E20" s="17">
        <v>18</v>
      </c>
      <c r="F20" s="19">
        <v>4162</v>
      </c>
      <c r="G20" s="19">
        <v>22869</v>
      </c>
      <c r="H20" s="8"/>
    </row>
    <row r="21" spans="1:8" ht="15" customHeight="1">
      <c r="A21" s="20"/>
      <c r="B21" s="18">
        <v>8001</v>
      </c>
      <c r="C21" s="17">
        <v>18</v>
      </c>
      <c r="D21" s="17" t="s">
        <v>1699</v>
      </c>
      <c r="E21" s="17">
        <v>19</v>
      </c>
      <c r="F21" s="19">
        <v>5066</v>
      </c>
      <c r="G21" s="19">
        <v>27935</v>
      </c>
      <c r="H21" s="8"/>
    </row>
    <row r="22" spans="1:8" ht="15" customHeight="1">
      <c r="A22" s="20"/>
      <c r="B22" s="18">
        <v>8001</v>
      </c>
      <c r="C22" s="17">
        <v>19</v>
      </c>
      <c r="D22" s="17" t="s">
        <v>1700</v>
      </c>
      <c r="E22" s="17">
        <v>20</v>
      </c>
      <c r="F22" s="19">
        <v>6180</v>
      </c>
      <c r="G22" s="19">
        <v>34115</v>
      </c>
      <c r="H22" s="8"/>
    </row>
    <row r="23" spans="1:8" ht="15" customHeight="1">
      <c r="A23" s="20"/>
      <c r="B23" s="18">
        <v>8001</v>
      </c>
      <c r="C23" s="17">
        <v>20</v>
      </c>
      <c r="D23" s="17" t="s">
        <v>1701</v>
      </c>
      <c r="E23" s="17">
        <v>21</v>
      </c>
      <c r="F23" s="19">
        <v>7548</v>
      </c>
      <c r="G23" s="19">
        <v>41663</v>
      </c>
      <c r="H23" s="8"/>
    </row>
    <row r="24" spans="1:8" ht="15" customHeight="1">
      <c r="A24" s="20"/>
      <c r="B24" s="18">
        <v>8001</v>
      </c>
      <c r="C24" s="17">
        <v>21</v>
      </c>
      <c r="D24" s="17" t="s">
        <v>1702</v>
      </c>
      <c r="E24" s="17">
        <v>22</v>
      </c>
      <c r="F24" s="19">
        <v>9219</v>
      </c>
      <c r="G24" s="19">
        <v>50882</v>
      </c>
      <c r="H24" s="8"/>
    </row>
    <row r="25" spans="1:8" ht="15" customHeight="1">
      <c r="A25" s="20"/>
      <c r="B25" s="18">
        <v>8001</v>
      </c>
      <c r="C25" s="17">
        <v>22</v>
      </c>
      <c r="D25" s="17" t="s">
        <v>1703</v>
      </c>
      <c r="E25" s="17">
        <v>23</v>
      </c>
      <c r="F25" s="19">
        <v>11249</v>
      </c>
      <c r="G25" s="19">
        <v>62131</v>
      </c>
      <c r="H25" s="8"/>
    </row>
    <row r="26" spans="1:8" ht="15" customHeight="1">
      <c r="A26" s="20"/>
      <c r="B26" s="18">
        <v>8001</v>
      </c>
      <c r="C26" s="17">
        <v>23</v>
      </c>
      <c r="D26" s="17" t="s">
        <v>1704</v>
      </c>
      <c r="E26" s="17">
        <v>24</v>
      </c>
      <c r="F26" s="19">
        <v>13702</v>
      </c>
      <c r="G26" s="19">
        <v>75833</v>
      </c>
      <c r="H26" s="8"/>
    </row>
    <row r="27" spans="1:8" ht="15" customHeight="1">
      <c r="A27" s="20"/>
      <c r="B27" s="18">
        <v>8001</v>
      </c>
      <c r="C27" s="17">
        <v>24</v>
      </c>
      <c r="D27" s="17" t="s">
        <v>1705</v>
      </c>
      <c r="E27" s="17">
        <v>25</v>
      </c>
      <c r="F27" s="19">
        <v>16650</v>
      </c>
      <c r="G27" s="19">
        <v>92483</v>
      </c>
      <c r="H27" s="8"/>
    </row>
    <row r="28" spans="1:8" ht="15" customHeight="1">
      <c r="A28" s="20"/>
      <c r="B28" s="18">
        <v>8001</v>
      </c>
      <c r="C28" s="17">
        <v>25</v>
      </c>
      <c r="D28" s="17" t="s">
        <v>1706</v>
      </c>
      <c r="E28" s="17">
        <v>26</v>
      </c>
      <c r="F28" s="19">
        <v>20172</v>
      </c>
      <c r="G28" s="19">
        <v>112655</v>
      </c>
      <c r="H28" s="8"/>
    </row>
    <row r="29" spans="1:8" ht="15" customHeight="1">
      <c r="A29" s="20"/>
      <c r="B29" s="18">
        <v>8001</v>
      </c>
      <c r="C29" s="17">
        <v>26</v>
      </c>
      <c r="D29" s="17" t="s">
        <v>1707</v>
      </c>
      <c r="E29" s="17">
        <v>27</v>
      </c>
      <c r="F29" s="19">
        <v>24358</v>
      </c>
      <c r="G29" s="19">
        <v>137013</v>
      </c>
      <c r="H29" s="8"/>
    </row>
    <row r="30" spans="1:8" ht="15" customHeight="1">
      <c r="A30" s="20"/>
      <c r="B30" s="18">
        <v>8001</v>
      </c>
      <c r="C30" s="17">
        <v>27</v>
      </c>
      <c r="D30" s="17" t="s">
        <v>1708</v>
      </c>
      <c r="E30" s="17">
        <v>28</v>
      </c>
      <c r="F30" s="19">
        <v>29306</v>
      </c>
      <c r="G30" s="19">
        <v>166319</v>
      </c>
      <c r="H30" s="8"/>
    </row>
    <row r="31" spans="1:8" ht="15" customHeight="1">
      <c r="A31" s="20"/>
      <c r="B31" s="18">
        <v>8001</v>
      </c>
      <c r="C31" s="17">
        <v>28</v>
      </c>
      <c r="D31" s="17" t="s">
        <v>1709</v>
      </c>
      <c r="E31" s="17">
        <v>29</v>
      </c>
      <c r="F31" s="19">
        <v>35124</v>
      </c>
      <c r="G31" s="19">
        <v>201443</v>
      </c>
      <c r="H31" s="8"/>
    </row>
    <row r="32" spans="1:8" ht="15" customHeight="1">
      <c r="A32" s="20"/>
      <c r="B32" s="18">
        <v>8001</v>
      </c>
      <c r="C32" s="17">
        <v>29</v>
      </c>
      <c r="D32" s="17" t="s">
        <v>1710</v>
      </c>
      <c r="E32" s="17">
        <v>30</v>
      </c>
      <c r="F32" s="19">
        <v>41933</v>
      </c>
      <c r="G32" s="19">
        <v>243376</v>
      </c>
      <c r="H32" s="8"/>
    </row>
    <row r="33" spans="1:8" ht="15" customHeight="1">
      <c r="A33" s="20"/>
      <c r="B33" s="18">
        <v>8001</v>
      </c>
      <c r="C33" s="17">
        <v>30</v>
      </c>
      <c r="D33" s="17" t="s">
        <v>1711</v>
      </c>
      <c r="E33" s="17">
        <v>31</v>
      </c>
      <c r="F33" s="19">
        <v>49863</v>
      </c>
      <c r="G33" s="19">
        <v>293239</v>
      </c>
      <c r="H33" s="8"/>
    </row>
    <row r="34" spans="1:8" ht="15" customHeight="1">
      <c r="A34" s="20"/>
      <c r="B34" s="18">
        <v>8001</v>
      </c>
      <c r="C34" s="17">
        <v>31</v>
      </c>
      <c r="D34" s="17" t="s">
        <v>1712</v>
      </c>
      <c r="E34" s="17">
        <v>32</v>
      </c>
      <c r="F34" s="19">
        <v>59056</v>
      </c>
      <c r="G34" s="19">
        <v>352295</v>
      </c>
      <c r="H34" s="8"/>
    </row>
    <row r="35" spans="1:8" ht="15" customHeight="1">
      <c r="A35" s="20"/>
      <c r="B35" s="18">
        <v>8001</v>
      </c>
      <c r="C35" s="17">
        <v>32</v>
      </c>
      <c r="D35" s="17" t="s">
        <v>1713</v>
      </c>
      <c r="E35" s="17">
        <v>33</v>
      </c>
      <c r="F35" s="19">
        <v>69667</v>
      </c>
      <c r="G35" s="19">
        <v>421962</v>
      </c>
      <c r="H35" s="8"/>
    </row>
    <row r="36" spans="1:8" ht="15" customHeight="1">
      <c r="A36" s="20"/>
      <c r="B36" s="18">
        <v>8001</v>
      </c>
      <c r="C36" s="17">
        <v>33</v>
      </c>
      <c r="D36" s="17" t="s">
        <v>1714</v>
      </c>
      <c r="E36" s="17">
        <v>34</v>
      </c>
      <c r="F36" s="19">
        <v>81866</v>
      </c>
      <c r="G36" s="19">
        <v>503828</v>
      </c>
      <c r="H36" s="8"/>
    </row>
    <row r="37" spans="1:8" ht="15" customHeight="1">
      <c r="A37" s="20"/>
      <c r="B37" s="18">
        <v>8001</v>
      </c>
      <c r="C37" s="17">
        <v>34</v>
      </c>
      <c r="D37" s="17" t="s">
        <v>1715</v>
      </c>
      <c r="E37" s="17">
        <v>35</v>
      </c>
      <c r="F37" s="19">
        <v>95835</v>
      </c>
      <c r="G37" s="19">
        <v>599663</v>
      </c>
      <c r="H37" s="8"/>
    </row>
    <row r="38" spans="1:8" ht="15" customHeight="1">
      <c r="A38" s="20"/>
      <c r="B38" s="18">
        <v>8001</v>
      </c>
      <c r="C38" s="17">
        <v>35</v>
      </c>
      <c r="D38" s="17" t="s">
        <v>1716</v>
      </c>
      <c r="E38" s="17">
        <v>36</v>
      </c>
      <c r="F38" s="19">
        <v>111771</v>
      </c>
      <c r="G38" s="19">
        <v>711434</v>
      </c>
      <c r="H38" s="8"/>
    </row>
    <row r="39" spans="1:8" ht="15" customHeight="1">
      <c r="A39" s="20"/>
      <c r="B39" s="18">
        <v>8001</v>
      </c>
      <c r="C39" s="17">
        <v>36</v>
      </c>
      <c r="D39" s="17" t="s">
        <v>1717</v>
      </c>
      <c r="E39" s="17">
        <v>37</v>
      </c>
      <c r="F39" s="19">
        <v>129886</v>
      </c>
      <c r="G39" s="19">
        <v>841320</v>
      </c>
      <c r="H39" s="8"/>
    </row>
    <row r="40" spans="1:8" ht="15" customHeight="1">
      <c r="A40" s="20"/>
      <c r="B40" s="18">
        <v>8001</v>
      </c>
      <c r="C40" s="17">
        <v>37</v>
      </c>
      <c r="D40" s="17" t="s">
        <v>1718</v>
      </c>
      <c r="E40" s="17">
        <v>38</v>
      </c>
      <c r="F40" s="19">
        <v>150409</v>
      </c>
      <c r="G40" s="19">
        <v>991729</v>
      </c>
      <c r="H40" s="8"/>
    </row>
    <row r="41" spans="1:8" ht="15" customHeight="1">
      <c r="A41" s="20"/>
      <c r="B41" s="18">
        <v>8001</v>
      </c>
      <c r="C41" s="17">
        <v>38</v>
      </c>
      <c r="D41" s="17" t="s">
        <v>1719</v>
      </c>
      <c r="E41" s="17">
        <v>39</v>
      </c>
      <c r="F41" s="19">
        <v>173585</v>
      </c>
      <c r="G41" s="19">
        <v>1165314</v>
      </c>
      <c r="H41" s="8"/>
    </row>
    <row r="42" spans="1:8" ht="15" customHeight="1">
      <c r="A42" s="20"/>
      <c r="B42" s="18">
        <v>8001</v>
      </c>
      <c r="C42" s="17">
        <v>39</v>
      </c>
      <c r="D42" s="17" t="s">
        <v>1720</v>
      </c>
      <c r="E42" s="17">
        <v>40</v>
      </c>
      <c r="F42" s="19">
        <v>199676</v>
      </c>
      <c r="G42" s="19">
        <v>1364990</v>
      </c>
      <c r="H42" s="8"/>
    </row>
    <row r="43" spans="1:8" ht="15" customHeight="1">
      <c r="A43" s="20"/>
      <c r="B43" s="18">
        <v>8001</v>
      </c>
      <c r="C43" s="17">
        <v>40</v>
      </c>
      <c r="D43" s="17" t="s">
        <v>1721</v>
      </c>
      <c r="E43" s="17">
        <v>41</v>
      </c>
      <c r="F43" s="19">
        <v>228963</v>
      </c>
      <c r="G43" s="19">
        <v>1593953</v>
      </c>
      <c r="H43" s="8"/>
    </row>
    <row r="44" spans="1:8" ht="15" customHeight="1">
      <c r="A44" s="20"/>
      <c r="B44" s="18">
        <v>8001</v>
      </c>
      <c r="C44" s="17">
        <v>41</v>
      </c>
      <c r="D44" s="17" t="s">
        <v>1722</v>
      </c>
      <c r="E44" s="17">
        <v>42</v>
      </c>
      <c r="F44" s="19">
        <v>261744</v>
      </c>
      <c r="G44" s="19">
        <v>1855697</v>
      </c>
      <c r="H44" s="8"/>
    </row>
    <row r="45" spans="1:8" ht="15" customHeight="1">
      <c r="A45" s="20"/>
      <c r="B45" s="18">
        <v>8001</v>
      </c>
      <c r="C45" s="17">
        <v>42</v>
      </c>
      <c r="D45" s="17" t="s">
        <v>1723</v>
      </c>
      <c r="E45" s="17">
        <v>43</v>
      </c>
      <c r="F45" s="19">
        <v>298340</v>
      </c>
      <c r="G45" s="19">
        <v>2154037</v>
      </c>
      <c r="H45" s="8"/>
    </row>
    <row r="46" spans="1:8" ht="15" customHeight="1">
      <c r="A46" s="20"/>
      <c r="B46" s="18">
        <v>8001</v>
      </c>
      <c r="C46" s="17">
        <v>43</v>
      </c>
      <c r="D46" s="17" t="s">
        <v>1724</v>
      </c>
      <c r="E46" s="17">
        <v>44</v>
      </c>
      <c r="F46" s="19">
        <v>339088</v>
      </c>
      <c r="G46" s="19">
        <v>2493125</v>
      </c>
      <c r="H46" s="8"/>
    </row>
    <row r="47" spans="1:8" ht="15" customHeight="1">
      <c r="A47" s="20"/>
      <c r="B47" s="18">
        <v>8001</v>
      </c>
      <c r="C47" s="17">
        <v>44</v>
      </c>
      <c r="D47" s="17" t="s">
        <v>1725</v>
      </c>
      <c r="E47" s="17">
        <v>45</v>
      </c>
      <c r="F47" s="19">
        <v>384348</v>
      </c>
      <c r="G47" s="19">
        <v>2877473</v>
      </c>
      <c r="H47" s="8"/>
    </row>
    <row r="48" spans="1:8" ht="15" customHeight="1">
      <c r="A48" s="20"/>
      <c r="B48" s="18">
        <v>8001</v>
      </c>
      <c r="C48" s="17">
        <v>45</v>
      </c>
      <c r="D48" s="17" t="s">
        <v>1726</v>
      </c>
      <c r="E48" s="17">
        <v>46</v>
      </c>
      <c r="F48" s="19">
        <v>434504</v>
      </c>
      <c r="G48" s="19">
        <v>3311977</v>
      </c>
      <c r="H48" s="8"/>
    </row>
    <row r="49" spans="1:8" ht="15" customHeight="1">
      <c r="A49" s="20"/>
      <c r="B49" s="18">
        <v>8001</v>
      </c>
      <c r="C49" s="17">
        <v>46</v>
      </c>
      <c r="D49" s="17" t="s">
        <v>1727</v>
      </c>
      <c r="E49" s="17">
        <v>47</v>
      </c>
      <c r="F49" s="19">
        <v>489960</v>
      </c>
      <c r="G49" s="19">
        <v>3801937</v>
      </c>
      <c r="H49" s="8"/>
    </row>
    <row r="50" spans="1:8" ht="15" customHeight="1">
      <c r="A50" s="20"/>
      <c r="B50" s="18">
        <v>8001</v>
      </c>
      <c r="C50" s="17">
        <v>47</v>
      </c>
      <c r="D50" s="17" t="s">
        <v>1728</v>
      </c>
      <c r="E50" s="17">
        <v>48</v>
      </c>
      <c r="F50" s="19">
        <v>551142</v>
      </c>
      <c r="G50" s="19">
        <v>4353079</v>
      </c>
      <c r="H50" s="8"/>
    </row>
    <row r="51" spans="1:8" ht="15" customHeight="1">
      <c r="A51" s="20"/>
      <c r="B51" s="18">
        <v>8001</v>
      </c>
      <c r="C51" s="17">
        <v>48</v>
      </c>
      <c r="D51" s="17" t="s">
        <v>1729</v>
      </c>
      <c r="E51" s="17">
        <v>49</v>
      </c>
      <c r="F51" s="19">
        <v>618504</v>
      </c>
      <c r="G51" s="19">
        <v>4971583</v>
      </c>
      <c r="H51" s="8"/>
    </row>
    <row r="52" spans="1:8" ht="15" customHeight="1">
      <c r="A52" s="20"/>
      <c r="B52" s="18">
        <v>8001</v>
      </c>
      <c r="C52" s="17">
        <v>49</v>
      </c>
      <c r="D52" s="17" t="s">
        <v>1730</v>
      </c>
      <c r="E52" s="17">
        <v>50</v>
      </c>
      <c r="F52" s="19">
        <v>692524</v>
      </c>
      <c r="G52" s="19">
        <v>5664107</v>
      </c>
      <c r="H52" s="8"/>
    </row>
    <row r="53" spans="1:8" ht="15" customHeight="1">
      <c r="A53" s="20"/>
      <c r="B53" s="18">
        <v>8001</v>
      </c>
      <c r="C53" s="17">
        <v>50</v>
      </c>
      <c r="D53" s="17" t="s">
        <v>1731</v>
      </c>
      <c r="E53" s="17">
        <v>51</v>
      </c>
      <c r="F53" s="19">
        <v>773703</v>
      </c>
      <c r="G53" s="19">
        <v>6437810</v>
      </c>
      <c r="H53" s="8"/>
    </row>
    <row r="54" spans="1:8" ht="15" customHeight="1">
      <c r="A54" s="20"/>
      <c r="B54" s="21">
        <v>8001</v>
      </c>
      <c r="C54" s="22">
        <v>51</v>
      </c>
      <c r="D54" s="22" t="s">
        <v>1732</v>
      </c>
      <c r="E54" s="22">
        <v>52</v>
      </c>
      <c r="F54" s="23">
        <v>862571</v>
      </c>
      <c r="G54" s="19">
        <v>7300381</v>
      </c>
      <c r="H54" s="8"/>
    </row>
    <row r="55" spans="1:8" ht="15" customHeight="1">
      <c r="A55" s="20"/>
      <c r="B55" s="21">
        <v>8001</v>
      </c>
      <c r="C55" s="22">
        <v>52</v>
      </c>
      <c r="D55" s="22" t="s">
        <v>1733</v>
      </c>
      <c r="E55" s="22">
        <v>53</v>
      </c>
      <c r="F55" s="23">
        <v>959684</v>
      </c>
      <c r="G55" s="19">
        <v>8260065</v>
      </c>
      <c r="H55" s="8"/>
    </row>
    <row r="56" spans="1:8" ht="15" customHeight="1">
      <c r="A56" s="20"/>
      <c r="B56" s="21">
        <v>8001</v>
      </c>
      <c r="C56" s="22">
        <v>53</v>
      </c>
      <c r="D56" s="22" t="s">
        <v>1734</v>
      </c>
      <c r="E56" s="22">
        <v>54</v>
      </c>
      <c r="F56" s="23">
        <v>1065630</v>
      </c>
      <c r="G56" s="19">
        <v>9325695</v>
      </c>
      <c r="H56" s="8"/>
    </row>
    <row r="57" spans="1:8">
      <c r="A57" s="20"/>
      <c r="B57" s="21">
        <v>8001</v>
      </c>
      <c r="C57" s="22">
        <v>54</v>
      </c>
      <c r="D57" s="22" t="s">
        <v>1735</v>
      </c>
      <c r="E57" s="22">
        <v>55</v>
      </c>
      <c r="F57" s="23">
        <v>1181020</v>
      </c>
      <c r="G57" s="19">
        <v>10506715</v>
      </c>
      <c r="H57" s="8"/>
    </row>
    <row r="58" spans="1:8">
      <c r="A58" s="20"/>
      <c r="B58" s="21">
        <v>8001</v>
      </c>
      <c r="C58" s="22">
        <v>55</v>
      </c>
      <c r="D58" s="22" t="s">
        <v>1736</v>
      </c>
      <c r="E58" s="22">
        <v>56</v>
      </c>
      <c r="F58" s="23">
        <v>1306501</v>
      </c>
      <c r="G58" s="19">
        <v>11813216</v>
      </c>
      <c r="H58" s="8"/>
    </row>
    <row r="59" spans="1:8">
      <c r="A59" s="20"/>
      <c r="B59" s="21">
        <v>8001</v>
      </c>
      <c r="C59" s="22">
        <v>56</v>
      </c>
      <c r="D59" s="22" t="s">
        <v>1737</v>
      </c>
      <c r="E59" s="22">
        <v>57</v>
      </c>
      <c r="F59" s="23">
        <v>1442747</v>
      </c>
      <c r="G59" s="19">
        <v>13255963</v>
      </c>
      <c r="H59" s="8"/>
    </row>
    <row r="60" spans="1:8">
      <c r="A60" s="20"/>
      <c r="B60" s="21">
        <v>8001</v>
      </c>
      <c r="C60" s="22">
        <v>57</v>
      </c>
      <c r="D60" s="22" t="s">
        <v>1738</v>
      </c>
      <c r="E60" s="22">
        <v>58</v>
      </c>
      <c r="F60" s="23">
        <v>1590464</v>
      </c>
      <c r="G60" s="19">
        <v>14846427</v>
      </c>
      <c r="H60" s="8"/>
    </row>
    <row r="61" spans="1:8">
      <c r="A61" s="20"/>
      <c r="B61" s="21">
        <v>8001</v>
      </c>
      <c r="C61" s="22">
        <v>58</v>
      </c>
      <c r="D61" s="22" t="s">
        <v>1739</v>
      </c>
      <c r="E61" s="22">
        <v>59</v>
      </c>
      <c r="F61" s="23">
        <v>1750392</v>
      </c>
      <c r="G61" s="19">
        <v>16596819</v>
      </c>
      <c r="H61" s="8"/>
    </row>
    <row r="62" spans="1:8">
      <c r="A62" s="20"/>
      <c r="B62" s="21">
        <v>8001</v>
      </c>
      <c r="C62" s="22">
        <v>59</v>
      </c>
      <c r="D62" s="22" t="s">
        <v>1740</v>
      </c>
      <c r="E62" s="22">
        <v>60</v>
      </c>
      <c r="F62" s="23">
        <v>1923303</v>
      </c>
      <c r="G62" s="19">
        <v>18520122</v>
      </c>
      <c r="H62" s="8"/>
    </row>
    <row r="63" spans="1:8">
      <c r="A63" s="20"/>
      <c r="B63" s="21">
        <v>8001</v>
      </c>
      <c r="C63" s="22">
        <v>60</v>
      </c>
      <c r="D63" s="22" t="s">
        <v>1741</v>
      </c>
      <c r="E63" s="22">
        <v>61</v>
      </c>
      <c r="F63" s="23">
        <v>2110005</v>
      </c>
      <c r="G63" s="19">
        <v>20630127</v>
      </c>
      <c r="H63" s="8"/>
    </row>
    <row r="64" spans="1:8">
      <c r="A64" s="20"/>
      <c r="B64" s="21">
        <v>8001</v>
      </c>
      <c r="C64" s="22">
        <v>61</v>
      </c>
      <c r="D64" s="22" t="s">
        <v>1742</v>
      </c>
      <c r="E64" s="22">
        <v>62</v>
      </c>
      <c r="F64" s="23">
        <v>2311340</v>
      </c>
      <c r="G64" s="19">
        <v>22941467</v>
      </c>
      <c r="H64" s="8"/>
    </row>
    <row r="65" spans="1:8">
      <c r="A65" s="20"/>
      <c r="B65" s="21">
        <v>8001</v>
      </c>
      <c r="C65" s="22">
        <v>62</v>
      </c>
      <c r="D65" s="22" t="s">
        <v>1743</v>
      </c>
      <c r="E65" s="22">
        <v>63</v>
      </c>
      <c r="F65" s="23">
        <v>2528187</v>
      </c>
      <c r="G65" s="19">
        <v>25469654</v>
      </c>
      <c r="H65" s="8"/>
    </row>
    <row r="66" spans="1:8">
      <c r="A66" s="20"/>
      <c r="B66" s="21">
        <v>8001</v>
      </c>
      <c r="C66" s="22">
        <v>63</v>
      </c>
      <c r="D66" s="22" t="s">
        <v>1744</v>
      </c>
      <c r="E66" s="22">
        <v>64</v>
      </c>
      <c r="F66" s="23">
        <v>2761460</v>
      </c>
      <c r="G66" s="19">
        <v>28231114</v>
      </c>
      <c r="H66" s="8"/>
    </row>
    <row r="67" spans="1:8">
      <c r="A67" s="20"/>
      <c r="B67" s="21">
        <v>8001</v>
      </c>
      <c r="C67" s="22">
        <v>64</v>
      </c>
      <c r="D67" s="22" t="s">
        <v>1745</v>
      </c>
      <c r="E67" s="22">
        <v>65</v>
      </c>
      <c r="F67" s="23">
        <v>3012115</v>
      </c>
      <c r="G67" s="19">
        <v>31243229</v>
      </c>
      <c r="H67" s="8"/>
    </row>
    <row r="68" spans="1:8">
      <c r="A68" s="20"/>
      <c r="B68" s="21">
        <v>8001</v>
      </c>
      <c r="C68" s="22">
        <v>65</v>
      </c>
      <c r="D68" s="22" t="s">
        <v>1746</v>
      </c>
      <c r="E68" s="22">
        <v>66</v>
      </c>
      <c r="F68" s="23">
        <v>3281142</v>
      </c>
      <c r="G68" s="19">
        <v>34524371</v>
      </c>
      <c r="H68" s="8"/>
    </row>
    <row r="69" spans="1:8" ht="15" customHeight="1">
      <c r="A69" s="20"/>
      <c r="B69" s="21">
        <v>8001</v>
      </c>
      <c r="C69" s="22">
        <v>66</v>
      </c>
      <c r="D69" s="22" t="s">
        <v>1747</v>
      </c>
      <c r="E69" s="22">
        <v>67</v>
      </c>
      <c r="F69" s="23">
        <v>3569574</v>
      </c>
      <c r="G69" s="19">
        <v>38093945</v>
      </c>
      <c r="H69" s="8"/>
    </row>
    <row r="70" spans="1:8" ht="15" customHeight="1">
      <c r="A70" s="20"/>
      <c r="B70" s="21">
        <v>8001</v>
      </c>
      <c r="C70" s="22">
        <v>67</v>
      </c>
      <c r="D70" s="22" t="s">
        <v>1748</v>
      </c>
      <c r="E70" s="22">
        <v>68</v>
      </c>
      <c r="F70" s="23">
        <v>3878484</v>
      </c>
      <c r="G70" s="19">
        <v>41972429</v>
      </c>
      <c r="H70" s="8"/>
    </row>
    <row r="71" spans="1:8" ht="15" customHeight="1">
      <c r="A71" s="20"/>
      <c r="B71" s="21">
        <v>8001</v>
      </c>
      <c r="C71" s="22">
        <v>68</v>
      </c>
      <c r="D71" s="22" t="s">
        <v>1749</v>
      </c>
      <c r="E71" s="22">
        <v>69</v>
      </c>
      <c r="F71" s="23">
        <v>4208988</v>
      </c>
      <c r="G71" s="19">
        <v>46181417</v>
      </c>
      <c r="H71" s="8"/>
    </row>
    <row r="72" spans="1:8" ht="15" customHeight="1">
      <c r="A72" s="20"/>
      <c r="B72" s="21">
        <v>8001</v>
      </c>
      <c r="C72" s="22">
        <v>69</v>
      </c>
      <c r="D72" s="22" t="s">
        <v>1750</v>
      </c>
      <c r="E72" s="22">
        <v>70</v>
      </c>
      <c r="F72" s="23">
        <v>4562243</v>
      </c>
      <c r="G72" s="19">
        <v>50743660</v>
      </c>
      <c r="H72" s="8"/>
    </row>
    <row r="73" spans="1:8" ht="15" customHeight="1">
      <c r="A73" s="20"/>
      <c r="B73" s="21">
        <v>8001</v>
      </c>
      <c r="C73" s="22">
        <v>70</v>
      </c>
      <c r="D73" s="22" t="s">
        <v>1751</v>
      </c>
      <c r="E73" s="22">
        <v>71</v>
      </c>
      <c r="F73" s="23">
        <v>4939449</v>
      </c>
      <c r="G73" s="19">
        <v>55683109</v>
      </c>
      <c r="H73" s="8"/>
    </row>
    <row r="74" spans="1:8" ht="15" customHeight="1">
      <c r="A74" s="20"/>
      <c r="B74" s="21">
        <v>8001</v>
      </c>
      <c r="C74" s="22">
        <v>71</v>
      </c>
      <c r="D74" s="22" t="s">
        <v>1752</v>
      </c>
      <c r="E74" s="22">
        <v>72</v>
      </c>
      <c r="F74" s="23">
        <v>5341853</v>
      </c>
      <c r="G74" s="19">
        <v>61024962</v>
      </c>
      <c r="H74" s="8"/>
    </row>
    <row r="75" spans="1:8" ht="15" customHeight="1">
      <c r="A75" s="20"/>
      <c r="B75" s="21">
        <v>8001</v>
      </c>
      <c r="C75" s="22">
        <v>72</v>
      </c>
      <c r="D75" s="22" t="s">
        <v>1753</v>
      </c>
      <c r="E75" s="22">
        <v>73</v>
      </c>
      <c r="F75" s="23">
        <v>5770746</v>
      </c>
      <c r="G75" s="19">
        <v>66795708</v>
      </c>
      <c r="H75" s="8"/>
    </row>
    <row r="76" spans="1:8" ht="15" customHeight="1">
      <c r="A76" s="20"/>
      <c r="B76" s="21">
        <v>8001</v>
      </c>
      <c r="C76" s="22">
        <v>73</v>
      </c>
      <c r="D76" s="22" t="s">
        <v>1754</v>
      </c>
      <c r="E76" s="22">
        <v>74</v>
      </c>
      <c r="F76" s="23">
        <v>6227466</v>
      </c>
      <c r="G76" s="19">
        <v>73023174</v>
      </c>
      <c r="H76" s="8"/>
    </row>
    <row r="77" spans="1:8" ht="15" customHeight="1">
      <c r="A77" s="20"/>
      <c r="B77" s="21">
        <v>8001</v>
      </c>
      <c r="C77" s="22">
        <v>74</v>
      </c>
      <c r="D77" s="22" t="s">
        <v>1755</v>
      </c>
      <c r="E77" s="22">
        <v>75</v>
      </c>
      <c r="F77" s="23">
        <v>6713399</v>
      </c>
      <c r="G77" s="19">
        <v>79736573</v>
      </c>
      <c r="H77" s="8"/>
    </row>
    <row r="78" spans="1:8" ht="15" customHeight="1">
      <c r="A78" s="20"/>
      <c r="B78" s="21">
        <v>8001</v>
      </c>
      <c r="C78" s="22">
        <v>75</v>
      </c>
      <c r="D78" s="22" t="s">
        <v>1756</v>
      </c>
      <c r="E78" s="22">
        <v>76</v>
      </c>
      <c r="F78" s="23">
        <v>7229979</v>
      </c>
      <c r="G78" s="19">
        <v>86966552</v>
      </c>
      <c r="H78" s="8"/>
    </row>
    <row r="79" spans="1:8" ht="15" customHeight="1">
      <c r="A79" s="20"/>
      <c r="B79" s="21">
        <v>8001</v>
      </c>
      <c r="C79" s="22">
        <v>76</v>
      </c>
      <c r="D79" s="22" t="s">
        <v>1757</v>
      </c>
      <c r="E79" s="22">
        <v>77</v>
      </c>
      <c r="F79" s="23">
        <v>7778690</v>
      </c>
      <c r="G79" s="19">
        <v>94745242</v>
      </c>
      <c r="H79" s="8"/>
    </row>
    <row r="80" spans="1:8" ht="15" customHeight="1">
      <c r="A80" s="20"/>
      <c r="B80" s="21">
        <v>8001</v>
      </c>
      <c r="C80" s="22">
        <v>77</v>
      </c>
      <c r="D80" s="22" t="s">
        <v>1758</v>
      </c>
      <c r="E80" s="22">
        <v>78</v>
      </c>
      <c r="F80" s="23">
        <v>8361067</v>
      </c>
      <c r="G80" s="19">
        <v>103106309</v>
      </c>
      <c r="H80" s="8"/>
    </row>
    <row r="81" spans="1:8" ht="15" customHeight="1">
      <c r="A81" s="20"/>
      <c r="B81" s="21">
        <v>8001</v>
      </c>
      <c r="C81" s="22">
        <v>78</v>
      </c>
      <c r="D81" s="22" t="s">
        <v>1759</v>
      </c>
      <c r="E81" s="22">
        <v>79</v>
      </c>
      <c r="F81" s="23">
        <v>8978696</v>
      </c>
      <c r="G81" s="19">
        <v>112085005</v>
      </c>
      <c r="H81" s="8"/>
    </row>
    <row r="82" spans="1:8" ht="15" customHeight="1">
      <c r="A82" s="20"/>
      <c r="B82" s="21">
        <v>8001</v>
      </c>
      <c r="C82" s="22">
        <v>79</v>
      </c>
      <c r="D82" s="22" t="s">
        <v>1760</v>
      </c>
      <c r="E82" s="22">
        <v>80</v>
      </c>
      <c r="F82" s="23">
        <v>9633216</v>
      </c>
      <c r="G82" s="19">
        <v>121718221</v>
      </c>
      <c r="H82" s="8"/>
    </row>
    <row r="83" spans="1:8" ht="15" customHeight="1">
      <c r="A83" s="20"/>
      <c r="B83" s="21">
        <v>8001</v>
      </c>
      <c r="C83" s="22">
        <v>80</v>
      </c>
      <c r="D83" s="22" t="s">
        <v>1761</v>
      </c>
      <c r="E83" s="22" t="s">
        <v>1762</v>
      </c>
      <c r="F83" s="23">
        <v>10326319</v>
      </c>
      <c r="G83" s="19">
        <v>132044540</v>
      </c>
      <c r="H83" s="8"/>
    </row>
    <row r="84" spans="1:8" ht="15" customHeight="1">
      <c r="A84" s="20"/>
      <c r="B84" s="18">
        <v>8002</v>
      </c>
      <c r="C84" s="17">
        <v>1</v>
      </c>
      <c r="D84" s="17" t="s">
        <v>1763</v>
      </c>
      <c r="E84" s="17">
        <v>2</v>
      </c>
      <c r="F84" s="19">
        <v>0</v>
      </c>
      <c r="G84" s="19">
        <v>0</v>
      </c>
      <c r="H84" s="8"/>
    </row>
    <row r="85" spans="1:8" ht="15" customHeight="1">
      <c r="A85" s="20"/>
      <c r="B85" s="18">
        <v>8002</v>
      </c>
      <c r="C85" s="17">
        <v>2</v>
      </c>
      <c r="D85" s="17" t="s">
        <v>1764</v>
      </c>
      <c r="E85" s="17">
        <v>3</v>
      </c>
      <c r="F85" s="19">
        <v>88</v>
      </c>
      <c r="G85" s="19">
        <v>88</v>
      </c>
      <c r="H85" s="8"/>
    </row>
    <row r="86" spans="1:8" ht="15" customHeight="1">
      <c r="A86" s="20"/>
      <c r="B86" s="18">
        <v>8002</v>
      </c>
      <c r="C86" s="17">
        <v>3</v>
      </c>
      <c r="D86" s="17" t="s">
        <v>1765</v>
      </c>
      <c r="E86" s="17">
        <v>4</v>
      </c>
      <c r="F86" s="19">
        <v>184</v>
      </c>
      <c r="G86" s="19">
        <v>272</v>
      </c>
      <c r="H86" s="8"/>
    </row>
    <row r="87" spans="1:8" ht="15" customHeight="1">
      <c r="A87" s="20"/>
      <c r="B87" s="18">
        <v>8002</v>
      </c>
      <c r="C87" s="17">
        <v>4</v>
      </c>
      <c r="D87" s="17" t="s">
        <v>1766</v>
      </c>
      <c r="E87" s="17">
        <v>5</v>
      </c>
      <c r="F87" s="19">
        <v>288</v>
      </c>
      <c r="G87" s="19">
        <v>560</v>
      </c>
      <c r="H87" s="8"/>
    </row>
    <row r="88" spans="1:8" ht="15" customHeight="1">
      <c r="A88" s="20"/>
      <c r="B88" s="18">
        <v>8002</v>
      </c>
      <c r="C88" s="17">
        <v>5</v>
      </c>
      <c r="D88" s="17" t="s">
        <v>1767</v>
      </c>
      <c r="E88" s="17">
        <v>6</v>
      </c>
      <c r="F88" s="19">
        <v>400</v>
      </c>
      <c r="G88" s="19">
        <v>960</v>
      </c>
      <c r="H88" s="8"/>
    </row>
    <row r="89" spans="1:8" ht="15" customHeight="1">
      <c r="A89" s="20"/>
      <c r="B89" s="18">
        <v>8002</v>
      </c>
      <c r="C89" s="17">
        <v>6</v>
      </c>
      <c r="D89" s="17" t="s">
        <v>1768</v>
      </c>
      <c r="E89" s="17">
        <v>7</v>
      </c>
      <c r="F89" s="19">
        <v>523</v>
      </c>
      <c r="G89" s="19">
        <v>1483</v>
      </c>
      <c r="H89" s="8"/>
    </row>
    <row r="90" spans="1:8" ht="15" customHeight="1">
      <c r="A90" s="20"/>
      <c r="B90" s="18">
        <v>8002</v>
      </c>
      <c r="C90" s="17">
        <v>7</v>
      </c>
      <c r="D90" s="17" t="s">
        <v>1769</v>
      </c>
      <c r="E90" s="17">
        <v>8</v>
      </c>
      <c r="F90" s="19">
        <v>656</v>
      </c>
      <c r="G90" s="19">
        <v>2139</v>
      </c>
      <c r="H90" s="8"/>
    </row>
    <row r="91" spans="1:8" ht="15" customHeight="1">
      <c r="A91" s="20"/>
      <c r="B91" s="18">
        <v>8002</v>
      </c>
      <c r="C91" s="17">
        <v>8</v>
      </c>
      <c r="D91" s="17" t="s">
        <v>1770</v>
      </c>
      <c r="E91" s="17">
        <v>9</v>
      </c>
      <c r="F91" s="19">
        <v>804</v>
      </c>
      <c r="G91" s="19">
        <v>2943</v>
      </c>
      <c r="H91" s="8"/>
    </row>
    <row r="92" spans="1:8" ht="15" customHeight="1">
      <c r="A92" s="20"/>
      <c r="B92" s="18">
        <v>8002</v>
      </c>
      <c r="C92" s="17">
        <v>9</v>
      </c>
      <c r="D92" s="17" t="s">
        <v>1771</v>
      </c>
      <c r="E92" s="17">
        <v>10</v>
      </c>
      <c r="F92" s="19">
        <v>971</v>
      </c>
      <c r="G92" s="19">
        <v>3914</v>
      </c>
      <c r="H92" s="8"/>
    </row>
    <row r="93" spans="1:8" ht="15" customHeight="1">
      <c r="A93" s="20"/>
      <c r="B93" s="18">
        <v>8002</v>
      </c>
      <c r="C93" s="17">
        <v>10</v>
      </c>
      <c r="D93" s="17" t="s">
        <v>1772</v>
      </c>
      <c r="E93" s="17">
        <v>11</v>
      </c>
      <c r="F93" s="19">
        <v>1162</v>
      </c>
      <c r="G93" s="19">
        <v>5076</v>
      </c>
      <c r="H93" s="8"/>
    </row>
    <row r="94" spans="1:8" ht="15" customHeight="1">
      <c r="A94" s="20"/>
      <c r="B94" s="18">
        <v>8002</v>
      </c>
      <c r="C94" s="17">
        <v>11</v>
      </c>
      <c r="D94" s="17" t="s">
        <v>1773</v>
      </c>
      <c r="E94" s="17">
        <v>12</v>
      </c>
      <c r="F94" s="19">
        <v>1385</v>
      </c>
      <c r="G94" s="19">
        <v>6461</v>
      </c>
      <c r="H94" s="8"/>
    </row>
    <row r="95" spans="1:8" ht="15" customHeight="1">
      <c r="A95" s="20"/>
      <c r="B95" s="18">
        <v>8002</v>
      </c>
      <c r="C95" s="17">
        <v>12</v>
      </c>
      <c r="D95" s="17" t="s">
        <v>1774</v>
      </c>
      <c r="E95" s="17">
        <v>13</v>
      </c>
      <c r="F95" s="19">
        <v>1650</v>
      </c>
      <c r="G95" s="19">
        <v>8111</v>
      </c>
      <c r="H95" s="8"/>
    </row>
    <row r="96" spans="1:8" ht="15" customHeight="1">
      <c r="A96" s="20"/>
      <c r="B96" s="18">
        <v>8002</v>
      </c>
      <c r="C96" s="17">
        <v>13</v>
      </c>
      <c r="D96" s="17" t="s">
        <v>1775</v>
      </c>
      <c r="E96" s="17">
        <v>14</v>
      </c>
      <c r="F96" s="19">
        <v>1969</v>
      </c>
      <c r="G96" s="19">
        <v>10080</v>
      </c>
      <c r="H96" s="8"/>
    </row>
    <row r="97" spans="1:8" ht="15" customHeight="1">
      <c r="A97" s="20"/>
      <c r="B97" s="18">
        <v>8002</v>
      </c>
      <c r="C97" s="17">
        <v>14</v>
      </c>
      <c r="D97" s="17" t="s">
        <v>1776</v>
      </c>
      <c r="E97" s="17">
        <v>15</v>
      </c>
      <c r="F97" s="19">
        <v>2359</v>
      </c>
      <c r="G97" s="19">
        <v>12439</v>
      </c>
      <c r="H97" s="8"/>
    </row>
    <row r="98" spans="1:8" ht="15" customHeight="1">
      <c r="A98" s="20"/>
      <c r="B98" s="18">
        <v>8002</v>
      </c>
      <c r="C98" s="17">
        <v>15</v>
      </c>
      <c r="D98" s="17" t="s">
        <v>1777</v>
      </c>
      <c r="E98" s="17">
        <v>16</v>
      </c>
      <c r="F98" s="19">
        <v>2838</v>
      </c>
      <c r="G98" s="19">
        <v>15277</v>
      </c>
      <c r="H98" s="8"/>
    </row>
    <row r="99" spans="1:8" ht="15" customHeight="1">
      <c r="A99" s="20"/>
      <c r="B99" s="18">
        <v>8002</v>
      </c>
      <c r="C99" s="17">
        <v>16</v>
      </c>
      <c r="D99" s="17" t="s">
        <v>1778</v>
      </c>
      <c r="E99" s="17">
        <v>17</v>
      </c>
      <c r="F99" s="19">
        <v>3430</v>
      </c>
      <c r="G99" s="19">
        <v>18707</v>
      </c>
      <c r="H99" s="8"/>
    </row>
    <row r="100" spans="1:8" ht="15" customHeight="1">
      <c r="A100" s="17"/>
      <c r="B100" s="18">
        <v>8002</v>
      </c>
      <c r="C100" s="17">
        <v>17</v>
      </c>
      <c r="D100" s="17" t="s">
        <v>1779</v>
      </c>
      <c r="E100" s="17">
        <v>18</v>
      </c>
      <c r="F100" s="19">
        <v>4162</v>
      </c>
      <c r="G100" s="19">
        <v>22869</v>
      </c>
      <c r="H100" s="8"/>
    </row>
    <row r="101" spans="1:8">
      <c r="A101" s="17"/>
      <c r="B101" s="18">
        <v>8002</v>
      </c>
      <c r="C101" s="17">
        <v>18</v>
      </c>
      <c r="D101" s="17" t="s">
        <v>1780</v>
      </c>
      <c r="E101" s="17">
        <v>19</v>
      </c>
      <c r="F101" s="19">
        <v>5066</v>
      </c>
      <c r="G101" s="19">
        <v>27935</v>
      </c>
      <c r="H101" s="8"/>
    </row>
    <row r="102" spans="1:8">
      <c r="A102" s="17"/>
      <c r="B102" s="18">
        <v>8002</v>
      </c>
      <c r="C102" s="17">
        <v>19</v>
      </c>
      <c r="D102" s="17" t="s">
        <v>1781</v>
      </c>
      <c r="E102" s="17">
        <v>20</v>
      </c>
      <c r="F102" s="19">
        <v>6180</v>
      </c>
      <c r="G102" s="19">
        <v>34115</v>
      </c>
      <c r="H102" s="8"/>
    </row>
    <row r="103" spans="1:8">
      <c r="A103" s="17"/>
      <c r="B103" s="18">
        <v>8002</v>
      </c>
      <c r="C103" s="17">
        <v>20</v>
      </c>
      <c r="D103" s="17" t="s">
        <v>1782</v>
      </c>
      <c r="E103" s="17">
        <v>21</v>
      </c>
      <c r="F103" s="19">
        <v>7548</v>
      </c>
      <c r="G103" s="19">
        <v>41663</v>
      </c>
      <c r="H103" s="8"/>
    </row>
    <row r="104" spans="1:8">
      <c r="A104" s="17"/>
      <c r="B104" s="18">
        <v>8002</v>
      </c>
      <c r="C104" s="17">
        <v>21</v>
      </c>
      <c r="D104" s="17" t="s">
        <v>1783</v>
      </c>
      <c r="E104" s="17">
        <v>22</v>
      </c>
      <c r="F104" s="19">
        <v>9219</v>
      </c>
      <c r="G104" s="19">
        <v>50882</v>
      </c>
      <c r="H104" s="8"/>
    </row>
    <row r="105" spans="1:8">
      <c r="A105" s="17"/>
      <c r="B105" s="18">
        <v>8002</v>
      </c>
      <c r="C105" s="17">
        <v>22</v>
      </c>
      <c r="D105" s="17" t="s">
        <v>1784</v>
      </c>
      <c r="E105" s="17">
        <v>23</v>
      </c>
      <c r="F105" s="19">
        <v>11249</v>
      </c>
      <c r="G105" s="19">
        <v>62131</v>
      </c>
      <c r="H105" s="8"/>
    </row>
    <row r="106" spans="1:8">
      <c r="A106" s="17"/>
      <c r="B106" s="18">
        <v>8002</v>
      </c>
      <c r="C106" s="17">
        <v>23</v>
      </c>
      <c r="D106" s="17" t="s">
        <v>1785</v>
      </c>
      <c r="E106" s="17">
        <v>24</v>
      </c>
      <c r="F106" s="19">
        <v>13702</v>
      </c>
      <c r="G106" s="19">
        <v>75833</v>
      </c>
      <c r="H106" s="8"/>
    </row>
    <row r="107" spans="1:8">
      <c r="A107" s="17"/>
      <c r="B107" s="18">
        <v>8002</v>
      </c>
      <c r="C107" s="17">
        <v>24</v>
      </c>
      <c r="D107" s="17" t="s">
        <v>1786</v>
      </c>
      <c r="E107" s="17">
        <v>25</v>
      </c>
      <c r="F107" s="19">
        <v>16650</v>
      </c>
      <c r="G107" s="19">
        <v>92483</v>
      </c>
      <c r="H107" s="8"/>
    </row>
    <row r="108" spans="1:8">
      <c r="A108" s="17"/>
      <c r="B108" s="18">
        <v>8002</v>
      </c>
      <c r="C108" s="17">
        <v>25</v>
      </c>
      <c r="D108" s="17" t="s">
        <v>1787</v>
      </c>
      <c r="E108" s="17">
        <v>26</v>
      </c>
      <c r="F108" s="19">
        <v>20172</v>
      </c>
      <c r="G108" s="19">
        <v>112655</v>
      </c>
      <c r="H108" s="8"/>
    </row>
    <row r="109" spans="1:8">
      <c r="A109" s="17"/>
      <c r="B109" s="18">
        <v>8002</v>
      </c>
      <c r="C109" s="17">
        <v>26</v>
      </c>
      <c r="D109" s="17" t="s">
        <v>1788</v>
      </c>
      <c r="E109" s="17">
        <v>27</v>
      </c>
      <c r="F109" s="19">
        <v>24358</v>
      </c>
      <c r="G109" s="19">
        <v>137013</v>
      </c>
      <c r="H109" s="8"/>
    </row>
    <row r="110" spans="1:8">
      <c r="A110" s="17"/>
      <c r="B110" s="18">
        <v>8002</v>
      </c>
      <c r="C110" s="17">
        <v>27</v>
      </c>
      <c r="D110" s="17" t="s">
        <v>1789</v>
      </c>
      <c r="E110" s="17">
        <v>28</v>
      </c>
      <c r="F110" s="19">
        <v>29306</v>
      </c>
      <c r="G110" s="19">
        <v>166319</v>
      </c>
      <c r="H110" s="8"/>
    </row>
    <row r="111" spans="1:8">
      <c r="A111" s="17"/>
      <c r="B111" s="18">
        <v>8002</v>
      </c>
      <c r="C111" s="17">
        <v>28</v>
      </c>
      <c r="D111" s="17" t="s">
        <v>1790</v>
      </c>
      <c r="E111" s="17">
        <v>29</v>
      </c>
      <c r="F111" s="19">
        <v>35124</v>
      </c>
      <c r="G111" s="19">
        <v>201443</v>
      </c>
      <c r="H111" s="8"/>
    </row>
    <row r="112" spans="1:8">
      <c r="A112" s="17"/>
      <c r="B112" s="18">
        <v>8002</v>
      </c>
      <c r="C112" s="17">
        <v>29</v>
      </c>
      <c r="D112" s="17" t="s">
        <v>1791</v>
      </c>
      <c r="E112" s="17">
        <v>30</v>
      </c>
      <c r="F112" s="19">
        <v>41933</v>
      </c>
      <c r="G112" s="19">
        <v>243376</v>
      </c>
      <c r="H112" s="8"/>
    </row>
    <row r="113" spans="1:8">
      <c r="A113" s="17"/>
      <c r="B113" s="18">
        <v>8002</v>
      </c>
      <c r="C113" s="17">
        <v>30</v>
      </c>
      <c r="D113" s="17" t="s">
        <v>1792</v>
      </c>
      <c r="E113" s="17">
        <v>31</v>
      </c>
      <c r="F113" s="19">
        <v>49863</v>
      </c>
      <c r="G113" s="19">
        <v>293239</v>
      </c>
      <c r="H113" s="8"/>
    </row>
    <row r="114" spans="1:8">
      <c r="A114" s="15"/>
      <c r="B114" s="18">
        <v>8002</v>
      </c>
      <c r="C114" s="17">
        <v>31</v>
      </c>
      <c r="D114" s="17" t="s">
        <v>1793</v>
      </c>
      <c r="E114" s="17">
        <v>32</v>
      </c>
      <c r="F114" s="19">
        <v>59056</v>
      </c>
      <c r="G114" s="19">
        <v>352295</v>
      </c>
      <c r="H114" s="24"/>
    </row>
    <row r="115" spans="1:8">
      <c r="A115" s="17"/>
      <c r="B115" s="18">
        <v>8002</v>
      </c>
      <c r="C115" s="17">
        <v>32</v>
      </c>
      <c r="D115" s="17" t="s">
        <v>1794</v>
      </c>
      <c r="E115" s="17">
        <v>33</v>
      </c>
      <c r="F115" s="19">
        <v>69667</v>
      </c>
      <c r="G115" s="19">
        <v>421962</v>
      </c>
      <c r="H115" s="8"/>
    </row>
    <row r="116" spans="1:8">
      <c r="A116" s="17"/>
      <c r="B116" s="18">
        <v>8002</v>
      </c>
      <c r="C116" s="17">
        <v>33</v>
      </c>
      <c r="D116" s="17" t="s">
        <v>1795</v>
      </c>
      <c r="E116" s="17">
        <v>34</v>
      </c>
      <c r="F116" s="19">
        <v>81866</v>
      </c>
      <c r="G116" s="19">
        <v>503828</v>
      </c>
      <c r="H116" s="8"/>
    </row>
    <row r="117" spans="1:8">
      <c r="A117" s="17"/>
      <c r="B117" s="18">
        <v>8002</v>
      </c>
      <c r="C117" s="17">
        <v>34</v>
      </c>
      <c r="D117" s="17" t="s">
        <v>1796</v>
      </c>
      <c r="E117" s="17">
        <v>35</v>
      </c>
      <c r="F117" s="19">
        <v>95835</v>
      </c>
      <c r="G117" s="19">
        <v>599663</v>
      </c>
      <c r="H117" s="8"/>
    </row>
    <row r="118" spans="1:8">
      <c r="A118" s="17"/>
      <c r="B118" s="18">
        <v>8002</v>
      </c>
      <c r="C118" s="17">
        <v>35</v>
      </c>
      <c r="D118" s="17" t="s">
        <v>1797</v>
      </c>
      <c r="E118" s="17">
        <v>36</v>
      </c>
      <c r="F118" s="19">
        <v>111771</v>
      </c>
      <c r="G118" s="19">
        <v>711434</v>
      </c>
      <c r="H118" s="8"/>
    </row>
    <row r="119" spans="1:8">
      <c r="A119" s="17"/>
      <c r="B119" s="18">
        <v>8002</v>
      </c>
      <c r="C119" s="17">
        <v>36</v>
      </c>
      <c r="D119" s="17" t="s">
        <v>1798</v>
      </c>
      <c r="E119" s="17">
        <v>37</v>
      </c>
      <c r="F119" s="19">
        <v>129886</v>
      </c>
      <c r="G119" s="19">
        <v>841320</v>
      </c>
      <c r="H119" s="8"/>
    </row>
    <row r="120" spans="1:8">
      <c r="A120" s="17"/>
      <c r="B120" s="18">
        <v>8002</v>
      </c>
      <c r="C120" s="17">
        <v>37</v>
      </c>
      <c r="D120" s="17" t="s">
        <v>1799</v>
      </c>
      <c r="E120" s="17">
        <v>38</v>
      </c>
      <c r="F120" s="19">
        <v>150409</v>
      </c>
      <c r="G120" s="19">
        <v>991729</v>
      </c>
      <c r="H120" s="8"/>
    </row>
    <row r="121" spans="1:8">
      <c r="A121" s="17"/>
      <c r="B121" s="18">
        <v>8002</v>
      </c>
      <c r="C121" s="17">
        <v>38</v>
      </c>
      <c r="D121" s="17" t="s">
        <v>1800</v>
      </c>
      <c r="E121" s="17">
        <v>39</v>
      </c>
      <c r="F121" s="19">
        <v>173585</v>
      </c>
      <c r="G121" s="19">
        <v>1165314</v>
      </c>
      <c r="H121" s="8"/>
    </row>
    <row r="122" spans="1:8">
      <c r="A122" s="17"/>
      <c r="B122" s="18">
        <v>8002</v>
      </c>
      <c r="C122" s="17">
        <v>39</v>
      </c>
      <c r="D122" s="17" t="s">
        <v>1801</v>
      </c>
      <c r="E122" s="17">
        <v>40</v>
      </c>
      <c r="F122" s="19">
        <v>199676</v>
      </c>
      <c r="G122" s="19">
        <v>1364990</v>
      </c>
      <c r="H122" s="8"/>
    </row>
    <row r="123" spans="1:8">
      <c r="A123" s="17"/>
      <c r="B123" s="18">
        <v>8002</v>
      </c>
      <c r="C123" s="17">
        <v>40</v>
      </c>
      <c r="D123" s="17" t="s">
        <v>1802</v>
      </c>
      <c r="E123" s="17">
        <v>41</v>
      </c>
      <c r="F123" s="19">
        <v>228963</v>
      </c>
      <c r="G123" s="19">
        <v>1593953</v>
      </c>
      <c r="H123" s="8"/>
    </row>
    <row r="124" spans="1:8">
      <c r="A124" s="17"/>
      <c r="B124" s="18">
        <v>8002</v>
      </c>
      <c r="C124" s="17">
        <v>41</v>
      </c>
      <c r="D124" s="17" t="s">
        <v>1803</v>
      </c>
      <c r="E124" s="17">
        <v>42</v>
      </c>
      <c r="F124" s="19">
        <v>261744</v>
      </c>
      <c r="G124" s="19">
        <v>1855697</v>
      </c>
      <c r="H124" s="8"/>
    </row>
    <row r="125" spans="1:8">
      <c r="A125" s="17"/>
      <c r="B125" s="18">
        <v>8002</v>
      </c>
      <c r="C125" s="17">
        <v>42</v>
      </c>
      <c r="D125" s="17" t="s">
        <v>1804</v>
      </c>
      <c r="E125" s="17">
        <v>43</v>
      </c>
      <c r="F125" s="19">
        <v>298340</v>
      </c>
      <c r="G125" s="19">
        <v>2154037</v>
      </c>
      <c r="H125" s="8"/>
    </row>
    <row r="126" spans="1:8">
      <c r="A126" s="17"/>
      <c r="B126" s="18">
        <v>8002</v>
      </c>
      <c r="C126" s="17">
        <v>43</v>
      </c>
      <c r="D126" s="17" t="s">
        <v>1805</v>
      </c>
      <c r="E126" s="17">
        <v>44</v>
      </c>
      <c r="F126" s="19">
        <v>339088</v>
      </c>
      <c r="G126" s="19">
        <v>2493125</v>
      </c>
      <c r="H126" s="8"/>
    </row>
    <row r="127" spans="1:8">
      <c r="A127" s="17"/>
      <c r="B127" s="18">
        <v>8002</v>
      </c>
      <c r="C127" s="17">
        <v>44</v>
      </c>
      <c r="D127" s="17" t="s">
        <v>1806</v>
      </c>
      <c r="E127" s="17">
        <v>45</v>
      </c>
      <c r="F127" s="19">
        <v>384348</v>
      </c>
      <c r="G127" s="19">
        <v>2877473</v>
      </c>
      <c r="H127" s="8"/>
    </row>
    <row r="128" spans="1:8">
      <c r="A128" s="17"/>
      <c r="B128" s="18">
        <v>8002</v>
      </c>
      <c r="C128" s="17">
        <v>45</v>
      </c>
      <c r="D128" s="17" t="s">
        <v>1807</v>
      </c>
      <c r="E128" s="17">
        <v>46</v>
      </c>
      <c r="F128" s="19">
        <v>434504</v>
      </c>
      <c r="G128" s="19">
        <v>3311977</v>
      </c>
      <c r="H128" s="8"/>
    </row>
    <row r="129" spans="1:8">
      <c r="A129" s="17"/>
      <c r="B129" s="18">
        <v>8002</v>
      </c>
      <c r="C129" s="17">
        <v>46</v>
      </c>
      <c r="D129" s="17" t="s">
        <v>1808</v>
      </c>
      <c r="E129" s="17">
        <v>47</v>
      </c>
      <c r="F129" s="19">
        <v>489960</v>
      </c>
      <c r="G129" s="19">
        <v>3801937</v>
      </c>
      <c r="H129" s="8"/>
    </row>
    <row r="130" spans="1:8">
      <c r="A130" s="17"/>
      <c r="B130" s="18">
        <v>8002</v>
      </c>
      <c r="C130" s="17">
        <v>47</v>
      </c>
      <c r="D130" s="17" t="s">
        <v>1809</v>
      </c>
      <c r="E130" s="17">
        <v>48</v>
      </c>
      <c r="F130" s="19">
        <v>551142</v>
      </c>
      <c r="G130" s="19">
        <v>4353079</v>
      </c>
      <c r="H130" s="8"/>
    </row>
    <row r="131" spans="1:8">
      <c r="A131" s="17"/>
      <c r="B131" s="18">
        <v>8002</v>
      </c>
      <c r="C131" s="17">
        <v>48</v>
      </c>
      <c r="D131" s="17" t="s">
        <v>1810</v>
      </c>
      <c r="E131" s="17">
        <v>49</v>
      </c>
      <c r="F131" s="19">
        <v>618504</v>
      </c>
      <c r="G131" s="19">
        <v>4971583</v>
      </c>
      <c r="H131" s="8"/>
    </row>
    <row r="132" spans="1:8">
      <c r="A132" s="17"/>
      <c r="B132" s="18">
        <v>8002</v>
      </c>
      <c r="C132" s="17">
        <v>49</v>
      </c>
      <c r="D132" s="17" t="s">
        <v>1811</v>
      </c>
      <c r="E132" s="17">
        <v>50</v>
      </c>
      <c r="F132" s="19">
        <v>692524</v>
      </c>
      <c r="G132" s="19">
        <v>5664107</v>
      </c>
      <c r="H132" s="8"/>
    </row>
    <row r="133" spans="1:8">
      <c r="A133" s="17"/>
      <c r="B133" s="18">
        <v>8002</v>
      </c>
      <c r="C133" s="17">
        <v>50</v>
      </c>
      <c r="D133" s="17" t="s">
        <v>1812</v>
      </c>
      <c r="E133" s="17">
        <v>51</v>
      </c>
      <c r="F133" s="19">
        <v>773703</v>
      </c>
      <c r="G133" s="19">
        <v>6437810</v>
      </c>
      <c r="H133" s="8"/>
    </row>
    <row r="134" spans="1:8">
      <c r="A134" s="17"/>
      <c r="B134" s="21">
        <v>8002</v>
      </c>
      <c r="C134" s="22">
        <v>51</v>
      </c>
      <c r="D134" s="22" t="s">
        <v>1813</v>
      </c>
      <c r="E134" s="22">
        <v>52</v>
      </c>
      <c r="F134" s="23">
        <v>862571</v>
      </c>
      <c r="G134" s="19">
        <v>7300381</v>
      </c>
      <c r="H134" s="8"/>
    </row>
    <row r="135" spans="1:8">
      <c r="A135" s="17"/>
      <c r="B135" s="21">
        <v>8002</v>
      </c>
      <c r="C135" s="22">
        <v>52</v>
      </c>
      <c r="D135" s="22" t="s">
        <v>1814</v>
      </c>
      <c r="E135" s="22">
        <v>53</v>
      </c>
      <c r="F135" s="23">
        <v>959684</v>
      </c>
      <c r="G135" s="19">
        <v>8260065</v>
      </c>
      <c r="H135" s="8"/>
    </row>
    <row r="136" spans="1:8">
      <c r="A136" s="17"/>
      <c r="B136" s="21">
        <v>8002</v>
      </c>
      <c r="C136" s="22">
        <v>53</v>
      </c>
      <c r="D136" s="22" t="s">
        <v>1815</v>
      </c>
      <c r="E136" s="22">
        <v>54</v>
      </c>
      <c r="F136" s="23">
        <v>1065630</v>
      </c>
      <c r="G136" s="19">
        <v>9325695</v>
      </c>
      <c r="H136" s="8"/>
    </row>
    <row r="137" spans="1:8">
      <c r="A137" s="17"/>
      <c r="B137" s="21">
        <v>8002</v>
      </c>
      <c r="C137" s="22">
        <v>54</v>
      </c>
      <c r="D137" s="22" t="s">
        <v>1816</v>
      </c>
      <c r="E137" s="22">
        <v>55</v>
      </c>
      <c r="F137" s="23">
        <v>1181020</v>
      </c>
      <c r="G137" s="19">
        <v>10506715</v>
      </c>
      <c r="H137" s="8"/>
    </row>
    <row r="138" spans="1:8">
      <c r="A138" s="17"/>
      <c r="B138" s="21">
        <v>8002</v>
      </c>
      <c r="C138" s="22">
        <v>55</v>
      </c>
      <c r="D138" s="22" t="s">
        <v>1817</v>
      </c>
      <c r="E138" s="22">
        <v>56</v>
      </c>
      <c r="F138" s="23">
        <v>1306501</v>
      </c>
      <c r="G138" s="19">
        <v>11813216</v>
      </c>
      <c r="H138" s="8"/>
    </row>
    <row r="139" spans="1:8">
      <c r="A139" s="17"/>
      <c r="B139" s="21">
        <v>8002</v>
      </c>
      <c r="C139" s="22">
        <v>56</v>
      </c>
      <c r="D139" s="22" t="s">
        <v>1818</v>
      </c>
      <c r="E139" s="22">
        <v>57</v>
      </c>
      <c r="F139" s="23">
        <v>1442747</v>
      </c>
      <c r="G139" s="19">
        <v>13255963</v>
      </c>
      <c r="H139" s="8"/>
    </row>
    <row r="140" spans="1:8">
      <c r="A140" s="17"/>
      <c r="B140" s="21">
        <v>8002</v>
      </c>
      <c r="C140" s="22">
        <v>57</v>
      </c>
      <c r="D140" s="22" t="s">
        <v>1819</v>
      </c>
      <c r="E140" s="22">
        <v>58</v>
      </c>
      <c r="F140" s="23">
        <v>1590464</v>
      </c>
      <c r="G140" s="19">
        <v>14846427</v>
      </c>
      <c r="H140" s="8"/>
    </row>
    <row r="141" spans="1:8">
      <c r="A141" s="17"/>
      <c r="B141" s="21">
        <v>8002</v>
      </c>
      <c r="C141" s="22">
        <v>58</v>
      </c>
      <c r="D141" s="22" t="s">
        <v>1820</v>
      </c>
      <c r="E141" s="22">
        <v>59</v>
      </c>
      <c r="F141" s="23">
        <v>1750392</v>
      </c>
      <c r="G141" s="19">
        <v>16596819</v>
      </c>
      <c r="H141" s="8"/>
    </row>
    <row r="142" spans="1:8">
      <c r="A142" s="17"/>
      <c r="B142" s="21">
        <v>8002</v>
      </c>
      <c r="C142" s="22">
        <v>59</v>
      </c>
      <c r="D142" s="22" t="s">
        <v>1821</v>
      </c>
      <c r="E142" s="22">
        <v>60</v>
      </c>
      <c r="F142" s="23">
        <v>1923303</v>
      </c>
      <c r="G142" s="19">
        <v>18520122</v>
      </c>
      <c r="H142" s="8"/>
    </row>
    <row r="143" spans="1:8">
      <c r="A143" s="17"/>
      <c r="B143" s="21">
        <v>8002</v>
      </c>
      <c r="C143" s="22">
        <v>60</v>
      </c>
      <c r="D143" s="22" t="s">
        <v>1822</v>
      </c>
      <c r="E143" s="22">
        <v>61</v>
      </c>
      <c r="F143" s="23">
        <v>2110005</v>
      </c>
      <c r="G143" s="19">
        <v>20630127</v>
      </c>
      <c r="H143" s="8"/>
    </row>
    <row r="144" spans="1:8">
      <c r="A144" s="17"/>
      <c r="B144" s="21">
        <v>8002</v>
      </c>
      <c r="C144" s="22">
        <v>61</v>
      </c>
      <c r="D144" s="22" t="s">
        <v>1823</v>
      </c>
      <c r="E144" s="22">
        <v>62</v>
      </c>
      <c r="F144" s="23">
        <v>2311340</v>
      </c>
      <c r="G144" s="19">
        <v>22941467</v>
      </c>
      <c r="H144" s="8"/>
    </row>
    <row r="145" spans="1:8">
      <c r="A145" s="17"/>
      <c r="B145" s="21">
        <v>8002</v>
      </c>
      <c r="C145" s="22">
        <v>62</v>
      </c>
      <c r="D145" s="22" t="s">
        <v>1824</v>
      </c>
      <c r="E145" s="22">
        <v>63</v>
      </c>
      <c r="F145" s="23">
        <v>2528187</v>
      </c>
      <c r="G145" s="19">
        <v>25469654</v>
      </c>
      <c r="H145" s="8"/>
    </row>
    <row r="146" spans="1:8">
      <c r="A146" s="17"/>
      <c r="B146" s="21">
        <v>8002</v>
      </c>
      <c r="C146" s="22">
        <v>63</v>
      </c>
      <c r="D146" s="22" t="s">
        <v>1825</v>
      </c>
      <c r="E146" s="22">
        <v>64</v>
      </c>
      <c r="F146" s="23">
        <v>2761460</v>
      </c>
      <c r="G146" s="19">
        <v>28231114</v>
      </c>
      <c r="H146" s="8"/>
    </row>
    <row r="147" spans="1:8">
      <c r="A147" s="17"/>
      <c r="B147" s="21">
        <v>8002</v>
      </c>
      <c r="C147" s="22">
        <v>64</v>
      </c>
      <c r="D147" s="22" t="s">
        <v>1826</v>
      </c>
      <c r="E147" s="22">
        <v>65</v>
      </c>
      <c r="F147" s="23">
        <v>3012115</v>
      </c>
      <c r="G147" s="19">
        <v>31243229</v>
      </c>
      <c r="H147" s="8"/>
    </row>
    <row r="148" spans="1:8">
      <c r="A148" s="17"/>
      <c r="B148" s="21">
        <v>8002</v>
      </c>
      <c r="C148" s="22">
        <v>65</v>
      </c>
      <c r="D148" s="22" t="s">
        <v>1827</v>
      </c>
      <c r="E148" s="22">
        <v>66</v>
      </c>
      <c r="F148" s="23">
        <v>3281142</v>
      </c>
      <c r="G148" s="19">
        <v>34524371</v>
      </c>
      <c r="H148" s="8"/>
    </row>
    <row r="149" spans="1:8">
      <c r="A149" s="17"/>
      <c r="B149" s="21">
        <v>8002</v>
      </c>
      <c r="C149" s="22">
        <v>66</v>
      </c>
      <c r="D149" s="22" t="s">
        <v>1828</v>
      </c>
      <c r="E149" s="22">
        <v>67</v>
      </c>
      <c r="F149" s="23">
        <v>3569574</v>
      </c>
      <c r="G149" s="19">
        <v>38093945</v>
      </c>
      <c r="H149" s="8"/>
    </row>
    <row r="150" spans="1:8">
      <c r="A150" s="17"/>
      <c r="B150" s="21">
        <v>8002</v>
      </c>
      <c r="C150" s="22">
        <v>67</v>
      </c>
      <c r="D150" s="22" t="s">
        <v>1829</v>
      </c>
      <c r="E150" s="22">
        <v>68</v>
      </c>
      <c r="F150" s="23">
        <v>3878484</v>
      </c>
      <c r="G150" s="19">
        <v>41972429</v>
      </c>
      <c r="H150" s="8"/>
    </row>
    <row r="151" spans="1:8">
      <c r="A151" s="17"/>
      <c r="B151" s="21">
        <v>8002</v>
      </c>
      <c r="C151" s="22">
        <v>68</v>
      </c>
      <c r="D151" s="22" t="s">
        <v>1830</v>
      </c>
      <c r="E151" s="22">
        <v>69</v>
      </c>
      <c r="F151" s="23">
        <v>4208988</v>
      </c>
      <c r="G151" s="19">
        <v>46181417</v>
      </c>
      <c r="H151" s="8"/>
    </row>
    <row r="152" spans="1:8">
      <c r="A152" s="17"/>
      <c r="B152" s="21">
        <v>8002</v>
      </c>
      <c r="C152" s="22">
        <v>69</v>
      </c>
      <c r="D152" s="22" t="s">
        <v>1831</v>
      </c>
      <c r="E152" s="22">
        <v>70</v>
      </c>
      <c r="F152" s="23">
        <v>4562243</v>
      </c>
      <c r="G152" s="19">
        <v>50743660</v>
      </c>
      <c r="H152" s="8"/>
    </row>
    <row r="153" spans="1:8">
      <c r="A153" s="17"/>
      <c r="B153" s="21">
        <v>8002</v>
      </c>
      <c r="C153" s="22">
        <v>70</v>
      </c>
      <c r="D153" s="22" t="s">
        <v>1832</v>
      </c>
      <c r="E153" s="22">
        <v>71</v>
      </c>
      <c r="F153" s="23">
        <v>4939449</v>
      </c>
      <c r="G153" s="19">
        <v>55683109</v>
      </c>
      <c r="H153" s="8"/>
    </row>
    <row r="154" spans="1:8">
      <c r="A154" s="17"/>
      <c r="B154" s="21">
        <v>8002</v>
      </c>
      <c r="C154" s="22">
        <v>71</v>
      </c>
      <c r="D154" s="22" t="s">
        <v>1833</v>
      </c>
      <c r="E154" s="22">
        <v>72</v>
      </c>
      <c r="F154" s="23">
        <v>5341853</v>
      </c>
      <c r="G154" s="19">
        <v>61024962</v>
      </c>
      <c r="H154" s="8"/>
    </row>
    <row r="155" spans="1:8">
      <c r="A155" s="17"/>
      <c r="B155" s="21">
        <v>8002</v>
      </c>
      <c r="C155" s="22">
        <v>72</v>
      </c>
      <c r="D155" s="22" t="s">
        <v>1834</v>
      </c>
      <c r="E155" s="22">
        <v>73</v>
      </c>
      <c r="F155" s="23">
        <v>5770746</v>
      </c>
      <c r="G155" s="19">
        <v>66795708</v>
      </c>
      <c r="H155" s="8"/>
    </row>
    <row r="156" spans="1:8">
      <c r="A156" s="17"/>
      <c r="B156" s="21">
        <v>8002</v>
      </c>
      <c r="C156" s="22">
        <v>73</v>
      </c>
      <c r="D156" s="22" t="s">
        <v>1835</v>
      </c>
      <c r="E156" s="22">
        <v>74</v>
      </c>
      <c r="F156" s="23">
        <v>6227466</v>
      </c>
      <c r="G156" s="19">
        <v>73023174</v>
      </c>
      <c r="H156" s="8"/>
    </row>
    <row r="157" spans="1:8">
      <c r="A157" s="17"/>
      <c r="B157" s="21">
        <v>8002</v>
      </c>
      <c r="C157" s="22">
        <v>74</v>
      </c>
      <c r="D157" s="22" t="s">
        <v>1836</v>
      </c>
      <c r="E157" s="22">
        <v>75</v>
      </c>
      <c r="F157" s="23">
        <v>6713399</v>
      </c>
      <c r="G157" s="19">
        <v>79736573</v>
      </c>
      <c r="H157" s="8"/>
    </row>
    <row r="158" spans="1:8">
      <c r="A158" s="17"/>
      <c r="B158" s="21">
        <v>8002</v>
      </c>
      <c r="C158" s="22">
        <v>75</v>
      </c>
      <c r="D158" s="22" t="s">
        <v>1837</v>
      </c>
      <c r="E158" s="22">
        <v>76</v>
      </c>
      <c r="F158" s="23">
        <v>7229979</v>
      </c>
      <c r="G158" s="19">
        <v>86966552</v>
      </c>
      <c r="H158" s="8"/>
    </row>
    <row r="159" spans="1:8">
      <c r="A159" s="17"/>
      <c r="B159" s="21">
        <v>8002</v>
      </c>
      <c r="C159" s="22">
        <v>76</v>
      </c>
      <c r="D159" s="22" t="s">
        <v>1838</v>
      </c>
      <c r="E159" s="22">
        <v>77</v>
      </c>
      <c r="F159" s="23">
        <v>7778690</v>
      </c>
      <c r="G159" s="19">
        <v>94745242</v>
      </c>
      <c r="H159" s="8"/>
    </row>
    <row r="160" spans="1:8">
      <c r="A160" s="17"/>
      <c r="B160" s="21">
        <v>8002</v>
      </c>
      <c r="C160" s="22">
        <v>77</v>
      </c>
      <c r="D160" s="22" t="s">
        <v>1839</v>
      </c>
      <c r="E160" s="22">
        <v>78</v>
      </c>
      <c r="F160" s="23">
        <v>8361067</v>
      </c>
      <c r="G160" s="19">
        <v>103106309</v>
      </c>
      <c r="H160" s="8"/>
    </row>
    <row r="161" spans="1:8">
      <c r="A161" s="17"/>
      <c r="B161" s="21">
        <v>8002</v>
      </c>
      <c r="C161" s="22">
        <v>78</v>
      </c>
      <c r="D161" s="22" t="s">
        <v>1840</v>
      </c>
      <c r="E161" s="22">
        <v>79</v>
      </c>
      <c r="F161" s="23">
        <v>8978696</v>
      </c>
      <c r="G161" s="19">
        <v>112085005</v>
      </c>
      <c r="H161" s="8"/>
    </row>
    <row r="162" spans="1:8">
      <c r="A162" s="17"/>
      <c r="B162" s="21">
        <v>8002</v>
      </c>
      <c r="C162" s="22">
        <v>79</v>
      </c>
      <c r="D162" s="22" t="s">
        <v>1841</v>
      </c>
      <c r="E162" s="22">
        <v>80</v>
      </c>
      <c r="F162" s="23">
        <v>9633216</v>
      </c>
      <c r="G162" s="19">
        <v>121718221</v>
      </c>
      <c r="H162" s="8"/>
    </row>
    <row r="163" spans="1:8">
      <c r="A163" s="17"/>
      <c r="B163" s="21">
        <v>8002</v>
      </c>
      <c r="C163" s="22">
        <v>80</v>
      </c>
      <c r="D163" s="22" t="s">
        <v>1842</v>
      </c>
      <c r="E163" s="22" t="s">
        <v>1762</v>
      </c>
      <c r="F163" s="23">
        <v>10326319</v>
      </c>
      <c r="G163" s="19">
        <v>132044540</v>
      </c>
      <c r="H163" s="8"/>
    </row>
    <row r="164" spans="1:8">
      <c r="A164" s="17"/>
      <c r="B164" s="18">
        <v>8003</v>
      </c>
      <c r="C164" s="17">
        <v>1</v>
      </c>
      <c r="D164" s="17" t="s">
        <v>1843</v>
      </c>
      <c r="E164" s="17">
        <v>2</v>
      </c>
      <c r="F164" s="19">
        <v>0</v>
      </c>
      <c r="G164" s="19">
        <v>0</v>
      </c>
      <c r="H164" s="8"/>
    </row>
    <row r="165" spans="1:8">
      <c r="A165" s="17"/>
      <c r="B165" s="18">
        <v>8003</v>
      </c>
      <c r="C165" s="17">
        <v>2</v>
      </c>
      <c r="D165" s="17" t="s">
        <v>1844</v>
      </c>
      <c r="E165" s="17">
        <v>3</v>
      </c>
      <c r="F165" s="19">
        <v>88</v>
      </c>
      <c r="G165" s="19">
        <v>88</v>
      </c>
      <c r="H165" s="8"/>
    </row>
    <row r="166" spans="1:8">
      <c r="A166" s="17"/>
      <c r="B166" s="18">
        <v>8003</v>
      </c>
      <c r="C166" s="17">
        <v>3</v>
      </c>
      <c r="D166" s="17" t="s">
        <v>1845</v>
      </c>
      <c r="E166" s="17">
        <v>4</v>
      </c>
      <c r="F166" s="19">
        <v>184</v>
      </c>
      <c r="G166" s="19">
        <v>272</v>
      </c>
      <c r="H166" s="8"/>
    </row>
    <row r="167" spans="1:8">
      <c r="A167" s="17"/>
      <c r="B167" s="18">
        <v>8003</v>
      </c>
      <c r="C167" s="17">
        <v>4</v>
      </c>
      <c r="D167" s="17" t="s">
        <v>1846</v>
      </c>
      <c r="E167" s="17">
        <v>5</v>
      </c>
      <c r="F167" s="19">
        <v>288</v>
      </c>
      <c r="G167" s="19">
        <v>560</v>
      </c>
      <c r="H167" s="8"/>
    </row>
    <row r="168" spans="1:8">
      <c r="A168" s="17"/>
      <c r="B168" s="18">
        <v>8003</v>
      </c>
      <c r="C168" s="17">
        <v>5</v>
      </c>
      <c r="D168" s="17" t="s">
        <v>1847</v>
      </c>
      <c r="E168" s="17">
        <v>6</v>
      </c>
      <c r="F168" s="19">
        <v>400</v>
      </c>
      <c r="G168" s="19">
        <v>960</v>
      </c>
      <c r="H168" s="8"/>
    </row>
    <row r="169" spans="1:8">
      <c r="A169" s="17"/>
      <c r="B169" s="18">
        <v>8003</v>
      </c>
      <c r="C169" s="17">
        <v>6</v>
      </c>
      <c r="D169" s="17" t="s">
        <v>1848</v>
      </c>
      <c r="E169" s="17">
        <v>7</v>
      </c>
      <c r="F169" s="19">
        <v>523</v>
      </c>
      <c r="G169" s="19">
        <v>1483</v>
      </c>
      <c r="H169" s="8"/>
    </row>
    <row r="170" spans="1:8">
      <c r="A170" s="17"/>
      <c r="B170" s="18">
        <v>8003</v>
      </c>
      <c r="C170" s="17">
        <v>7</v>
      </c>
      <c r="D170" s="17" t="s">
        <v>1849</v>
      </c>
      <c r="E170" s="17">
        <v>8</v>
      </c>
      <c r="F170" s="19">
        <v>656</v>
      </c>
      <c r="G170" s="19">
        <v>2139</v>
      </c>
      <c r="H170" s="8"/>
    </row>
    <row r="171" spans="1:8">
      <c r="A171" s="17"/>
      <c r="B171" s="18">
        <v>8003</v>
      </c>
      <c r="C171" s="17">
        <v>8</v>
      </c>
      <c r="D171" s="17" t="s">
        <v>1850</v>
      </c>
      <c r="E171" s="17">
        <v>9</v>
      </c>
      <c r="F171" s="19">
        <v>804</v>
      </c>
      <c r="G171" s="19">
        <v>2943</v>
      </c>
      <c r="H171" s="8"/>
    </row>
    <row r="172" spans="1:8">
      <c r="A172" s="17"/>
      <c r="B172" s="18">
        <v>8003</v>
      </c>
      <c r="C172" s="17">
        <v>9</v>
      </c>
      <c r="D172" s="17" t="s">
        <v>1851</v>
      </c>
      <c r="E172" s="17">
        <v>10</v>
      </c>
      <c r="F172" s="19">
        <v>971</v>
      </c>
      <c r="G172" s="19">
        <v>3914</v>
      </c>
      <c r="H172" s="8"/>
    </row>
    <row r="173" spans="1:8">
      <c r="A173" s="17"/>
      <c r="B173" s="18">
        <v>8003</v>
      </c>
      <c r="C173" s="17">
        <v>10</v>
      </c>
      <c r="D173" s="17" t="s">
        <v>1852</v>
      </c>
      <c r="E173" s="17">
        <v>11</v>
      </c>
      <c r="F173" s="19">
        <v>1162</v>
      </c>
      <c r="G173" s="19">
        <v>5076</v>
      </c>
      <c r="H173" s="8"/>
    </row>
    <row r="174" spans="1:8">
      <c r="A174" s="17"/>
      <c r="B174" s="18">
        <v>8003</v>
      </c>
      <c r="C174" s="17">
        <v>11</v>
      </c>
      <c r="D174" s="17" t="s">
        <v>1853</v>
      </c>
      <c r="E174" s="17">
        <v>12</v>
      </c>
      <c r="F174" s="19">
        <v>1385</v>
      </c>
      <c r="G174" s="19">
        <v>6461</v>
      </c>
      <c r="H174" s="8"/>
    </row>
    <row r="175" spans="1:8">
      <c r="A175" s="17"/>
      <c r="B175" s="18">
        <v>8003</v>
      </c>
      <c r="C175" s="17">
        <v>12</v>
      </c>
      <c r="D175" s="17" t="s">
        <v>1854</v>
      </c>
      <c r="E175" s="17">
        <v>13</v>
      </c>
      <c r="F175" s="19">
        <v>1650</v>
      </c>
      <c r="G175" s="19">
        <v>8111</v>
      </c>
      <c r="H175" s="8"/>
    </row>
    <row r="176" spans="1:8">
      <c r="A176" s="17"/>
      <c r="B176" s="18">
        <v>8003</v>
      </c>
      <c r="C176" s="17">
        <v>13</v>
      </c>
      <c r="D176" s="17" t="s">
        <v>1855</v>
      </c>
      <c r="E176" s="17">
        <v>14</v>
      </c>
      <c r="F176" s="19">
        <v>1969</v>
      </c>
      <c r="G176" s="19">
        <v>10080</v>
      </c>
      <c r="H176" s="8"/>
    </row>
    <row r="177" spans="1:8">
      <c r="A177" s="17"/>
      <c r="B177" s="18">
        <v>8003</v>
      </c>
      <c r="C177" s="17">
        <v>14</v>
      </c>
      <c r="D177" s="17" t="s">
        <v>1856</v>
      </c>
      <c r="E177" s="17">
        <v>15</v>
      </c>
      <c r="F177" s="19">
        <v>2359</v>
      </c>
      <c r="G177" s="19">
        <v>12439</v>
      </c>
      <c r="H177" s="8"/>
    </row>
    <row r="178" spans="1:8">
      <c r="A178" s="17"/>
      <c r="B178" s="18">
        <v>8003</v>
      </c>
      <c r="C178" s="17">
        <v>15</v>
      </c>
      <c r="D178" s="17" t="s">
        <v>1857</v>
      </c>
      <c r="E178" s="17">
        <v>16</v>
      </c>
      <c r="F178" s="19">
        <v>2838</v>
      </c>
      <c r="G178" s="19">
        <v>15277</v>
      </c>
      <c r="H178" s="8"/>
    </row>
    <row r="179" spans="1:8">
      <c r="A179" s="17"/>
      <c r="B179" s="18">
        <v>8003</v>
      </c>
      <c r="C179" s="17">
        <v>16</v>
      </c>
      <c r="D179" s="17" t="s">
        <v>1858</v>
      </c>
      <c r="E179" s="17">
        <v>17</v>
      </c>
      <c r="F179" s="19">
        <v>3430</v>
      </c>
      <c r="G179" s="19">
        <v>18707</v>
      </c>
      <c r="H179" s="8"/>
    </row>
    <row r="180" spans="1:8">
      <c r="A180" s="17"/>
      <c r="B180" s="18">
        <v>8003</v>
      </c>
      <c r="C180" s="17">
        <v>17</v>
      </c>
      <c r="D180" s="17" t="s">
        <v>1859</v>
      </c>
      <c r="E180" s="17">
        <v>18</v>
      </c>
      <c r="F180" s="19">
        <v>4162</v>
      </c>
      <c r="G180" s="19">
        <v>22869</v>
      </c>
      <c r="H180" s="8"/>
    </row>
    <row r="181" spans="1:8">
      <c r="A181" s="17"/>
      <c r="B181" s="18">
        <v>8003</v>
      </c>
      <c r="C181" s="17">
        <v>18</v>
      </c>
      <c r="D181" s="17" t="s">
        <v>1860</v>
      </c>
      <c r="E181" s="17">
        <v>19</v>
      </c>
      <c r="F181" s="19">
        <v>5066</v>
      </c>
      <c r="G181" s="19">
        <v>27935</v>
      </c>
      <c r="H181" s="8"/>
    </row>
    <row r="182" spans="1:8">
      <c r="A182" s="17"/>
      <c r="B182" s="18">
        <v>8003</v>
      </c>
      <c r="C182" s="17">
        <v>19</v>
      </c>
      <c r="D182" s="17" t="s">
        <v>1861</v>
      </c>
      <c r="E182" s="17">
        <v>20</v>
      </c>
      <c r="F182" s="19">
        <v>6180</v>
      </c>
      <c r="G182" s="19">
        <v>34115</v>
      </c>
      <c r="H182" s="8"/>
    </row>
    <row r="183" spans="1:8">
      <c r="A183" s="17"/>
      <c r="B183" s="18">
        <v>8003</v>
      </c>
      <c r="C183" s="17">
        <v>20</v>
      </c>
      <c r="D183" s="17" t="s">
        <v>1862</v>
      </c>
      <c r="E183" s="17">
        <v>21</v>
      </c>
      <c r="F183" s="19">
        <v>7548</v>
      </c>
      <c r="G183" s="19">
        <v>41663</v>
      </c>
      <c r="H183" s="8"/>
    </row>
    <row r="184" spans="1:8">
      <c r="A184" s="17"/>
      <c r="B184" s="18">
        <v>8003</v>
      </c>
      <c r="C184" s="17">
        <v>21</v>
      </c>
      <c r="D184" s="17" t="s">
        <v>1863</v>
      </c>
      <c r="E184" s="17">
        <v>22</v>
      </c>
      <c r="F184" s="19">
        <v>9219</v>
      </c>
      <c r="G184" s="19">
        <v>50882</v>
      </c>
      <c r="H184" s="8"/>
    </row>
    <row r="185" spans="1:8">
      <c r="A185" s="17"/>
      <c r="B185" s="18">
        <v>8003</v>
      </c>
      <c r="C185" s="17">
        <v>22</v>
      </c>
      <c r="D185" s="17" t="s">
        <v>1864</v>
      </c>
      <c r="E185" s="17">
        <v>23</v>
      </c>
      <c r="F185" s="19">
        <v>11249</v>
      </c>
      <c r="G185" s="19">
        <v>62131</v>
      </c>
      <c r="H185" s="8"/>
    </row>
    <row r="186" spans="1:8">
      <c r="A186" s="17"/>
      <c r="B186" s="18">
        <v>8003</v>
      </c>
      <c r="C186" s="17">
        <v>23</v>
      </c>
      <c r="D186" s="17" t="s">
        <v>1865</v>
      </c>
      <c r="E186" s="17">
        <v>24</v>
      </c>
      <c r="F186" s="19">
        <v>13702</v>
      </c>
      <c r="G186" s="19">
        <v>75833</v>
      </c>
      <c r="H186" s="8"/>
    </row>
    <row r="187" spans="1:8">
      <c r="A187" s="17"/>
      <c r="B187" s="18">
        <v>8003</v>
      </c>
      <c r="C187" s="17">
        <v>24</v>
      </c>
      <c r="D187" s="17" t="s">
        <v>1866</v>
      </c>
      <c r="E187" s="17">
        <v>25</v>
      </c>
      <c r="F187" s="19">
        <v>16650</v>
      </c>
      <c r="G187" s="19">
        <v>92483</v>
      </c>
      <c r="H187" s="8"/>
    </row>
    <row r="188" spans="1:8">
      <c r="A188" s="17"/>
      <c r="B188" s="18">
        <v>8003</v>
      </c>
      <c r="C188" s="17">
        <v>25</v>
      </c>
      <c r="D188" s="17" t="s">
        <v>1867</v>
      </c>
      <c r="E188" s="17">
        <v>26</v>
      </c>
      <c r="F188" s="19">
        <v>20172</v>
      </c>
      <c r="G188" s="19">
        <v>112655</v>
      </c>
      <c r="H188" s="8"/>
    </row>
    <row r="189" spans="1:8">
      <c r="A189" s="17"/>
      <c r="B189" s="18">
        <v>8003</v>
      </c>
      <c r="C189" s="17">
        <v>26</v>
      </c>
      <c r="D189" s="17" t="s">
        <v>1868</v>
      </c>
      <c r="E189" s="17">
        <v>27</v>
      </c>
      <c r="F189" s="19">
        <v>24358</v>
      </c>
      <c r="G189" s="19">
        <v>137013</v>
      </c>
      <c r="H189" s="8"/>
    </row>
    <row r="190" spans="1:8">
      <c r="A190" s="17"/>
      <c r="B190" s="18">
        <v>8003</v>
      </c>
      <c r="C190" s="17">
        <v>27</v>
      </c>
      <c r="D190" s="17" t="s">
        <v>1869</v>
      </c>
      <c r="E190" s="17">
        <v>28</v>
      </c>
      <c r="F190" s="19">
        <v>29306</v>
      </c>
      <c r="G190" s="19">
        <v>166319</v>
      </c>
      <c r="H190" s="8"/>
    </row>
    <row r="191" spans="1:8">
      <c r="A191" s="17"/>
      <c r="B191" s="18">
        <v>8003</v>
      </c>
      <c r="C191" s="17">
        <v>28</v>
      </c>
      <c r="D191" s="17" t="s">
        <v>1870</v>
      </c>
      <c r="E191" s="17">
        <v>29</v>
      </c>
      <c r="F191" s="19">
        <v>35124</v>
      </c>
      <c r="G191" s="19">
        <v>201443</v>
      </c>
      <c r="H191" s="8"/>
    </row>
    <row r="192" spans="1:8">
      <c r="A192" s="17"/>
      <c r="B192" s="18">
        <v>8003</v>
      </c>
      <c r="C192" s="17">
        <v>29</v>
      </c>
      <c r="D192" s="17" t="s">
        <v>1871</v>
      </c>
      <c r="E192" s="17">
        <v>30</v>
      </c>
      <c r="F192" s="19">
        <v>41933</v>
      </c>
      <c r="G192" s="19">
        <v>243376</v>
      </c>
      <c r="H192" s="8"/>
    </row>
    <row r="193" spans="1:8">
      <c r="A193" s="17"/>
      <c r="B193" s="18">
        <v>8003</v>
      </c>
      <c r="C193" s="17">
        <v>30</v>
      </c>
      <c r="D193" s="17" t="s">
        <v>1872</v>
      </c>
      <c r="E193" s="17">
        <v>31</v>
      </c>
      <c r="F193" s="19">
        <v>49863</v>
      </c>
      <c r="G193" s="19">
        <v>293239</v>
      </c>
      <c r="H193" s="8"/>
    </row>
    <row r="194" spans="1:8">
      <c r="A194" s="17"/>
      <c r="B194" s="18">
        <v>8003</v>
      </c>
      <c r="C194" s="17">
        <v>31</v>
      </c>
      <c r="D194" s="17" t="s">
        <v>1873</v>
      </c>
      <c r="E194" s="17">
        <v>32</v>
      </c>
      <c r="F194" s="19">
        <v>59056</v>
      </c>
      <c r="G194" s="19">
        <v>352295</v>
      </c>
      <c r="H194" s="8"/>
    </row>
    <row r="195" spans="1:8">
      <c r="A195" s="17"/>
      <c r="B195" s="18">
        <v>8003</v>
      </c>
      <c r="C195" s="17">
        <v>32</v>
      </c>
      <c r="D195" s="17" t="s">
        <v>1874</v>
      </c>
      <c r="E195" s="17">
        <v>33</v>
      </c>
      <c r="F195" s="19">
        <v>69667</v>
      </c>
      <c r="G195" s="19">
        <v>421962</v>
      </c>
      <c r="H195" s="8"/>
    </row>
    <row r="196" spans="1:8">
      <c r="A196" s="17"/>
      <c r="B196" s="18">
        <v>8003</v>
      </c>
      <c r="C196" s="17">
        <v>33</v>
      </c>
      <c r="D196" s="17" t="s">
        <v>1875</v>
      </c>
      <c r="E196" s="17">
        <v>34</v>
      </c>
      <c r="F196" s="19">
        <v>81866</v>
      </c>
      <c r="G196" s="19">
        <v>503828</v>
      </c>
      <c r="H196" s="8"/>
    </row>
    <row r="197" spans="1:8">
      <c r="A197" s="17"/>
      <c r="B197" s="18">
        <v>8003</v>
      </c>
      <c r="C197" s="17">
        <v>34</v>
      </c>
      <c r="D197" s="17" t="s">
        <v>1876</v>
      </c>
      <c r="E197" s="17">
        <v>35</v>
      </c>
      <c r="F197" s="19">
        <v>95835</v>
      </c>
      <c r="G197" s="19">
        <v>599663</v>
      </c>
      <c r="H197" s="8"/>
    </row>
    <row r="198" spans="1:8">
      <c r="A198" s="17"/>
      <c r="B198" s="18">
        <v>8003</v>
      </c>
      <c r="C198" s="17">
        <v>35</v>
      </c>
      <c r="D198" s="17" t="s">
        <v>1877</v>
      </c>
      <c r="E198" s="17">
        <v>36</v>
      </c>
      <c r="F198" s="19">
        <v>111771</v>
      </c>
      <c r="G198" s="19">
        <v>711434</v>
      </c>
      <c r="H198" s="8"/>
    </row>
    <row r="199" spans="1:8">
      <c r="A199" s="17"/>
      <c r="B199" s="18">
        <v>8003</v>
      </c>
      <c r="C199" s="17">
        <v>36</v>
      </c>
      <c r="D199" s="17" t="s">
        <v>1878</v>
      </c>
      <c r="E199" s="17">
        <v>37</v>
      </c>
      <c r="F199" s="19">
        <v>129886</v>
      </c>
      <c r="G199" s="19">
        <v>841320</v>
      </c>
      <c r="H199" s="8"/>
    </row>
    <row r="200" spans="1:8">
      <c r="A200" s="17"/>
      <c r="B200" s="18">
        <v>8003</v>
      </c>
      <c r="C200" s="17">
        <v>37</v>
      </c>
      <c r="D200" s="17" t="s">
        <v>1879</v>
      </c>
      <c r="E200" s="17">
        <v>38</v>
      </c>
      <c r="F200" s="19">
        <v>150409</v>
      </c>
      <c r="G200" s="19">
        <v>991729</v>
      </c>
      <c r="H200" s="8"/>
    </row>
    <row r="201" spans="1:8">
      <c r="A201" s="17"/>
      <c r="B201" s="18">
        <v>8003</v>
      </c>
      <c r="C201" s="17">
        <v>38</v>
      </c>
      <c r="D201" s="17" t="s">
        <v>1880</v>
      </c>
      <c r="E201" s="17">
        <v>39</v>
      </c>
      <c r="F201" s="19">
        <v>173585</v>
      </c>
      <c r="G201" s="19">
        <v>1165314</v>
      </c>
      <c r="H201" s="8"/>
    </row>
    <row r="202" spans="1:8">
      <c r="A202" s="17"/>
      <c r="B202" s="18">
        <v>8003</v>
      </c>
      <c r="C202" s="17">
        <v>39</v>
      </c>
      <c r="D202" s="17" t="s">
        <v>1881</v>
      </c>
      <c r="E202" s="17">
        <v>40</v>
      </c>
      <c r="F202" s="19">
        <v>199676</v>
      </c>
      <c r="G202" s="19">
        <v>1364990</v>
      </c>
      <c r="H202" s="8"/>
    </row>
    <row r="203" spans="1:8">
      <c r="A203" s="17"/>
      <c r="B203" s="18">
        <v>8003</v>
      </c>
      <c r="C203" s="17">
        <v>40</v>
      </c>
      <c r="D203" s="17" t="s">
        <v>1882</v>
      </c>
      <c r="E203" s="17">
        <v>41</v>
      </c>
      <c r="F203" s="19">
        <v>228963</v>
      </c>
      <c r="G203" s="19">
        <v>1593953</v>
      </c>
      <c r="H203" s="8"/>
    </row>
    <row r="204" spans="1:8">
      <c r="A204" s="17"/>
      <c r="B204" s="18">
        <v>8003</v>
      </c>
      <c r="C204" s="17">
        <v>41</v>
      </c>
      <c r="D204" s="17" t="s">
        <v>1883</v>
      </c>
      <c r="E204" s="17">
        <v>42</v>
      </c>
      <c r="F204" s="19">
        <v>261744</v>
      </c>
      <c r="G204" s="19">
        <v>1855697</v>
      </c>
      <c r="H204" s="8"/>
    </row>
    <row r="205" spans="1:8">
      <c r="A205" s="17"/>
      <c r="B205" s="18">
        <v>8003</v>
      </c>
      <c r="C205" s="17">
        <v>42</v>
      </c>
      <c r="D205" s="17" t="s">
        <v>1884</v>
      </c>
      <c r="E205" s="17">
        <v>43</v>
      </c>
      <c r="F205" s="19">
        <v>298340</v>
      </c>
      <c r="G205" s="19">
        <v>2154037</v>
      </c>
      <c r="H205" s="8"/>
    </row>
    <row r="206" spans="1:8">
      <c r="A206" s="17"/>
      <c r="B206" s="18">
        <v>8003</v>
      </c>
      <c r="C206" s="17">
        <v>43</v>
      </c>
      <c r="D206" s="17" t="s">
        <v>1885</v>
      </c>
      <c r="E206" s="17">
        <v>44</v>
      </c>
      <c r="F206" s="19">
        <v>339088</v>
      </c>
      <c r="G206" s="19">
        <v>2493125</v>
      </c>
      <c r="H206" s="8"/>
    </row>
    <row r="207" spans="1:8">
      <c r="A207" s="17"/>
      <c r="B207" s="18">
        <v>8003</v>
      </c>
      <c r="C207" s="17">
        <v>44</v>
      </c>
      <c r="D207" s="17" t="s">
        <v>1886</v>
      </c>
      <c r="E207" s="17">
        <v>45</v>
      </c>
      <c r="F207" s="19">
        <v>384348</v>
      </c>
      <c r="G207" s="19">
        <v>2877473</v>
      </c>
      <c r="H207" s="8"/>
    </row>
    <row r="208" spans="1:8">
      <c r="A208" s="17"/>
      <c r="B208" s="18">
        <v>8003</v>
      </c>
      <c r="C208" s="17">
        <v>45</v>
      </c>
      <c r="D208" s="17" t="s">
        <v>1887</v>
      </c>
      <c r="E208" s="17">
        <v>46</v>
      </c>
      <c r="F208" s="19">
        <v>434504</v>
      </c>
      <c r="G208" s="19">
        <v>3311977</v>
      </c>
      <c r="H208" s="8"/>
    </row>
    <row r="209" spans="1:8">
      <c r="A209" s="17"/>
      <c r="B209" s="18">
        <v>8003</v>
      </c>
      <c r="C209" s="17">
        <v>46</v>
      </c>
      <c r="D209" s="17" t="s">
        <v>1888</v>
      </c>
      <c r="E209" s="17">
        <v>47</v>
      </c>
      <c r="F209" s="19">
        <v>489960</v>
      </c>
      <c r="G209" s="19">
        <v>3801937</v>
      </c>
      <c r="H209" s="8"/>
    </row>
    <row r="210" spans="1:8">
      <c r="A210" s="17"/>
      <c r="B210" s="18">
        <v>8003</v>
      </c>
      <c r="C210" s="17">
        <v>47</v>
      </c>
      <c r="D210" s="17" t="s">
        <v>1889</v>
      </c>
      <c r="E210" s="17">
        <v>48</v>
      </c>
      <c r="F210" s="19">
        <v>551142</v>
      </c>
      <c r="G210" s="19">
        <v>4353079</v>
      </c>
      <c r="H210" s="8"/>
    </row>
    <row r="211" spans="1:8">
      <c r="A211" s="17"/>
      <c r="B211" s="18">
        <v>8003</v>
      </c>
      <c r="C211" s="17">
        <v>48</v>
      </c>
      <c r="D211" s="17" t="s">
        <v>1890</v>
      </c>
      <c r="E211" s="17">
        <v>49</v>
      </c>
      <c r="F211" s="19">
        <v>618504</v>
      </c>
      <c r="G211" s="19">
        <v>4971583</v>
      </c>
      <c r="H211" s="8"/>
    </row>
    <row r="212" spans="1:8">
      <c r="A212" s="17"/>
      <c r="B212" s="18">
        <v>8003</v>
      </c>
      <c r="C212" s="17">
        <v>49</v>
      </c>
      <c r="D212" s="17" t="s">
        <v>1891</v>
      </c>
      <c r="E212" s="17">
        <v>50</v>
      </c>
      <c r="F212" s="19">
        <v>692524</v>
      </c>
      <c r="G212" s="19">
        <v>5664107</v>
      </c>
      <c r="H212" s="8"/>
    </row>
    <row r="213" spans="1:8">
      <c r="A213" s="17"/>
      <c r="B213" s="18">
        <v>8003</v>
      </c>
      <c r="C213" s="17">
        <v>50</v>
      </c>
      <c r="D213" s="17" t="s">
        <v>1892</v>
      </c>
      <c r="E213" s="17">
        <v>51</v>
      </c>
      <c r="F213" s="19">
        <v>773703</v>
      </c>
      <c r="G213" s="19">
        <v>6437810</v>
      </c>
      <c r="H213" s="8"/>
    </row>
    <row r="214" spans="1:8">
      <c r="A214" s="17"/>
      <c r="B214" s="21">
        <v>8003</v>
      </c>
      <c r="C214" s="22">
        <v>51</v>
      </c>
      <c r="D214" s="22" t="s">
        <v>1893</v>
      </c>
      <c r="E214" s="22">
        <v>52</v>
      </c>
      <c r="F214" s="23">
        <v>862571</v>
      </c>
      <c r="G214" s="19">
        <v>7300381</v>
      </c>
      <c r="H214" s="8"/>
    </row>
    <row r="215" spans="1:8">
      <c r="A215" s="17"/>
      <c r="B215" s="21">
        <v>8003</v>
      </c>
      <c r="C215" s="22">
        <v>52</v>
      </c>
      <c r="D215" s="22" t="s">
        <v>1894</v>
      </c>
      <c r="E215" s="22">
        <v>53</v>
      </c>
      <c r="F215" s="23">
        <v>959684</v>
      </c>
      <c r="G215" s="19">
        <v>8260065</v>
      </c>
      <c r="H215" s="8"/>
    </row>
    <row r="216" spans="1:8">
      <c r="A216" s="25"/>
      <c r="B216" s="21">
        <v>8003</v>
      </c>
      <c r="C216" s="22">
        <v>53</v>
      </c>
      <c r="D216" s="22" t="s">
        <v>1895</v>
      </c>
      <c r="E216" s="22">
        <v>54</v>
      </c>
      <c r="F216" s="23">
        <v>1065630</v>
      </c>
      <c r="G216" s="19">
        <v>9325695</v>
      </c>
      <c r="H216" s="25"/>
    </row>
    <row r="217" spans="1:8">
      <c r="A217" s="17"/>
      <c r="B217" s="21">
        <v>8003</v>
      </c>
      <c r="C217" s="22">
        <v>54</v>
      </c>
      <c r="D217" s="22" t="s">
        <v>1896</v>
      </c>
      <c r="E217" s="22">
        <v>55</v>
      </c>
      <c r="F217" s="23">
        <v>1181020</v>
      </c>
      <c r="G217" s="19">
        <v>10506715</v>
      </c>
      <c r="H217" s="8"/>
    </row>
    <row r="218" spans="1:8">
      <c r="A218" s="17"/>
      <c r="B218" s="21">
        <v>8003</v>
      </c>
      <c r="C218" s="22">
        <v>55</v>
      </c>
      <c r="D218" s="22" t="s">
        <v>1897</v>
      </c>
      <c r="E218" s="22">
        <v>56</v>
      </c>
      <c r="F218" s="23">
        <v>1306501</v>
      </c>
      <c r="G218" s="19">
        <v>11813216</v>
      </c>
      <c r="H218" s="8"/>
    </row>
    <row r="219" spans="1:8">
      <c r="A219" s="17"/>
      <c r="B219" s="21">
        <v>8003</v>
      </c>
      <c r="C219" s="22">
        <v>56</v>
      </c>
      <c r="D219" s="22" t="s">
        <v>1898</v>
      </c>
      <c r="E219" s="22">
        <v>57</v>
      </c>
      <c r="F219" s="23">
        <v>1442747</v>
      </c>
      <c r="G219" s="19">
        <v>13255963</v>
      </c>
      <c r="H219" s="8"/>
    </row>
    <row r="220" spans="1:8">
      <c r="A220" s="17"/>
      <c r="B220" s="21">
        <v>8003</v>
      </c>
      <c r="C220" s="22">
        <v>57</v>
      </c>
      <c r="D220" s="22" t="s">
        <v>1899</v>
      </c>
      <c r="E220" s="22">
        <v>58</v>
      </c>
      <c r="F220" s="23">
        <v>1590464</v>
      </c>
      <c r="G220" s="19">
        <v>14846427</v>
      </c>
      <c r="H220" s="8"/>
    </row>
    <row r="221" spans="1:8">
      <c r="A221" s="17"/>
      <c r="B221" s="21">
        <v>8003</v>
      </c>
      <c r="C221" s="22">
        <v>58</v>
      </c>
      <c r="D221" s="22" t="s">
        <v>1900</v>
      </c>
      <c r="E221" s="22">
        <v>59</v>
      </c>
      <c r="F221" s="23">
        <v>1750392</v>
      </c>
      <c r="G221" s="19">
        <v>16596819</v>
      </c>
      <c r="H221" s="8"/>
    </row>
    <row r="222" spans="1:8">
      <c r="A222" s="17"/>
      <c r="B222" s="21">
        <v>8003</v>
      </c>
      <c r="C222" s="22">
        <v>59</v>
      </c>
      <c r="D222" s="22" t="s">
        <v>1901</v>
      </c>
      <c r="E222" s="22">
        <v>60</v>
      </c>
      <c r="F222" s="23">
        <v>1923303</v>
      </c>
      <c r="G222" s="19">
        <v>18520122</v>
      </c>
      <c r="H222" s="8"/>
    </row>
    <row r="223" spans="1:8">
      <c r="A223" s="17"/>
      <c r="B223" s="21">
        <v>8003</v>
      </c>
      <c r="C223" s="22">
        <v>60</v>
      </c>
      <c r="D223" s="22" t="s">
        <v>1902</v>
      </c>
      <c r="E223" s="22">
        <v>61</v>
      </c>
      <c r="F223" s="23">
        <v>2110005</v>
      </c>
      <c r="G223" s="19">
        <v>20630127</v>
      </c>
      <c r="H223" s="8"/>
    </row>
    <row r="224" spans="1:8">
      <c r="A224" s="17"/>
      <c r="B224" s="21">
        <v>8003</v>
      </c>
      <c r="C224" s="22">
        <v>61</v>
      </c>
      <c r="D224" s="22" t="s">
        <v>1903</v>
      </c>
      <c r="E224" s="22">
        <v>62</v>
      </c>
      <c r="F224" s="23">
        <v>2311340</v>
      </c>
      <c r="G224" s="19">
        <v>22941467</v>
      </c>
      <c r="H224" s="8"/>
    </row>
    <row r="225" spans="1:8">
      <c r="A225" s="17"/>
      <c r="B225" s="21">
        <v>8003</v>
      </c>
      <c r="C225" s="22">
        <v>62</v>
      </c>
      <c r="D225" s="22" t="s">
        <v>1904</v>
      </c>
      <c r="E225" s="22">
        <v>63</v>
      </c>
      <c r="F225" s="23">
        <v>2528187</v>
      </c>
      <c r="G225" s="19">
        <v>25469654</v>
      </c>
      <c r="H225" s="8"/>
    </row>
    <row r="226" spans="1:8">
      <c r="A226" s="17"/>
      <c r="B226" s="21">
        <v>8003</v>
      </c>
      <c r="C226" s="22">
        <v>63</v>
      </c>
      <c r="D226" s="22" t="s">
        <v>1905</v>
      </c>
      <c r="E226" s="22">
        <v>64</v>
      </c>
      <c r="F226" s="23">
        <v>2761460</v>
      </c>
      <c r="G226" s="19">
        <v>28231114</v>
      </c>
      <c r="H226" s="8"/>
    </row>
    <row r="227" spans="1:8">
      <c r="A227" s="17"/>
      <c r="B227" s="21">
        <v>8003</v>
      </c>
      <c r="C227" s="22">
        <v>64</v>
      </c>
      <c r="D227" s="22" t="s">
        <v>1906</v>
      </c>
      <c r="E227" s="22">
        <v>65</v>
      </c>
      <c r="F227" s="23">
        <v>3012115</v>
      </c>
      <c r="G227" s="19">
        <v>31243229</v>
      </c>
      <c r="H227" s="8"/>
    </row>
    <row r="228" spans="1:8">
      <c r="A228" s="17"/>
      <c r="B228" s="21">
        <v>8003</v>
      </c>
      <c r="C228" s="22">
        <v>65</v>
      </c>
      <c r="D228" s="22" t="s">
        <v>1907</v>
      </c>
      <c r="E228" s="22">
        <v>66</v>
      </c>
      <c r="F228" s="23">
        <v>3281142</v>
      </c>
      <c r="G228" s="19">
        <v>34524371</v>
      </c>
      <c r="H228" s="8"/>
    </row>
    <row r="229" spans="1:8">
      <c r="A229" s="17"/>
      <c r="B229" s="21">
        <v>8003</v>
      </c>
      <c r="C229" s="22">
        <v>66</v>
      </c>
      <c r="D229" s="22" t="s">
        <v>1908</v>
      </c>
      <c r="E229" s="22">
        <v>67</v>
      </c>
      <c r="F229" s="23">
        <v>3569574</v>
      </c>
      <c r="G229" s="19">
        <v>38093945</v>
      </c>
      <c r="H229" s="8"/>
    </row>
    <row r="230" spans="1:8">
      <c r="A230" s="17"/>
      <c r="B230" s="21">
        <v>8003</v>
      </c>
      <c r="C230" s="22">
        <v>67</v>
      </c>
      <c r="D230" s="22" t="s">
        <v>1909</v>
      </c>
      <c r="E230" s="22">
        <v>68</v>
      </c>
      <c r="F230" s="23">
        <v>3878484</v>
      </c>
      <c r="G230" s="19">
        <v>41972429</v>
      </c>
      <c r="H230" s="8"/>
    </row>
    <row r="231" spans="1:8">
      <c r="A231" s="17"/>
      <c r="B231" s="21">
        <v>8003</v>
      </c>
      <c r="C231" s="22">
        <v>68</v>
      </c>
      <c r="D231" s="22" t="s">
        <v>1910</v>
      </c>
      <c r="E231" s="22">
        <v>69</v>
      </c>
      <c r="F231" s="23">
        <v>4208988</v>
      </c>
      <c r="G231" s="19">
        <v>46181417</v>
      </c>
      <c r="H231" s="8"/>
    </row>
    <row r="232" spans="1:8">
      <c r="A232" s="17"/>
      <c r="B232" s="21">
        <v>8003</v>
      </c>
      <c r="C232" s="22">
        <v>69</v>
      </c>
      <c r="D232" s="22" t="s">
        <v>1911</v>
      </c>
      <c r="E232" s="22">
        <v>70</v>
      </c>
      <c r="F232" s="23">
        <v>4562243</v>
      </c>
      <c r="G232" s="19">
        <v>50743660</v>
      </c>
      <c r="H232" s="8"/>
    </row>
    <row r="233" spans="1:8">
      <c r="A233" s="17"/>
      <c r="B233" s="21">
        <v>8003</v>
      </c>
      <c r="C233" s="22">
        <v>70</v>
      </c>
      <c r="D233" s="22" t="s">
        <v>1912</v>
      </c>
      <c r="E233" s="22">
        <v>71</v>
      </c>
      <c r="F233" s="23">
        <v>4939449</v>
      </c>
      <c r="G233" s="19">
        <v>55683109</v>
      </c>
      <c r="H233" s="8"/>
    </row>
    <row r="234" spans="1:8">
      <c r="A234" s="17"/>
      <c r="B234" s="21">
        <v>8003</v>
      </c>
      <c r="C234" s="22">
        <v>71</v>
      </c>
      <c r="D234" s="22" t="s">
        <v>1913</v>
      </c>
      <c r="E234" s="22">
        <v>72</v>
      </c>
      <c r="F234" s="23">
        <v>5341853</v>
      </c>
      <c r="G234" s="19">
        <v>61024962</v>
      </c>
      <c r="H234" s="8"/>
    </row>
    <row r="235" spans="1:8">
      <c r="A235" s="17"/>
      <c r="B235" s="21">
        <v>8003</v>
      </c>
      <c r="C235" s="22">
        <v>72</v>
      </c>
      <c r="D235" s="22" t="s">
        <v>1914</v>
      </c>
      <c r="E235" s="22">
        <v>73</v>
      </c>
      <c r="F235" s="23">
        <v>5770746</v>
      </c>
      <c r="G235" s="19">
        <v>66795708</v>
      </c>
      <c r="H235" s="8"/>
    </row>
    <row r="236" spans="1:8">
      <c r="A236" s="17"/>
      <c r="B236" s="21">
        <v>8003</v>
      </c>
      <c r="C236" s="22">
        <v>73</v>
      </c>
      <c r="D236" s="22" t="s">
        <v>1915</v>
      </c>
      <c r="E236" s="22">
        <v>74</v>
      </c>
      <c r="F236" s="23">
        <v>6227466</v>
      </c>
      <c r="G236" s="19">
        <v>73023174</v>
      </c>
      <c r="H236" s="8"/>
    </row>
    <row r="237" spans="1:8">
      <c r="A237" s="17"/>
      <c r="B237" s="21">
        <v>8003</v>
      </c>
      <c r="C237" s="22">
        <v>74</v>
      </c>
      <c r="D237" s="22" t="s">
        <v>1916</v>
      </c>
      <c r="E237" s="22">
        <v>75</v>
      </c>
      <c r="F237" s="23">
        <v>6713399</v>
      </c>
      <c r="G237" s="19">
        <v>79736573</v>
      </c>
      <c r="H237" s="8"/>
    </row>
    <row r="238" spans="1:8">
      <c r="A238" s="17"/>
      <c r="B238" s="21">
        <v>8003</v>
      </c>
      <c r="C238" s="22">
        <v>75</v>
      </c>
      <c r="D238" s="22" t="s">
        <v>1917</v>
      </c>
      <c r="E238" s="22">
        <v>76</v>
      </c>
      <c r="F238" s="23">
        <v>7229979</v>
      </c>
      <c r="G238" s="19">
        <v>86966552</v>
      </c>
      <c r="H238" s="8"/>
    </row>
    <row r="239" spans="1:8">
      <c r="A239" s="17"/>
      <c r="B239" s="21">
        <v>8003</v>
      </c>
      <c r="C239" s="22">
        <v>76</v>
      </c>
      <c r="D239" s="22" t="s">
        <v>1918</v>
      </c>
      <c r="E239" s="22">
        <v>77</v>
      </c>
      <c r="F239" s="23">
        <v>7778690</v>
      </c>
      <c r="G239" s="19">
        <v>94745242</v>
      </c>
      <c r="H239" s="8"/>
    </row>
    <row r="240" spans="1:8">
      <c r="A240" s="17"/>
      <c r="B240" s="21">
        <v>8003</v>
      </c>
      <c r="C240" s="22">
        <v>77</v>
      </c>
      <c r="D240" s="22" t="s">
        <v>1919</v>
      </c>
      <c r="E240" s="22">
        <v>78</v>
      </c>
      <c r="F240" s="23">
        <v>8361067</v>
      </c>
      <c r="G240" s="19">
        <v>103106309</v>
      </c>
      <c r="H240" s="8"/>
    </row>
    <row r="241" spans="1:8">
      <c r="A241" s="17"/>
      <c r="B241" s="21">
        <v>8003</v>
      </c>
      <c r="C241" s="22">
        <v>78</v>
      </c>
      <c r="D241" s="22" t="s">
        <v>1920</v>
      </c>
      <c r="E241" s="22">
        <v>79</v>
      </c>
      <c r="F241" s="23">
        <v>8978696</v>
      </c>
      <c r="G241" s="19">
        <v>112085005</v>
      </c>
      <c r="H241" s="8"/>
    </row>
    <row r="242" spans="1:8">
      <c r="A242" s="17"/>
      <c r="B242" s="21">
        <v>8003</v>
      </c>
      <c r="C242" s="22">
        <v>79</v>
      </c>
      <c r="D242" s="22" t="s">
        <v>1921</v>
      </c>
      <c r="E242" s="22">
        <v>80</v>
      </c>
      <c r="F242" s="23">
        <v>9633216</v>
      </c>
      <c r="G242" s="19">
        <v>121718221</v>
      </c>
      <c r="H242" s="8"/>
    </row>
    <row r="243" spans="1:8">
      <c r="A243" s="17"/>
      <c r="B243" s="21">
        <v>8003</v>
      </c>
      <c r="C243" s="22">
        <v>80</v>
      </c>
      <c r="D243" s="22" t="s">
        <v>1922</v>
      </c>
      <c r="E243" s="22" t="s">
        <v>1762</v>
      </c>
      <c r="F243" s="23">
        <v>10326319</v>
      </c>
      <c r="G243" s="19">
        <v>132044540</v>
      </c>
      <c r="H243" s="8"/>
    </row>
    <row r="244" spans="1:8">
      <c r="A244" s="17"/>
      <c r="B244" s="18">
        <v>8004</v>
      </c>
      <c r="C244" s="17">
        <v>1</v>
      </c>
      <c r="D244" s="17" t="s">
        <v>1923</v>
      </c>
      <c r="E244" s="17">
        <v>2</v>
      </c>
      <c r="F244" s="19">
        <v>0</v>
      </c>
      <c r="G244" s="19">
        <v>0</v>
      </c>
      <c r="H244" s="8"/>
    </row>
    <row r="245" spans="1:8">
      <c r="A245" s="17"/>
      <c r="B245" s="18">
        <v>8004</v>
      </c>
      <c r="C245" s="17">
        <v>2</v>
      </c>
      <c r="D245" s="17" t="s">
        <v>1924</v>
      </c>
      <c r="E245" s="17">
        <v>3</v>
      </c>
      <c r="F245" s="19">
        <v>88</v>
      </c>
      <c r="G245" s="19">
        <v>88</v>
      </c>
      <c r="H245" s="8"/>
    </row>
    <row r="246" spans="1:8">
      <c r="A246" s="17"/>
      <c r="B246" s="18">
        <v>8004</v>
      </c>
      <c r="C246" s="17">
        <v>3</v>
      </c>
      <c r="D246" s="17" t="s">
        <v>1925</v>
      </c>
      <c r="E246" s="17">
        <v>4</v>
      </c>
      <c r="F246" s="19">
        <v>184</v>
      </c>
      <c r="G246" s="19">
        <v>272</v>
      </c>
      <c r="H246" s="8"/>
    </row>
    <row r="247" spans="1:8">
      <c r="A247" s="17"/>
      <c r="B247" s="18">
        <v>8004</v>
      </c>
      <c r="C247" s="17">
        <v>4</v>
      </c>
      <c r="D247" s="17" t="s">
        <v>1926</v>
      </c>
      <c r="E247" s="17">
        <v>5</v>
      </c>
      <c r="F247" s="19">
        <v>288</v>
      </c>
      <c r="G247" s="19">
        <v>560</v>
      </c>
      <c r="H247" s="8"/>
    </row>
    <row r="248" spans="1:8">
      <c r="A248" s="17"/>
      <c r="B248" s="18">
        <v>8004</v>
      </c>
      <c r="C248" s="17">
        <v>5</v>
      </c>
      <c r="D248" s="17" t="s">
        <v>1927</v>
      </c>
      <c r="E248" s="17">
        <v>6</v>
      </c>
      <c r="F248" s="19">
        <v>400</v>
      </c>
      <c r="G248" s="19">
        <v>960</v>
      </c>
      <c r="H248" s="8"/>
    </row>
    <row r="249" spans="1:8">
      <c r="A249" s="17"/>
      <c r="B249" s="18">
        <v>8004</v>
      </c>
      <c r="C249" s="17">
        <v>6</v>
      </c>
      <c r="D249" s="17" t="s">
        <v>1928</v>
      </c>
      <c r="E249" s="17">
        <v>7</v>
      </c>
      <c r="F249" s="19">
        <v>523</v>
      </c>
      <c r="G249" s="19">
        <v>1483</v>
      </c>
      <c r="H249" s="8"/>
    </row>
    <row r="250" spans="1:8">
      <c r="A250" s="17"/>
      <c r="B250" s="18">
        <v>8004</v>
      </c>
      <c r="C250" s="17">
        <v>7</v>
      </c>
      <c r="D250" s="17" t="s">
        <v>1929</v>
      </c>
      <c r="E250" s="17">
        <v>8</v>
      </c>
      <c r="F250" s="19">
        <v>656</v>
      </c>
      <c r="G250" s="19">
        <v>2139</v>
      </c>
      <c r="H250" s="8"/>
    </row>
    <row r="251" spans="1:8">
      <c r="A251" s="17"/>
      <c r="B251" s="18">
        <v>8004</v>
      </c>
      <c r="C251" s="17">
        <v>8</v>
      </c>
      <c r="D251" s="17" t="s">
        <v>1930</v>
      </c>
      <c r="E251" s="17">
        <v>9</v>
      </c>
      <c r="F251" s="19">
        <v>804</v>
      </c>
      <c r="G251" s="19">
        <v>2943</v>
      </c>
      <c r="H251" s="8"/>
    </row>
    <row r="252" spans="1:8">
      <c r="A252" s="17"/>
      <c r="B252" s="18">
        <v>8004</v>
      </c>
      <c r="C252" s="17">
        <v>9</v>
      </c>
      <c r="D252" s="17" t="s">
        <v>1931</v>
      </c>
      <c r="E252" s="17">
        <v>10</v>
      </c>
      <c r="F252" s="19">
        <v>971</v>
      </c>
      <c r="G252" s="19">
        <v>3914</v>
      </c>
      <c r="H252" s="8"/>
    </row>
    <row r="253" spans="1:8">
      <c r="A253" s="17"/>
      <c r="B253" s="18">
        <v>8004</v>
      </c>
      <c r="C253" s="17">
        <v>10</v>
      </c>
      <c r="D253" s="17" t="s">
        <v>1932</v>
      </c>
      <c r="E253" s="17">
        <v>11</v>
      </c>
      <c r="F253" s="19">
        <v>1162</v>
      </c>
      <c r="G253" s="19">
        <v>5076</v>
      </c>
      <c r="H253" s="8"/>
    </row>
    <row r="254" spans="1:8">
      <c r="A254" s="17"/>
      <c r="B254" s="18">
        <v>8004</v>
      </c>
      <c r="C254" s="17">
        <v>11</v>
      </c>
      <c r="D254" s="17" t="s">
        <v>1933</v>
      </c>
      <c r="E254" s="17">
        <v>12</v>
      </c>
      <c r="F254" s="19">
        <v>1385</v>
      </c>
      <c r="G254" s="19">
        <v>6461</v>
      </c>
      <c r="H254" s="8"/>
    </row>
    <row r="255" spans="1:8">
      <c r="A255" s="17"/>
      <c r="B255" s="18">
        <v>8004</v>
      </c>
      <c r="C255" s="17">
        <v>12</v>
      </c>
      <c r="D255" s="17" t="s">
        <v>1934</v>
      </c>
      <c r="E255" s="17">
        <v>13</v>
      </c>
      <c r="F255" s="19">
        <v>1650</v>
      </c>
      <c r="G255" s="19">
        <v>8111</v>
      </c>
      <c r="H255" s="8"/>
    </row>
    <row r="256" spans="1:8">
      <c r="A256" s="17"/>
      <c r="B256" s="18">
        <v>8004</v>
      </c>
      <c r="C256" s="17">
        <v>13</v>
      </c>
      <c r="D256" s="17" t="s">
        <v>1935</v>
      </c>
      <c r="E256" s="17">
        <v>14</v>
      </c>
      <c r="F256" s="19">
        <v>1969</v>
      </c>
      <c r="G256" s="19">
        <v>10080</v>
      </c>
      <c r="H256" s="8"/>
    </row>
    <row r="257" spans="1:8">
      <c r="A257" s="17"/>
      <c r="B257" s="18">
        <v>8004</v>
      </c>
      <c r="C257" s="17">
        <v>14</v>
      </c>
      <c r="D257" s="17" t="s">
        <v>1936</v>
      </c>
      <c r="E257" s="17">
        <v>15</v>
      </c>
      <c r="F257" s="19">
        <v>2359</v>
      </c>
      <c r="G257" s="19">
        <v>12439</v>
      </c>
      <c r="H257" s="8"/>
    </row>
    <row r="258" spans="1:8">
      <c r="A258" s="17"/>
      <c r="B258" s="18">
        <v>8004</v>
      </c>
      <c r="C258" s="17">
        <v>15</v>
      </c>
      <c r="D258" s="17" t="s">
        <v>1937</v>
      </c>
      <c r="E258" s="17">
        <v>16</v>
      </c>
      <c r="F258" s="19">
        <v>2838</v>
      </c>
      <c r="G258" s="19">
        <v>15277</v>
      </c>
      <c r="H258" s="8"/>
    </row>
    <row r="259" spans="1:8">
      <c r="A259" s="17"/>
      <c r="B259" s="18">
        <v>8004</v>
      </c>
      <c r="C259" s="17">
        <v>16</v>
      </c>
      <c r="D259" s="17" t="s">
        <v>1938</v>
      </c>
      <c r="E259" s="17">
        <v>17</v>
      </c>
      <c r="F259" s="19">
        <v>3430</v>
      </c>
      <c r="G259" s="19">
        <v>18707</v>
      </c>
      <c r="H259" s="8"/>
    </row>
    <row r="260" spans="1:8">
      <c r="A260" s="17"/>
      <c r="B260" s="18">
        <v>8004</v>
      </c>
      <c r="C260" s="17">
        <v>17</v>
      </c>
      <c r="D260" s="17" t="s">
        <v>1939</v>
      </c>
      <c r="E260" s="17">
        <v>18</v>
      </c>
      <c r="F260" s="19">
        <v>4162</v>
      </c>
      <c r="G260" s="19">
        <v>22869</v>
      </c>
      <c r="H260" s="8"/>
    </row>
    <row r="261" spans="1:8">
      <c r="A261" s="17"/>
      <c r="B261" s="18">
        <v>8004</v>
      </c>
      <c r="C261" s="17">
        <v>18</v>
      </c>
      <c r="D261" s="17" t="s">
        <v>1940</v>
      </c>
      <c r="E261" s="17">
        <v>19</v>
      </c>
      <c r="F261" s="19">
        <v>5066</v>
      </c>
      <c r="G261" s="19">
        <v>27935</v>
      </c>
      <c r="H261" s="8"/>
    </row>
    <row r="262" spans="1:8">
      <c r="A262" s="17"/>
      <c r="B262" s="18">
        <v>8004</v>
      </c>
      <c r="C262" s="17">
        <v>19</v>
      </c>
      <c r="D262" s="17" t="s">
        <v>1941</v>
      </c>
      <c r="E262" s="17">
        <v>20</v>
      </c>
      <c r="F262" s="19">
        <v>6180</v>
      </c>
      <c r="G262" s="19">
        <v>34115</v>
      </c>
      <c r="H262" s="8"/>
    </row>
    <row r="263" spans="1:8">
      <c r="A263" s="17"/>
      <c r="B263" s="18">
        <v>8004</v>
      </c>
      <c r="C263" s="17">
        <v>20</v>
      </c>
      <c r="D263" s="17" t="s">
        <v>1942</v>
      </c>
      <c r="E263" s="17">
        <v>21</v>
      </c>
      <c r="F263" s="19">
        <v>7548</v>
      </c>
      <c r="G263" s="19">
        <v>41663</v>
      </c>
      <c r="H263" s="8"/>
    </row>
    <row r="264" spans="1:8">
      <c r="A264" s="17"/>
      <c r="B264" s="18">
        <v>8004</v>
      </c>
      <c r="C264" s="17">
        <v>21</v>
      </c>
      <c r="D264" s="17" t="s">
        <v>1943</v>
      </c>
      <c r="E264" s="17">
        <v>22</v>
      </c>
      <c r="F264" s="19">
        <v>9219</v>
      </c>
      <c r="G264" s="19">
        <v>50882</v>
      </c>
      <c r="H264" s="8"/>
    </row>
    <row r="265" spans="1:8">
      <c r="A265" s="17"/>
      <c r="B265" s="18">
        <v>8004</v>
      </c>
      <c r="C265" s="17">
        <v>22</v>
      </c>
      <c r="D265" s="17" t="s">
        <v>1944</v>
      </c>
      <c r="E265" s="17">
        <v>23</v>
      </c>
      <c r="F265" s="19">
        <v>11249</v>
      </c>
      <c r="G265" s="19">
        <v>62131</v>
      </c>
      <c r="H265" s="8"/>
    </row>
    <row r="266" spans="1:8">
      <c r="A266" s="17"/>
      <c r="B266" s="18">
        <v>8004</v>
      </c>
      <c r="C266" s="17">
        <v>23</v>
      </c>
      <c r="D266" s="17" t="s">
        <v>1945</v>
      </c>
      <c r="E266" s="17">
        <v>24</v>
      </c>
      <c r="F266" s="19">
        <v>13702</v>
      </c>
      <c r="G266" s="19">
        <v>75833</v>
      </c>
      <c r="H266" s="8"/>
    </row>
    <row r="267" spans="1:8">
      <c r="A267" s="17"/>
      <c r="B267" s="18">
        <v>8004</v>
      </c>
      <c r="C267" s="17">
        <v>24</v>
      </c>
      <c r="D267" s="17" t="s">
        <v>1946</v>
      </c>
      <c r="E267" s="17">
        <v>25</v>
      </c>
      <c r="F267" s="19">
        <v>16650</v>
      </c>
      <c r="G267" s="19">
        <v>92483</v>
      </c>
      <c r="H267" s="8"/>
    </row>
    <row r="268" spans="1:8">
      <c r="A268" s="17"/>
      <c r="B268" s="18">
        <v>8004</v>
      </c>
      <c r="C268" s="17">
        <v>25</v>
      </c>
      <c r="D268" s="17" t="s">
        <v>1947</v>
      </c>
      <c r="E268" s="17">
        <v>26</v>
      </c>
      <c r="F268" s="19">
        <v>20172</v>
      </c>
      <c r="G268" s="19">
        <v>112655</v>
      </c>
      <c r="H268" s="8"/>
    </row>
    <row r="269" spans="1:8">
      <c r="A269" s="17"/>
      <c r="B269" s="18">
        <v>8004</v>
      </c>
      <c r="C269" s="17">
        <v>26</v>
      </c>
      <c r="D269" s="17" t="s">
        <v>1948</v>
      </c>
      <c r="E269" s="17">
        <v>27</v>
      </c>
      <c r="F269" s="19">
        <v>24358</v>
      </c>
      <c r="G269" s="19">
        <v>137013</v>
      </c>
      <c r="H269" s="8"/>
    </row>
    <row r="270" spans="1:8">
      <c r="A270" s="17"/>
      <c r="B270" s="18">
        <v>8004</v>
      </c>
      <c r="C270" s="17">
        <v>27</v>
      </c>
      <c r="D270" s="17" t="s">
        <v>1949</v>
      </c>
      <c r="E270" s="17">
        <v>28</v>
      </c>
      <c r="F270" s="19">
        <v>29306</v>
      </c>
      <c r="G270" s="19">
        <v>166319</v>
      </c>
      <c r="H270" s="8"/>
    </row>
    <row r="271" spans="1:8">
      <c r="A271" s="17"/>
      <c r="B271" s="18">
        <v>8004</v>
      </c>
      <c r="C271" s="17">
        <v>28</v>
      </c>
      <c r="D271" s="17" t="s">
        <v>1950</v>
      </c>
      <c r="E271" s="17">
        <v>29</v>
      </c>
      <c r="F271" s="19">
        <v>35124</v>
      </c>
      <c r="G271" s="19">
        <v>201443</v>
      </c>
      <c r="H271" s="8"/>
    </row>
    <row r="272" spans="1:8">
      <c r="A272" s="17"/>
      <c r="B272" s="18">
        <v>8004</v>
      </c>
      <c r="C272" s="17">
        <v>29</v>
      </c>
      <c r="D272" s="17" t="s">
        <v>1951</v>
      </c>
      <c r="E272" s="17">
        <v>30</v>
      </c>
      <c r="F272" s="19">
        <v>41933</v>
      </c>
      <c r="G272" s="19">
        <v>243376</v>
      </c>
      <c r="H272" s="8"/>
    </row>
    <row r="273" spans="1:8">
      <c r="A273" s="17"/>
      <c r="B273" s="18">
        <v>8004</v>
      </c>
      <c r="C273" s="17">
        <v>30</v>
      </c>
      <c r="D273" s="17" t="s">
        <v>1952</v>
      </c>
      <c r="E273" s="17">
        <v>31</v>
      </c>
      <c r="F273" s="19">
        <v>49863</v>
      </c>
      <c r="G273" s="19">
        <v>293239</v>
      </c>
      <c r="H273" s="8"/>
    </row>
    <row r="274" spans="1:8">
      <c r="A274" s="17"/>
      <c r="B274" s="18">
        <v>8004</v>
      </c>
      <c r="C274" s="17">
        <v>31</v>
      </c>
      <c r="D274" s="17" t="s">
        <v>1953</v>
      </c>
      <c r="E274" s="17">
        <v>32</v>
      </c>
      <c r="F274" s="19">
        <v>59056</v>
      </c>
      <c r="G274" s="19">
        <v>352295</v>
      </c>
      <c r="H274" s="8"/>
    </row>
    <row r="275" spans="1:8">
      <c r="A275" s="17"/>
      <c r="B275" s="18">
        <v>8004</v>
      </c>
      <c r="C275" s="17">
        <v>32</v>
      </c>
      <c r="D275" s="17" t="s">
        <v>1954</v>
      </c>
      <c r="E275" s="17">
        <v>33</v>
      </c>
      <c r="F275" s="19">
        <v>69667</v>
      </c>
      <c r="G275" s="19">
        <v>421962</v>
      </c>
      <c r="H275" s="8"/>
    </row>
    <row r="276" spans="1:8">
      <c r="A276" s="17"/>
      <c r="B276" s="18">
        <v>8004</v>
      </c>
      <c r="C276" s="17">
        <v>33</v>
      </c>
      <c r="D276" s="17" t="s">
        <v>1955</v>
      </c>
      <c r="E276" s="17">
        <v>34</v>
      </c>
      <c r="F276" s="19">
        <v>81866</v>
      </c>
      <c r="G276" s="19">
        <v>503828</v>
      </c>
      <c r="H276" s="8"/>
    </row>
    <row r="277" spans="1:8">
      <c r="A277" s="17"/>
      <c r="B277" s="18">
        <v>8004</v>
      </c>
      <c r="C277" s="17">
        <v>34</v>
      </c>
      <c r="D277" s="17" t="s">
        <v>1956</v>
      </c>
      <c r="E277" s="17">
        <v>35</v>
      </c>
      <c r="F277" s="19">
        <v>95835</v>
      </c>
      <c r="G277" s="19">
        <v>599663</v>
      </c>
      <c r="H277" s="8"/>
    </row>
    <row r="278" spans="1:8">
      <c r="B278" s="18">
        <v>8004</v>
      </c>
      <c r="C278" s="17">
        <v>35</v>
      </c>
      <c r="D278" s="17" t="s">
        <v>1957</v>
      </c>
      <c r="E278" s="17">
        <v>36</v>
      </c>
      <c r="F278" s="19">
        <v>111771</v>
      </c>
      <c r="G278" s="19">
        <v>711434</v>
      </c>
      <c r="H278" s="8"/>
    </row>
    <row r="279" spans="1:8">
      <c r="B279" s="18">
        <v>8004</v>
      </c>
      <c r="C279" s="17">
        <v>36</v>
      </c>
      <c r="D279" s="17" t="s">
        <v>1958</v>
      </c>
      <c r="E279" s="17">
        <v>37</v>
      </c>
      <c r="F279" s="19">
        <v>129886</v>
      </c>
      <c r="G279" s="19">
        <v>841320</v>
      </c>
      <c r="H279" s="8"/>
    </row>
    <row r="280" spans="1:8">
      <c r="B280" s="18">
        <v>8004</v>
      </c>
      <c r="C280" s="17">
        <v>37</v>
      </c>
      <c r="D280" s="17" t="s">
        <v>1959</v>
      </c>
      <c r="E280" s="17">
        <v>38</v>
      </c>
      <c r="F280" s="19">
        <v>150409</v>
      </c>
      <c r="G280" s="19">
        <v>991729</v>
      </c>
      <c r="H280" s="8"/>
    </row>
    <row r="281" spans="1:8">
      <c r="B281" s="18">
        <v>8004</v>
      </c>
      <c r="C281" s="17">
        <v>38</v>
      </c>
      <c r="D281" s="17" t="s">
        <v>1960</v>
      </c>
      <c r="E281" s="17">
        <v>39</v>
      </c>
      <c r="F281" s="19">
        <v>173585</v>
      </c>
      <c r="G281" s="19">
        <v>1165314</v>
      </c>
      <c r="H281" s="8"/>
    </row>
    <row r="282" spans="1:8">
      <c r="B282" s="18">
        <v>8004</v>
      </c>
      <c r="C282" s="17">
        <v>39</v>
      </c>
      <c r="D282" s="17" t="s">
        <v>1961</v>
      </c>
      <c r="E282" s="17">
        <v>40</v>
      </c>
      <c r="F282" s="19">
        <v>199676</v>
      </c>
      <c r="G282" s="19">
        <v>1364990</v>
      </c>
      <c r="H282" s="8"/>
    </row>
    <row r="283" spans="1:8">
      <c r="B283" s="18">
        <v>8004</v>
      </c>
      <c r="C283" s="17">
        <v>40</v>
      </c>
      <c r="D283" s="17" t="s">
        <v>1962</v>
      </c>
      <c r="E283" s="17">
        <v>41</v>
      </c>
      <c r="F283" s="19">
        <v>228963</v>
      </c>
      <c r="G283" s="19">
        <v>1593953</v>
      </c>
      <c r="H283" s="8"/>
    </row>
    <row r="284" spans="1:8">
      <c r="B284" s="18">
        <v>8004</v>
      </c>
      <c r="C284" s="17">
        <v>41</v>
      </c>
      <c r="D284" s="17" t="s">
        <v>1963</v>
      </c>
      <c r="E284" s="17">
        <v>42</v>
      </c>
      <c r="F284" s="19">
        <v>261744</v>
      </c>
      <c r="G284" s="19">
        <v>1855697</v>
      </c>
      <c r="H284" s="8"/>
    </row>
    <row r="285" spans="1:8">
      <c r="B285" s="18">
        <v>8004</v>
      </c>
      <c r="C285" s="17">
        <v>42</v>
      </c>
      <c r="D285" s="17" t="s">
        <v>1964</v>
      </c>
      <c r="E285" s="17">
        <v>43</v>
      </c>
      <c r="F285" s="19">
        <v>298340</v>
      </c>
      <c r="G285" s="19">
        <v>2154037</v>
      </c>
      <c r="H285" s="8"/>
    </row>
    <row r="286" spans="1:8">
      <c r="B286" s="18">
        <v>8004</v>
      </c>
      <c r="C286" s="17">
        <v>43</v>
      </c>
      <c r="D286" s="17" t="s">
        <v>1965</v>
      </c>
      <c r="E286" s="17">
        <v>44</v>
      </c>
      <c r="F286" s="19">
        <v>339088</v>
      </c>
      <c r="G286" s="19">
        <v>2493125</v>
      </c>
      <c r="H286" s="8"/>
    </row>
    <row r="287" spans="1:8">
      <c r="B287" s="18">
        <v>8004</v>
      </c>
      <c r="C287" s="17">
        <v>44</v>
      </c>
      <c r="D287" s="17" t="s">
        <v>1966</v>
      </c>
      <c r="E287" s="17">
        <v>45</v>
      </c>
      <c r="F287" s="19">
        <v>384348</v>
      </c>
      <c r="G287" s="19">
        <v>2877473</v>
      </c>
      <c r="H287" s="8"/>
    </row>
    <row r="288" spans="1:8">
      <c r="B288" s="18">
        <v>8004</v>
      </c>
      <c r="C288" s="17">
        <v>45</v>
      </c>
      <c r="D288" s="17" t="s">
        <v>1967</v>
      </c>
      <c r="E288" s="17">
        <v>46</v>
      </c>
      <c r="F288" s="19">
        <v>434504</v>
      </c>
      <c r="G288" s="19">
        <v>3311977</v>
      </c>
      <c r="H288" s="8"/>
    </row>
    <row r="289" spans="2:8">
      <c r="B289" s="18">
        <v>8004</v>
      </c>
      <c r="C289" s="17">
        <v>46</v>
      </c>
      <c r="D289" s="17" t="s">
        <v>1968</v>
      </c>
      <c r="E289" s="17">
        <v>47</v>
      </c>
      <c r="F289" s="19">
        <v>489960</v>
      </c>
      <c r="G289" s="19">
        <v>3801937</v>
      </c>
      <c r="H289" s="8"/>
    </row>
    <row r="290" spans="2:8">
      <c r="B290" s="18">
        <v>8004</v>
      </c>
      <c r="C290" s="17">
        <v>47</v>
      </c>
      <c r="D290" s="17" t="s">
        <v>1969</v>
      </c>
      <c r="E290" s="17">
        <v>48</v>
      </c>
      <c r="F290" s="19">
        <v>551142</v>
      </c>
      <c r="G290" s="19">
        <v>4353079</v>
      </c>
      <c r="H290" s="8"/>
    </row>
    <row r="291" spans="2:8">
      <c r="B291" s="18">
        <v>8004</v>
      </c>
      <c r="C291" s="17">
        <v>48</v>
      </c>
      <c r="D291" s="17" t="s">
        <v>1970</v>
      </c>
      <c r="E291" s="17">
        <v>49</v>
      </c>
      <c r="F291" s="19">
        <v>618504</v>
      </c>
      <c r="G291" s="19">
        <v>4971583</v>
      </c>
      <c r="H291" s="8"/>
    </row>
    <row r="292" spans="2:8">
      <c r="B292" s="18">
        <v>8004</v>
      </c>
      <c r="C292" s="17">
        <v>49</v>
      </c>
      <c r="D292" s="17" t="s">
        <v>1971</v>
      </c>
      <c r="E292" s="17">
        <v>50</v>
      </c>
      <c r="F292" s="19">
        <v>692524</v>
      </c>
      <c r="G292" s="19">
        <v>5664107</v>
      </c>
      <c r="H292" s="8"/>
    </row>
    <row r="293" spans="2:8">
      <c r="B293" s="18">
        <v>8004</v>
      </c>
      <c r="C293" s="17">
        <v>50</v>
      </c>
      <c r="D293" s="17" t="s">
        <v>1972</v>
      </c>
      <c r="E293" s="17">
        <v>51</v>
      </c>
      <c r="F293" s="19">
        <v>773703</v>
      </c>
      <c r="G293" s="19">
        <v>6437810</v>
      </c>
      <c r="H293" s="8"/>
    </row>
    <row r="294" spans="2:8">
      <c r="B294" s="21">
        <v>8004</v>
      </c>
      <c r="C294" s="22">
        <v>51</v>
      </c>
      <c r="D294" s="22" t="s">
        <v>1973</v>
      </c>
      <c r="E294" s="22">
        <v>52</v>
      </c>
      <c r="F294" s="23">
        <v>862571</v>
      </c>
      <c r="G294" s="19">
        <v>7300381</v>
      </c>
      <c r="H294" s="8"/>
    </row>
    <row r="295" spans="2:8">
      <c r="B295" s="21">
        <v>8004</v>
      </c>
      <c r="C295" s="22">
        <v>52</v>
      </c>
      <c r="D295" s="22" t="s">
        <v>1974</v>
      </c>
      <c r="E295" s="22">
        <v>53</v>
      </c>
      <c r="F295" s="23">
        <v>959684</v>
      </c>
      <c r="G295" s="19">
        <v>8260065</v>
      </c>
      <c r="H295" s="8"/>
    </row>
    <row r="296" spans="2:8">
      <c r="B296" s="21">
        <v>8004</v>
      </c>
      <c r="C296" s="22">
        <v>53</v>
      </c>
      <c r="D296" s="22" t="s">
        <v>1975</v>
      </c>
      <c r="E296" s="22">
        <v>54</v>
      </c>
      <c r="F296" s="23">
        <v>1065630</v>
      </c>
      <c r="G296" s="19">
        <v>9325695</v>
      </c>
      <c r="H296" s="8"/>
    </row>
    <row r="297" spans="2:8">
      <c r="B297" s="21">
        <v>8004</v>
      </c>
      <c r="C297" s="22">
        <v>54</v>
      </c>
      <c r="D297" s="22" t="s">
        <v>1976</v>
      </c>
      <c r="E297" s="22">
        <v>55</v>
      </c>
      <c r="F297" s="23">
        <v>1181020</v>
      </c>
      <c r="G297" s="19">
        <v>10506715</v>
      </c>
      <c r="H297" s="8"/>
    </row>
    <row r="298" spans="2:8">
      <c r="B298" s="21">
        <v>8004</v>
      </c>
      <c r="C298" s="22">
        <v>55</v>
      </c>
      <c r="D298" s="22" t="s">
        <v>1977</v>
      </c>
      <c r="E298" s="22">
        <v>56</v>
      </c>
      <c r="F298" s="23">
        <v>1306501</v>
      </c>
      <c r="G298" s="19">
        <v>11813216</v>
      </c>
      <c r="H298" s="8"/>
    </row>
    <row r="299" spans="2:8">
      <c r="B299" s="21">
        <v>8004</v>
      </c>
      <c r="C299" s="22">
        <v>56</v>
      </c>
      <c r="D299" s="22" t="s">
        <v>1978</v>
      </c>
      <c r="E299" s="22">
        <v>57</v>
      </c>
      <c r="F299" s="23">
        <v>1442747</v>
      </c>
      <c r="G299" s="19">
        <v>13255963</v>
      </c>
      <c r="H299" s="8"/>
    </row>
    <row r="300" spans="2:8">
      <c r="B300" s="21">
        <v>8004</v>
      </c>
      <c r="C300" s="22">
        <v>57</v>
      </c>
      <c r="D300" s="22" t="s">
        <v>1979</v>
      </c>
      <c r="E300" s="22">
        <v>58</v>
      </c>
      <c r="F300" s="23">
        <v>1590464</v>
      </c>
      <c r="G300" s="19">
        <v>14846427</v>
      </c>
      <c r="H300" s="8"/>
    </row>
    <row r="301" spans="2:8">
      <c r="B301" s="21">
        <v>8004</v>
      </c>
      <c r="C301" s="22">
        <v>58</v>
      </c>
      <c r="D301" s="22" t="s">
        <v>1980</v>
      </c>
      <c r="E301" s="22">
        <v>59</v>
      </c>
      <c r="F301" s="23">
        <v>1750392</v>
      </c>
      <c r="G301" s="19">
        <v>16596819</v>
      </c>
      <c r="H301" s="8"/>
    </row>
    <row r="302" spans="2:8">
      <c r="B302" s="21">
        <v>8004</v>
      </c>
      <c r="C302" s="22">
        <v>59</v>
      </c>
      <c r="D302" s="22" t="s">
        <v>1981</v>
      </c>
      <c r="E302" s="22">
        <v>60</v>
      </c>
      <c r="F302" s="23">
        <v>1923303</v>
      </c>
      <c r="G302" s="19">
        <v>18520122</v>
      </c>
      <c r="H302" s="8"/>
    </row>
    <row r="303" spans="2:8">
      <c r="B303" s="21">
        <v>8004</v>
      </c>
      <c r="C303" s="22">
        <v>60</v>
      </c>
      <c r="D303" s="22" t="s">
        <v>1982</v>
      </c>
      <c r="E303" s="22">
        <v>61</v>
      </c>
      <c r="F303" s="23">
        <v>2110005</v>
      </c>
      <c r="G303" s="19">
        <v>20630127</v>
      </c>
      <c r="H303" s="8"/>
    </row>
    <row r="304" spans="2:8">
      <c r="B304" s="21">
        <v>8004</v>
      </c>
      <c r="C304" s="22">
        <v>61</v>
      </c>
      <c r="D304" s="22" t="s">
        <v>1983</v>
      </c>
      <c r="E304" s="22">
        <v>62</v>
      </c>
      <c r="F304" s="23">
        <v>2311340</v>
      </c>
      <c r="G304" s="19">
        <v>22941467</v>
      </c>
      <c r="H304" s="8"/>
    </row>
    <row r="305" spans="2:8">
      <c r="B305" s="21">
        <v>8004</v>
      </c>
      <c r="C305" s="22">
        <v>62</v>
      </c>
      <c r="D305" s="22" t="s">
        <v>1984</v>
      </c>
      <c r="E305" s="22">
        <v>63</v>
      </c>
      <c r="F305" s="23">
        <v>2528187</v>
      </c>
      <c r="G305" s="19">
        <v>25469654</v>
      </c>
      <c r="H305" s="8"/>
    </row>
    <row r="306" spans="2:8">
      <c r="B306" s="21">
        <v>8004</v>
      </c>
      <c r="C306" s="22">
        <v>63</v>
      </c>
      <c r="D306" s="22" t="s">
        <v>1985</v>
      </c>
      <c r="E306" s="22">
        <v>64</v>
      </c>
      <c r="F306" s="23">
        <v>2761460</v>
      </c>
      <c r="G306" s="19">
        <v>28231114</v>
      </c>
      <c r="H306" s="8"/>
    </row>
    <row r="307" spans="2:8">
      <c r="B307" s="21">
        <v>8004</v>
      </c>
      <c r="C307" s="22">
        <v>64</v>
      </c>
      <c r="D307" s="22" t="s">
        <v>1986</v>
      </c>
      <c r="E307" s="22">
        <v>65</v>
      </c>
      <c r="F307" s="23">
        <v>3012115</v>
      </c>
      <c r="G307" s="19">
        <v>31243229</v>
      </c>
      <c r="H307" s="8"/>
    </row>
    <row r="308" spans="2:8">
      <c r="B308" s="21">
        <v>8004</v>
      </c>
      <c r="C308" s="22">
        <v>65</v>
      </c>
      <c r="D308" s="22" t="s">
        <v>1987</v>
      </c>
      <c r="E308" s="22">
        <v>66</v>
      </c>
      <c r="F308" s="23">
        <v>3281142</v>
      </c>
      <c r="G308" s="19">
        <v>34524371</v>
      </c>
      <c r="H308" s="8"/>
    </row>
    <row r="309" spans="2:8">
      <c r="B309" s="21">
        <v>8004</v>
      </c>
      <c r="C309" s="22">
        <v>66</v>
      </c>
      <c r="D309" s="22" t="s">
        <v>1988</v>
      </c>
      <c r="E309" s="22">
        <v>67</v>
      </c>
      <c r="F309" s="23">
        <v>3569574</v>
      </c>
      <c r="G309" s="19">
        <v>38093945</v>
      </c>
      <c r="H309" s="8"/>
    </row>
    <row r="310" spans="2:8">
      <c r="B310" s="21">
        <v>8004</v>
      </c>
      <c r="C310" s="22">
        <v>67</v>
      </c>
      <c r="D310" s="22" t="s">
        <v>1989</v>
      </c>
      <c r="E310" s="22">
        <v>68</v>
      </c>
      <c r="F310" s="23">
        <v>3878484</v>
      </c>
      <c r="G310" s="19">
        <v>41972429</v>
      </c>
      <c r="H310" s="8"/>
    </row>
    <row r="311" spans="2:8">
      <c r="B311" s="21">
        <v>8004</v>
      </c>
      <c r="C311" s="22">
        <v>68</v>
      </c>
      <c r="D311" s="22" t="s">
        <v>1990</v>
      </c>
      <c r="E311" s="22">
        <v>69</v>
      </c>
      <c r="F311" s="23">
        <v>4208988</v>
      </c>
      <c r="G311" s="19">
        <v>46181417</v>
      </c>
      <c r="H311" s="8"/>
    </row>
    <row r="312" spans="2:8">
      <c r="B312" s="21">
        <v>8004</v>
      </c>
      <c r="C312" s="22">
        <v>69</v>
      </c>
      <c r="D312" s="22" t="s">
        <v>1991</v>
      </c>
      <c r="E312" s="22">
        <v>70</v>
      </c>
      <c r="F312" s="23">
        <v>4562243</v>
      </c>
      <c r="G312" s="19">
        <v>50743660</v>
      </c>
      <c r="H312" s="8"/>
    </row>
    <row r="313" spans="2:8">
      <c r="B313" s="21">
        <v>8004</v>
      </c>
      <c r="C313" s="22">
        <v>70</v>
      </c>
      <c r="D313" s="22" t="s">
        <v>1992</v>
      </c>
      <c r="E313" s="22">
        <v>71</v>
      </c>
      <c r="F313" s="23">
        <v>4939449</v>
      </c>
      <c r="G313" s="19">
        <v>55683109</v>
      </c>
      <c r="H313" s="8"/>
    </row>
    <row r="314" spans="2:8">
      <c r="B314" s="21">
        <v>8004</v>
      </c>
      <c r="C314" s="22">
        <v>71</v>
      </c>
      <c r="D314" s="22" t="s">
        <v>1993</v>
      </c>
      <c r="E314" s="22">
        <v>72</v>
      </c>
      <c r="F314" s="23">
        <v>5341853</v>
      </c>
      <c r="G314" s="19">
        <v>61024962</v>
      </c>
      <c r="H314" s="8"/>
    </row>
    <row r="315" spans="2:8">
      <c r="B315" s="21">
        <v>8004</v>
      </c>
      <c r="C315" s="22">
        <v>72</v>
      </c>
      <c r="D315" s="22" t="s">
        <v>1994</v>
      </c>
      <c r="E315" s="22">
        <v>73</v>
      </c>
      <c r="F315" s="23">
        <v>5770746</v>
      </c>
      <c r="G315" s="19">
        <v>66795708</v>
      </c>
      <c r="H315" s="8"/>
    </row>
    <row r="316" spans="2:8">
      <c r="B316" s="21">
        <v>8004</v>
      </c>
      <c r="C316" s="22">
        <v>73</v>
      </c>
      <c r="D316" s="22" t="s">
        <v>1995</v>
      </c>
      <c r="E316" s="22">
        <v>74</v>
      </c>
      <c r="F316" s="23">
        <v>6227466</v>
      </c>
      <c r="G316" s="19">
        <v>73023174</v>
      </c>
      <c r="H316" s="8"/>
    </row>
    <row r="317" spans="2:8">
      <c r="B317" s="21">
        <v>8004</v>
      </c>
      <c r="C317" s="22">
        <v>74</v>
      </c>
      <c r="D317" s="22" t="s">
        <v>1996</v>
      </c>
      <c r="E317" s="22">
        <v>75</v>
      </c>
      <c r="F317" s="23">
        <v>6713399</v>
      </c>
      <c r="G317" s="19">
        <v>79736573</v>
      </c>
      <c r="H317" s="8"/>
    </row>
    <row r="318" spans="2:8">
      <c r="B318" s="21">
        <v>8004</v>
      </c>
      <c r="C318" s="22">
        <v>75</v>
      </c>
      <c r="D318" s="22" t="s">
        <v>1997</v>
      </c>
      <c r="E318" s="22">
        <v>76</v>
      </c>
      <c r="F318" s="23">
        <v>7229979</v>
      </c>
      <c r="G318" s="19">
        <v>86966552</v>
      </c>
      <c r="H318" s="8"/>
    </row>
    <row r="319" spans="2:8">
      <c r="B319" s="21">
        <v>8004</v>
      </c>
      <c r="C319" s="22">
        <v>76</v>
      </c>
      <c r="D319" s="22" t="s">
        <v>1998</v>
      </c>
      <c r="E319" s="22">
        <v>77</v>
      </c>
      <c r="F319" s="23">
        <v>7778690</v>
      </c>
      <c r="G319" s="19">
        <v>94745242</v>
      </c>
      <c r="H319" s="8"/>
    </row>
    <row r="320" spans="2:8">
      <c r="B320" s="21">
        <v>8004</v>
      </c>
      <c r="C320" s="22">
        <v>77</v>
      </c>
      <c r="D320" s="22" t="s">
        <v>1999</v>
      </c>
      <c r="E320" s="22">
        <v>78</v>
      </c>
      <c r="F320" s="23">
        <v>8361067</v>
      </c>
      <c r="G320" s="19">
        <v>103106309</v>
      </c>
      <c r="H320" s="8"/>
    </row>
    <row r="321" spans="2:8">
      <c r="B321" s="21">
        <v>8004</v>
      </c>
      <c r="C321" s="22">
        <v>78</v>
      </c>
      <c r="D321" s="22" t="s">
        <v>2000</v>
      </c>
      <c r="E321" s="22">
        <v>79</v>
      </c>
      <c r="F321" s="23">
        <v>8978696</v>
      </c>
      <c r="G321" s="19">
        <v>112085005</v>
      </c>
      <c r="H321" s="8"/>
    </row>
    <row r="322" spans="2:8">
      <c r="B322" s="21">
        <v>8004</v>
      </c>
      <c r="C322" s="22">
        <v>79</v>
      </c>
      <c r="D322" s="22" t="s">
        <v>2001</v>
      </c>
      <c r="E322" s="22">
        <v>80</v>
      </c>
      <c r="F322" s="23">
        <v>9633216</v>
      </c>
      <c r="G322" s="19">
        <v>121718221</v>
      </c>
      <c r="H322" s="8"/>
    </row>
    <row r="323" spans="2:8">
      <c r="B323" s="21">
        <v>8004</v>
      </c>
      <c r="C323" s="22">
        <v>80</v>
      </c>
      <c r="D323" s="22" t="s">
        <v>2002</v>
      </c>
      <c r="E323" s="22" t="s">
        <v>1762</v>
      </c>
      <c r="F323" s="23">
        <v>10326319</v>
      </c>
      <c r="G323" s="19">
        <v>132044540</v>
      </c>
      <c r="H323" s="8"/>
    </row>
    <row r="324" spans="2:8">
      <c r="B324" s="18">
        <v>8005</v>
      </c>
      <c r="C324" s="17">
        <v>1</v>
      </c>
      <c r="D324" s="17" t="s">
        <v>2003</v>
      </c>
      <c r="E324" s="17">
        <v>2</v>
      </c>
      <c r="F324" s="19">
        <v>0</v>
      </c>
      <c r="G324" s="19">
        <v>0</v>
      </c>
      <c r="H324" s="8"/>
    </row>
    <row r="325" spans="2:8">
      <c r="B325" s="18">
        <v>8005</v>
      </c>
      <c r="C325" s="17">
        <v>2</v>
      </c>
      <c r="D325" s="17" t="s">
        <v>2004</v>
      </c>
      <c r="E325" s="17">
        <v>3</v>
      </c>
      <c r="F325" s="19">
        <v>88</v>
      </c>
      <c r="G325" s="19">
        <v>88</v>
      </c>
      <c r="H325" s="8"/>
    </row>
    <row r="326" spans="2:8">
      <c r="B326" s="18">
        <v>8005</v>
      </c>
      <c r="C326" s="17">
        <v>3</v>
      </c>
      <c r="D326" s="17" t="s">
        <v>2005</v>
      </c>
      <c r="E326" s="17">
        <v>4</v>
      </c>
      <c r="F326" s="19">
        <v>184</v>
      </c>
      <c r="G326" s="19">
        <v>272</v>
      </c>
      <c r="H326" s="8"/>
    </row>
    <row r="327" spans="2:8">
      <c r="B327" s="18">
        <v>8005</v>
      </c>
      <c r="C327" s="17">
        <v>4</v>
      </c>
      <c r="D327" s="17" t="s">
        <v>2006</v>
      </c>
      <c r="E327" s="17">
        <v>5</v>
      </c>
      <c r="F327" s="19">
        <v>288</v>
      </c>
      <c r="G327" s="19">
        <v>560</v>
      </c>
      <c r="H327" s="8"/>
    </row>
    <row r="328" spans="2:8">
      <c r="B328" s="18">
        <v>8005</v>
      </c>
      <c r="C328" s="17">
        <v>5</v>
      </c>
      <c r="D328" s="17" t="s">
        <v>2007</v>
      </c>
      <c r="E328" s="17">
        <v>6</v>
      </c>
      <c r="F328" s="19">
        <v>400</v>
      </c>
      <c r="G328" s="19">
        <v>960</v>
      </c>
      <c r="H328" s="8"/>
    </row>
    <row r="329" spans="2:8">
      <c r="B329" s="18">
        <v>8005</v>
      </c>
      <c r="C329" s="17">
        <v>6</v>
      </c>
      <c r="D329" s="17" t="s">
        <v>2008</v>
      </c>
      <c r="E329" s="17">
        <v>7</v>
      </c>
      <c r="F329" s="19">
        <v>523</v>
      </c>
      <c r="G329" s="19">
        <v>1483</v>
      </c>
      <c r="H329" s="8"/>
    </row>
    <row r="330" spans="2:8">
      <c r="B330" s="18">
        <v>8005</v>
      </c>
      <c r="C330" s="17">
        <v>7</v>
      </c>
      <c r="D330" s="17" t="s">
        <v>2009</v>
      </c>
      <c r="E330" s="17">
        <v>8</v>
      </c>
      <c r="F330" s="19">
        <v>656</v>
      </c>
      <c r="G330" s="19">
        <v>2139</v>
      </c>
      <c r="H330" s="8"/>
    </row>
    <row r="331" spans="2:8">
      <c r="B331" s="18">
        <v>8005</v>
      </c>
      <c r="C331" s="17">
        <v>8</v>
      </c>
      <c r="D331" s="17" t="s">
        <v>2010</v>
      </c>
      <c r="E331" s="17">
        <v>9</v>
      </c>
      <c r="F331" s="19">
        <v>804</v>
      </c>
      <c r="G331" s="19">
        <v>2943</v>
      </c>
      <c r="H331" s="8"/>
    </row>
    <row r="332" spans="2:8">
      <c r="B332" s="18">
        <v>8005</v>
      </c>
      <c r="C332" s="17">
        <v>9</v>
      </c>
      <c r="D332" s="17" t="s">
        <v>2011</v>
      </c>
      <c r="E332" s="17">
        <v>10</v>
      </c>
      <c r="F332" s="19">
        <v>971</v>
      </c>
      <c r="G332" s="19">
        <v>3914</v>
      </c>
      <c r="H332" s="8"/>
    </row>
    <row r="333" spans="2:8">
      <c r="B333" s="18">
        <v>8005</v>
      </c>
      <c r="C333" s="17">
        <v>10</v>
      </c>
      <c r="D333" s="17" t="s">
        <v>2012</v>
      </c>
      <c r="E333" s="17">
        <v>11</v>
      </c>
      <c r="F333" s="19">
        <v>1162</v>
      </c>
      <c r="G333" s="19">
        <v>5076</v>
      </c>
      <c r="H333" s="8"/>
    </row>
    <row r="334" spans="2:8">
      <c r="B334" s="18">
        <v>8005</v>
      </c>
      <c r="C334" s="17">
        <v>11</v>
      </c>
      <c r="D334" s="17" t="s">
        <v>2013</v>
      </c>
      <c r="E334" s="17">
        <v>12</v>
      </c>
      <c r="F334" s="19">
        <v>1385</v>
      </c>
      <c r="G334" s="19">
        <v>6461</v>
      </c>
      <c r="H334" s="8"/>
    </row>
    <row r="335" spans="2:8">
      <c r="B335" s="18">
        <v>8005</v>
      </c>
      <c r="C335" s="17">
        <v>12</v>
      </c>
      <c r="D335" s="17" t="s">
        <v>2014</v>
      </c>
      <c r="E335" s="17">
        <v>13</v>
      </c>
      <c r="F335" s="19">
        <v>1650</v>
      </c>
      <c r="G335" s="19">
        <v>8111</v>
      </c>
      <c r="H335" s="8"/>
    </row>
    <row r="336" spans="2:8">
      <c r="B336" s="18">
        <v>8005</v>
      </c>
      <c r="C336" s="17">
        <v>13</v>
      </c>
      <c r="D336" s="17" t="s">
        <v>2015</v>
      </c>
      <c r="E336" s="17">
        <v>14</v>
      </c>
      <c r="F336" s="19">
        <v>1969</v>
      </c>
      <c r="G336" s="19">
        <v>10080</v>
      </c>
      <c r="H336" s="8"/>
    </row>
    <row r="337" spans="2:8">
      <c r="B337" s="18">
        <v>8005</v>
      </c>
      <c r="C337" s="17">
        <v>14</v>
      </c>
      <c r="D337" s="17" t="s">
        <v>2016</v>
      </c>
      <c r="E337" s="17">
        <v>15</v>
      </c>
      <c r="F337" s="19">
        <v>2359</v>
      </c>
      <c r="G337" s="19">
        <v>12439</v>
      </c>
    </row>
    <row r="338" spans="2:8">
      <c r="B338" s="18">
        <v>8005</v>
      </c>
      <c r="C338" s="17">
        <v>15</v>
      </c>
      <c r="D338" s="17" t="s">
        <v>2017</v>
      </c>
      <c r="E338" s="17">
        <v>16</v>
      </c>
      <c r="F338" s="19">
        <v>2838</v>
      </c>
      <c r="G338" s="19">
        <v>15277</v>
      </c>
      <c r="H338" s="8"/>
    </row>
    <row r="339" spans="2:8">
      <c r="B339" s="18">
        <v>8005</v>
      </c>
      <c r="C339" s="17">
        <v>16</v>
      </c>
      <c r="D339" s="17" t="s">
        <v>2018</v>
      </c>
      <c r="E339" s="17">
        <v>17</v>
      </c>
      <c r="F339" s="19">
        <v>3430</v>
      </c>
      <c r="G339" s="19">
        <v>18707</v>
      </c>
      <c r="H339" s="8"/>
    </row>
    <row r="340" spans="2:8">
      <c r="B340" s="18">
        <v>8005</v>
      </c>
      <c r="C340" s="17">
        <v>17</v>
      </c>
      <c r="D340" s="17" t="s">
        <v>2019</v>
      </c>
      <c r="E340" s="17">
        <v>18</v>
      </c>
      <c r="F340" s="19">
        <v>4162</v>
      </c>
      <c r="G340" s="19">
        <v>22869</v>
      </c>
      <c r="H340" s="8"/>
    </row>
    <row r="341" spans="2:8">
      <c r="B341" s="18">
        <v>8005</v>
      </c>
      <c r="C341" s="17">
        <v>18</v>
      </c>
      <c r="D341" s="17" t="s">
        <v>2020</v>
      </c>
      <c r="E341" s="17">
        <v>19</v>
      </c>
      <c r="F341" s="19">
        <v>5066</v>
      </c>
      <c r="G341" s="19">
        <v>27935</v>
      </c>
      <c r="H341" s="8"/>
    </row>
    <row r="342" spans="2:8">
      <c r="B342" s="18">
        <v>8005</v>
      </c>
      <c r="C342" s="17">
        <v>19</v>
      </c>
      <c r="D342" s="17" t="s">
        <v>2021</v>
      </c>
      <c r="E342" s="17">
        <v>20</v>
      </c>
      <c r="F342" s="19">
        <v>6180</v>
      </c>
      <c r="G342" s="19">
        <v>34115</v>
      </c>
      <c r="H342" s="8"/>
    </row>
    <row r="343" spans="2:8">
      <c r="B343" s="18">
        <v>8005</v>
      </c>
      <c r="C343" s="17">
        <v>20</v>
      </c>
      <c r="D343" s="17" t="s">
        <v>2022</v>
      </c>
      <c r="E343" s="17">
        <v>21</v>
      </c>
      <c r="F343" s="19">
        <v>7548</v>
      </c>
      <c r="G343" s="19">
        <v>41663</v>
      </c>
      <c r="H343" s="8"/>
    </row>
    <row r="344" spans="2:8">
      <c r="B344" s="18">
        <v>8005</v>
      </c>
      <c r="C344" s="17">
        <v>21</v>
      </c>
      <c r="D344" s="17" t="s">
        <v>2023</v>
      </c>
      <c r="E344" s="17">
        <v>22</v>
      </c>
      <c r="F344" s="19">
        <v>9219</v>
      </c>
      <c r="G344" s="19">
        <v>50882</v>
      </c>
      <c r="H344" s="8"/>
    </row>
    <row r="345" spans="2:8">
      <c r="B345" s="18">
        <v>8005</v>
      </c>
      <c r="C345" s="17">
        <v>22</v>
      </c>
      <c r="D345" s="17" t="s">
        <v>2024</v>
      </c>
      <c r="E345" s="17">
        <v>23</v>
      </c>
      <c r="F345" s="19">
        <v>11249</v>
      </c>
      <c r="G345" s="19">
        <v>62131</v>
      </c>
      <c r="H345" s="8"/>
    </row>
    <row r="346" spans="2:8">
      <c r="B346" s="18">
        <v>8005</v>
      </c>
      <c r="C346" s="17">
        <v>23</v>
      </c>
      <c r="D346" s="17" t="s">
        <v>2025</v>
      </c>
      <c r="E346" s="17">
        <v>24</v>
      </c>
      <c r="F346" s="19">
        <v>13702</v>
      </c>
      <c r="G346" s="19">
        <v>75833</v>
      </c>
      <c r="H346" s="8"/>
    </row>
    <row r="347" spans="2:8">
      <c r="B347" s="18">
        <v>8005</v>
      </c>
      <c r="C347" s="17">
        <v>24</v>
      </c>
      <c r="D347" s="17" t="s">
        <v>2026</v>
      </c>
      <c r="E347" s="17">
        <v>25</v>
      </c>
      <c r="F347" s="19">
        <v>16650</v>
      </c>
      <c r="G347" s="19">
        <v>92483</v>
      </c>
      <c r="H347" s="8"/>
    </row>
    <row r="348" spans="2:8">
      <c r="B348" s="18">
        <v>8005</v>
      </c>
      <c r="C348" s="17">
        <v>25</v>
      </c>
      <c r="D348" s="17" t="s">
        <v>2027</v>
      </c>
      <c r="E348" s="17">
        <v>26</v>
      </c>
      <c r="F348" s="19">
        <v>20172</v>
      </c>
      <c r="G348" s="19">
        <v>112655</v>
      </c>
      <c r="H348" s="8"/>
    </row>
    <row r="349" spans="2:8">
      <c r="B349" s="18">
        <v>8005</v>
      </c>
      <c r="C349" s="17">
        <v>26</v>
      </c>
      <c r="D349" s="17" t="s">
        <v>2028</v>
      </c>
      <c r="E349" s="17">
        <v>27</v>
      </c>
      <c r="F349" s="19">
        <v>24358</v>
      </c>
      <c r="G349" s="19">
        <v>137013</v>
      </c>
      <c r="H349" s="8"/>
    </row>
    <row r="350" spans="2:8">
      <c r="B350" s="18">
        <v>8005</v>
      </c>
      <c r="C350" s="17">
        <v>27</v>
      </c>
      <c r="D350" s="17" t="s">
        <v>2029</v>
      </c>
      <c r="E350" s="17">
        <v>28</v>
      </c>
      <c r="F350" s="19">
        <v>29306</v>
      </c>
      <c r="G350" s="19">
        <v>166319</v>
      </c>
      <c r="H350" s="8"/>
    </row>
    <row r="351" spans="2:8">
      <c r="B351" s="18">
        <v>8005</v>
      </c>
      <c r="C351" s="17">
        <v>28</v>
      </c>
      <c r="D351" s="17" t="s">
        <v>2030</v>
      </c>
      <c r="E351" s="17">
        <v>29</v>
      </c>
      <c r="F351" s="19">
        <v>35124</v>
      </c>
      <c r="G351" s="19">
        <v>201443</v>
      </c>
      <c r="H351" s="8"/>
    </row>
    <row r="352" spans="2:8">
      <c r="B352" s="18">
        <v>8005</v>
      </c>
      <c r="C352" s="17">
        <v>29</v>
      </c>
      <c r="D352" s="17" t="s">
        <v>2031</v>
      </c>
      <c r="E352" s="17">
        <v>30</v>
      </c>
      <c r="F352" s="19">
        <v>41933</v>
      </c>
      <c r="G352" s="19">
        <v>243376</v>
      </c>
      <c r="H352" s="8"/>
    </row>
    <row r="353" spans="2:8">
      <c r="B353" s="18">
        <v>8005</v>
      </c>
      <c r="C353" s="17">
        <v>30</v>
      </c>
      <c r="D353" s="17" t="s">
        <v>2032</v>
      </c>
      <c r="E353" s="17">
        <v>31</v>
      </c>
      <c r="F353" s="19">
        <v>49863</v>
      </c>
      <c r="G353" s="19">
        <v>293239</v>
      </c>
      <c r="H353" s="8"/>
    </row>
    <row r="354" spans="2:8">
      <c r="B354" s="18">
        <v>8005</v>
      </c>
      <c r="C354" s="17">
        <v>31</v>
      </c>
      <c r="D354" s="17" t="s">
        <v>2033</v>
      </c>
      <c r="E354" s="17">
        <v>32</v>
      </c>
      <c r="F354" s="19">
        <v>59056</v>
      </c>
      <c r="G354" s="19">
        <v>352295</v>
      </c>
      <c r="H354" s="8"/>
    </row>
    <row r="355" spans="2:8">
      <c r="B355" s="18">
        <v>8005</v>
      </c>
      <c r="C355" s="17">
        <v>32</v>
      </c>
      <c r="D355" s="17" t="s">
        <v>2034</v>
      </c>
      <c r="E355" s="17">
        <v>33</v>
      </c>
      <c r="F355" s="19">
        <v>69667</v>
      </c>
      <c r="G355" s="19">
        <v>421962</v>
      </c>
      <c r="H355" s="8"/>
    </row>
    <row r="356" spans="2:8">
      <c r="B356" s="18">
        <v>8005</v>
      </c>
      <c r="C356" s="17">
        <v>33</v>
      </c>
      <c r="D356" s="17" t="s">
        <v>2035</v>
      </c>
      <c r="E356" s="17">
        <v>34</v>
      </c>
      <c r="F356" s="19">
        <v>81866</v>
      </c>
      <c r="G356" s="19">
        <v>503828</v>
      </c>
      <c r="H356" s="8"/>
    </row>
    <row r="357" spans="2:8">
      <c r="B357" s="18">
        <v>8005</v>
      </c>
      <c r="C357" s="17">
        <v>34</v>
      </c>
      <c r="D357" s="17" t="s">
        <v>2036</v>
      </c>
      <c r="E357" s="17">
        <v>35</v>
      </c>
      <c r="F357" s="19">
        <v>95835</v>
      </c>
      <c r="G357" s="19">
        <v>599663</v>
      </c>
      <c r="H357" s="8"/>
    </row>
    <row r="358" spans="2:8">
      <c r="B358" s="18">
        <v>8005</v>
      </c>
      <c r="C358" s="17">
        <v>35</v>
      </c>
      <c r="D358" s="17" t="s">
        <v>2037</v>
      </c>
      <c r="E358" s="17">
        <v>36</v>
      </c>
      <c r="F358" s="19">
        <v>111771</v>
      </c>
      <c r="G358" s="19">
        <v>711434</v>
      </c>
      <c r="H358" s="8"/>
    </row>
    <row r="359" spans="2:8">
      <c r="B359" s="18">
        <v>8005</v>
      </c>
      <c r="C359" s="17">
        <v>36</v>
      </c>
      <c r="D359" s="17" t="s">
        <v>2038</v>
      </c>
      <c r="E359" s="17">
        <v>37</v>
      </c>
      <c r="F359" s="19">
        <v>129886</v>
      </c>
      <c r="G359" s="19">
        <v>841320</v>
      </c>
      <c r="H359" s="8"/>
    </row>
    <row r="360" spans="2:8">
      <c r="B360" s="18">
        <v>8005</v>
      </c>
      <c r="C360" s="17">
        <v>37</v>
      </c>
      <c r="D360" s="17" t="s">
        <v>2039</v>
      </c>
      <c r="E360" s="17">
        <v>38</v>
      </c>
      <c r="F360" s="19">
        <v>150409</v>
      </c>
      <c r="G360" s="19">
        <v>991729</v>
      </c>
      <c r="H360" s="8"/>
    </row>
    <row r="361" spans="2:8">
      <c r="B361" s="18">
        <v>8005</v>
      </c>
      <c r="C361" s="17">
        <v>38</v>
      </c>
      <c r="D361" s="17" t="s">
        <v>2040</v>
      </c>
      <c r="E361" s="17">
        <v>39</v>
      </c>
      <c r="F361" s="19">
        <v>173585</v>
      </c>
      <c r="G361" s="19">
        <v>1165314</v>
      </c>
      <c r="H361" s="8"/>
    </row>
    <row r="362" spans="2:8">
      <c r="B362" s="18">
        <v>8005</v>
      </c>
      <c r="C362" s="17">
        <v>39</v>
      </c>
      <c r="D362" s="17" t="s">
        <v>2041</v>
      </c>
      <c r="E362" s="17">
        <v>40</v>
      </c>
      <c r="F362" s="19">
        <v>199676</v>
      </c>
      <c r="G362" s="19">
        <v>1364990</v>
      </c>
      <c r="H362" s="8"/>
    </row>
    <row r="363" spans="2:8">
      <c r="B363" s="18">
        <v>8005</v>
      </c>
      <c r="C363" s="17">
        <v>40</v>
      </c>
      <c r="D363" s="17" t="s">
        <v>2042</v>
      </c>
      <c r="E363" s="17">
        <v>41</v>
      </c>
      <c r="F363" s="19">
        <v>228963</v>
      </c>
      <c r="G363" s="19">
        <v>1593953</v>
      </c>
      <c r="H363" s="8"/>
    </row>
    <row r="364" spans="2:8">
      <c r="B364" s="18">
        <v>8005</v>
      </c>
      <c r="C364" s="17">
        <v>41</v>
      </c>
      <c r="D364" s="17" t="s">
        <v>2043</v>
      </c>
      <c r="E364" s="17">
        <v>42</v>
      </c>
      <c r="F364" s="19">
        <v>261744</v>
      </c>
      <c r="G364" s="19">
        <v>1855697</v>
      </c>
      <c r="H364" s="8"/>
    </row>
    <row r="365" spans="2:8">
      <c r="B365" s="18">
        <v>8005</v>
      </c>
      <c r="C365" s="17">
        <v>42</v>
      </c>
      <c r="D365" s="17" t="s">
        <v>2044</v>
      </c>
      <c r="E365" s="17">
        <v>43</v>
      </c>
      <c r="F365" s="19">
        <v>298340</v>
      </c>
      <c r="G365" s="19">
        <v>2154037</v>
      </c>
      <c r="H365" s="8"/>
    </row>
    <row r="366" spans="2:8">
      <c r="B366" s="18">
        <v>8005</v>
      </c>
      <c r="C366" s="17">
        <v>43</v>
      </c>
      <c r="D366" s="17" t="s">
        <v>2045</v>
      </c>
      <c r="E366" s="17">
        <v>44</v>
      </c>
      <c r="F366" s="19">
        <v>339088</v>
      </c>
      <c r="G366" s="19">
        <v>2493125</v>
      </c>
      <c r="H366" s="8"/>
    </row>
    <row r="367" spans="2:8">
      <c r="B367" s="18">
        <v>8005</v>
      </c>
      <c r="C367" s="17">
        <v>44</v>
      </c>
      <c r="D367" s="17" t="s">
        <v>2046</v>
      </c>
      <c r="E367" s="17">
        <v>45</v>
      </c>
      <c r="F367" s="19">
        <v>384348</v>
      </c>
      <c r="G367" s="19">
        <v>2877473</v>
      </c>
      <c r="H367" s="8"/>
    </row>
    <row r="368" spans="2:8">
      <c r="B368" s="18">
        <v>8005</v>
      </c>
      <c r="C368" s="17">
        <v>45</v>
      </c>
      <c r="D368" s="17" t="s">
        <v>2047</v>
      </c>
      <c r="E368" s="17">
        <v>46</v>
      </c>
      <c r="F368" s="19">
        <v>434504</v>
      </c>
      <c r="G368" s="19">
        <v>3311977</v>
      </c>
      <c r="H368" s="8"/>
    </row>
    <row r="369" spans="2:8">
      <c r="B369" s="18">
        <v>8005</v>
      </c>
      <c r="C369" s="17">
        <v>46</v>
      </c>
      <c r="D369" s="17" t="s">
        <v>2048</v>
      </c>
      <c r="E369" s="17">
        <v>47</v>
      </c>
      <c r="F369" s="19">
        <v>489960</v>
      </c>
      <c r="G369" s="19">
        <v>3801937</v>
      </c>
      <c r="H369" s="8"/>
    </row>
    <row r="370" spans="2:8">
      <c r="B370" s="18">
        <v>8005</v>
      </c>
      <c r="C370" s="17">
        <v>47</v>
      </c>
      <c r="D370" s="17" t="s">
        <v>2049</v>
      </c>
      <c r="E370" s="17">
        <v>48</v>
      </c>
      <c r="F370" s="19">
        <v>551142</v>
      </c>
      <c r="G370" s="19">
        <v>4353079</v>
      </c>
      <c r="H370" s="8"/>
    </row>
    <row r="371" spans="2:8">
      <c r="B371" s="18">
        <v>8005</v>
      </c>
      <c r="C371" s="17">
        <v>48</v>
      </c>
      <c r="D371" s="17" t="s">
        <v>2050</v>
      </c>
      <c r="E371" s="17">
        <v>49</v>
      </c>
      <c r="F371" s="19">
        <v>618504</v>
      </c>
      <c r="G371" s="19">
        <v>4971583</v>
      </c>
      <c r="H371" s="8"/>
    </row>
    <row r="372" spans="2:8">
      <c r="B372" s="18">
        <v>8005</v>
      </c>
      <c r="C372" s="17">
        <v>49</v>
      </c>
      <c r="D372" s="17" t="s">
        <v>2051</v>
      </c>
      <c r="E372" s="17">
        <v>50</v>
      </c>
      <c r="F372" s="19">
        <v>692524</v>
      </c>
      <c r="G372" s="19">
        <v>5664107</v>
      </c>
      <c r="H372" s="8"/>
    </row>
    <row r="373" spans="2:8">
      <c r="B373" s="18">
        <v>8005</v>
      </c>
      <c r="C373" s="17">
        <v>50</v>
      </c>
      <c r="D373" s="17" t="s">
        <v>2052</v>
      </c>
      <c r="E373" s="17">
        <v>51</v>
      </c>
      <c r="F373" s="19">
        <v>773703</v>
      </c>
      <c r="G373" s="19">
        <v>6437810</v>
      </c>
      <c r="H373" s="8"/>
    </row>
    <row r="374" spans="2:8">
      <c r="B374" s="21">
        <v>8005</v>
      </c>
      <c r="C374" s="22">
        <v>51</v>
      </c>
      <c r="D374" s="22" t="s">
        <v>2053</v>
      </c>
      <c r="E374" s="22">
        <v>52</v>
      </c>
      <c r="F374" s="23">
        <v>862571</v>
      </c>
      <c r="G374" s="19">
        <v>7300381</v>
      </c>
      <c r="H374" s="8"/>
    </row>
    <row r="375" spans="2:8">
      <c r="B375" s="21">
        <v>8005</v>
      </c>
      <c r="C375" s="22">
        <v>52</v>
      </c>
      <c r="D375" s="22" t="s">
        <v>2054</v>
      </c>
      <c r="E375" s="22">
        <v>53</v>
      </c>
      <c r="F375" s="23">
        <v>959684</v>
      </c>
      <c r="G375" s="19">
        <v>8260065</v>
      </c>
      <c r="H375" s="8"/>
    </row>
    <row r="376" spans="2:8">
      <c r="B376" s="21">
        <v>8005</v>
      </c>
      <c r="C376" s="22">
        <v>53</v>
      </c>
      <c r="D376" s="22" t="s">
        <v>2055</v>
      </c>
      <c r="E376" s="22">
        <v>54</v>
      </c>
      <c r="F376" s="23">
        <v>1065630</v>
      </c>
      <c r="G376" s="19">
        <v>9325695</v>
      </c>
      <c r="H376" s="8"/>
    </row>
    <row r="377" spans="2:8">
      <c r="B377" s="21">
        <v>8005</v>
      </c>
      <c r="C377" s="22">
        <v>54</v>
      </c>
      <c r="D377" s="22" t="s">
        <v>2056</v>
      </c>
      <c r="E377" s="22">
        <v>55</v>
      </c>
      <c r="F377" s="23">
        <v>1181020</v>
      </c>
      <c r="G377" s="19">
        <v>10506715</v>
      </c>
      <c r="H377" s="8"/>
    </row>
    <row r="378" spans="2:8">
      <c r="B378" s="21">
        <v>8005</v>
      </c>
      <c r="C378" s="22">
        <v>55</v>
      </c>
      <c r="D378" s="22" t="s">
        <v>2057</v>
      </c>
      <c r="E378" s="22">
        <v>56</v>
      </c>
      <c r="F378" s="23">
        <v>1306501</v>
      </c>
      <c r="G378" s="19">
        <v>11813216</v>
      </c>
      <c r="H378" s="8"/>
    </row>
    <row r="379" spans="2:8">
      <c r="B379" s="21">
        <v>8005</v>
      </c>
      <c r="C379" s="22">
        <v>56</v>
      </c>
      <c r="D379" s="22" t="s">
        <v>2058</v>
      </c>
      <c r="E379" s="22">
        <v>57</v>
      </c>
      <c r="F379" s="23">
        <v>1442747</v>
      </c>
      <c r="G379" s="19">
        <v>13255963</v>
      </c>
      <c r="H379" s="8"/>
    </row>
    <row r="380" spans="2:8">
      <c r="B380" s="21">
        <v>8005</v>
      </c>
      <c r="C380" s="22">
        <v>57</v>
      </c>
      <c r="D380" s="22" t="s">
        <v>2059</v>
      </c>
      <c r="E380" s="22">
        <v>58</v>
      </c>
      <c r="F380" s="23">
        <v>1590464</v>
      </c>
      <c r="G380" s="19">
        <v>14846427</v>
      </c>
      <c r="H380" s="8"/>
    </row>
    <row r="381" spans="2:8">
      <c r="B381" s="21">
        <v>8005</v>
      </c>
      <c r="C381" s="22">
        <v>58</v>
      </c>
      <c r="D381" s="22" t="s">
        <v>2060</v>
      </c>
      <c r="E381" s="22">
        <v>59</v>
      </c>
      <c r="F381" s="23">
        <v>1750392</v>
      </c>
      <c r="G381" s="19">
        <v>16596819</v>
      </c>
      <c r="H381" s="8"/>
    </row>
    <row r="382" spans="2:8">
      <c r="B382" s="21">
        <v>8005</v>
      </c>
      <c r="C382" s="22">
        <v>59</v>
      </c>
      <c r="D382" s="22" t="s">
        <v>2061</v>
      </c>
      <c r="E382" s="22">
        <v>60</v>
      </c>
      <c r="F382" s="23">
        <v>1923303</v>
      </c>
      <c r="G382" s="19">
        <v>18520122</v>
      </c>
      <c r="H382" s="8"/>
    </row>
    <row r="383" spans="2:8">
      <c r="B383" s="21">
        <v>8005</v>
      </c>
      <c r="C383" s="22">
        <v>60</v>
      </c>
      <c r="D383" s="22" t="s">
        <v>2062</v>
      </c>
      <c r="E383" s="22">
        <v>61</v>
      </c>
      <c r="F383" s="23">
        <v>2110005</v>
      </c>
      <c r="G383" s="19">
        <v>20630127</v>
      </c>
      <c r="H383" s="8"/>
    </row>
    <row r="384" spans="2:8">
      <c r="B384" s="21">
        <v>8005</v>
      </c>
      <c r="C384" s="22">
        <v>61</v>
      </c>
      <c r="D384" s="22" t="s">
        <v>2063</v>
      </c>
      <c r="E384" s="22">
        <v>62</v>
      </c>
      <c r="F384" s="23">
        <v>2311340</v>
      </c>
      <c r="G384" s="19">
        <v>22941467</v>
      </c>
      <c r="H384" s="8"/>
    </row>
    <row r="385" spans="2:8">
      <c r="B385" s="21">
        <v>8005</v>
      </c>
      <c r="C385" s="22">
        <v>62</v>
      </c>
      <c r="D385" s="22" t="s">
        <v>2064</v>
      </c>
      <c r="E385" s="22">
        <v>63</v>
      </c>
      <c r="F385" s="23">
        <v>2528187</v>
      </c>
      <c r="G385" s="19">
        <v>25469654</v>
      </c>
      <c r="H385" s="8"/>
    </row>
    <row r="386" spans="2:8">
      <c r="B386" s="21">
        <v>8005</v>
      </c>
      <c r="C386" s="22">
        <v>63</v>
      </c>
      <c r="D386" s="22" t="s">
        <v>2065</v>
      </c>
      <c r="E386" s="22">
        <v>64</v>
      </c>
      <c r="F386" s="23">
        <v>2761460</v>
      </c>
      <c r="G386" s="19">
        <v>28231114</v>
      </c>
      <c r="H386" s="8"/>
    </row>
    <row r="387" spans="2:8">
      <c r="B387" s="21">
        <v>8005</v>
      </c>
      <c r="C387" s="22">
        <v>64</v>
      </c>
      <c r="D387" s="22" t="s">
        <v>2066</v>
      </c>
      <c r="E387" s="22">
        <v>65</v>
      </c>
      <c r="F387" s="23">
        <v>3012115</v>
      </c>
      <c r="G387" s="19">
        <v>31243229</v>
      </c>
      <c r="H387" s="8"/>
    </row>
    <row r="388" spans="2:8">
      <c r="B388" s="21">
        <v>8005</v>
      </c>
      <c r="C388" s="22">
        <v>65</v>
      </c>
      <c r="D388" s="22" t="s">
        <v>2067</v>
      </c>
      <c r="E388" s="22">
        <v>66</v>
      </c>
      <c r="F388" s="23">
        <v>3281142</v>
      </c>
      <c r="G388" s="19">
        <v>34524371</v>
      </c>
      <c r="H388" s="8"/>
    </row>
    <row r="389" spans="2:8">
      <c r="B389" s="21">
        <v>8005</v>
      </c>
      <c r="C389" s="22">
        <v>66</v>
      </c>
      <c r="D389" s="22" t="s">
        <v>2068</v>
      </c>
      <c r="E389" s="22">
        <v>67</v>
      </c>
      <c r="F389" s="23">
        <v>3569574</v>
      </c>
      <c r="G389" s="19">
        <v>38093945</v>
      </c>
      <c r="H389" s="8"/>
    </row>
    <row r="390" spans="2:8">
      <c r="B390" s="21">
        <v>8005</v>
      </c>
      <c r="C390" s="22">
        <v>67</v>
      </c>
      <c r="D390" s="22" t="s">
        <v>2069</v>
      </c>
      <c r="E390" s="22">
        <v>68</v>
      </c>
      <c r="F390" s="23">
        <v>3878484</v>
      </c>
      <c r="G390" s="19">
        <v>41972429</v>
      </c>
      <c r="H390" s="8"/>
    </row>
    <row r="391" spans="2:8">
      <c r="B391" s="21">
        <v>8005</v>
      </c>
      <c r="C391" s="22">
        <v>68</v>
      </c>
      <c r="D391" s="22" t="s">
        <v>2070</v>
      </c>
      <c r="E391" s="22">
        <v>69</v>
      </c>
      <c r="F391" s="23">
        <v>4208988</v>
      </c>
      <c r="G391" s="19">
        <v>46181417</v>
      </c>
      <c r="H391" s="8"/>
    </row>
    <row r="392" spans="2:8">
      <c r="B392" s="21">
        <v>8005</v>
      </c>
      <c r="C392" s="22">
        <v>69</v>
      </c>
      <c r="D392" s="22" t="s">
        <v>2071</v>
      </c>
      <c r="E392" s="22">
        <v>70</v>
      </c>
      <c r="F392" s="23">
        <v>4562243</v>
      </c>
      <c r="G392" s="19">
        <v>50743660</v>
      </c>
      <c r="H392" s="8"/>
    </row>
    <row r="393" spans="2:8">
      <c r="B393" s="21">
        <v>8005</v>
      </c>
      <c r="C393" s="22">
        <v>70</v>
      </c>
      <c r="D393" s="22" t="s">
        <v>2072</v>
      </c>
      <c r="E393" s="22">
        <v>71</v>
      </c>
      <c r="F393" s="23">
        <v>4939449</v>
      </c>
      <c r="G393" s="19">
        <v>55683109</v>
      </c>
      <c r="H393" s="8"/>
    </row>
    <row r="394" spans="2:8">
      <c r="B394" s="21">
        <v>8005</v>
      </c>
      <c r="C394" s="22">
        <v>71</v>
      </c>
      <c r="D394" s="22" t="s">
        <v>2073</v>
      </c>
      <c r="E394" s="22">
        <v>72</v>
      </c>
      <c r="F394" s="23">
        <v>5341853</v>
      </c>
      <c r="G394" s="19">
        <v>61024962</v>
      </c>
      <c r="H394" s="8"/>
    </row>
    <row r="395" spans="2:8">
      <c r="B395" s="21">
        <v>8005</v>
      </c>
      <c r="C395" s="22">
        <v>72</v>
      </c>
      <c r="D395" s="22" t="s">
        <v>2074</v>
      </c>
      <c r="E395" s="22">
        <v>73</v>
      </c>
      <c r="F395" s="23">
        <v>5770746</v>
      </c>
      <c r="G395" s="19">
        <v>66795708</v>
      </c>
      <c r="H395" s="8"/>
    </row>
    <row r="396" spans="2:8">
      <c r="B396" s="21">
        <v>8005</v>
      </c>
      <c r="C396" s="22">
        <v>73</v>
      </c>
      <c r="D396" s="22" t="s">
        <v>2075</v>
      </c>
      <c r="E396" s="22">
        <v>74</v>
      </c>
      <c r="F396" s="23">
        <v>6227466</v>
      </c>
      <c r="G396" s="19">
        <v>73023174</v>
      </c>
      <c r="H396" s="8"/>
    </row>
    <row r="397" spans="2:8">
      <c r="B397" s="21">
        <v>8005</v>
      </c>
      <c r="C397" s="22">
        <v>74</v>
      </c>
      <c r="D397" s="22" t="s">
        <v>2076</v>
      </c>
      <c r="E397" s="22">
        <v>75</v>
      </c>
      <c r="F397" s="23">
        <v>6713399</v>
      </c>
      <c r="G397" s="19">
        <v>79736573</v>
      </c>
      <c r="H397" s="8"/>
    </row>
    <row r="398" spans="2:8">
      <c r="B398" s="21">
        <v>8005</v>
      </c>
      <c r="C398" s="22">
        <v>75</v>
      </c>
      <c r="D398" s="22" t="s">
        <v>2077</v>
      </c>
      <c r="E398" s="22">
        <v>76</v>
      </c>
      <c r="F398" s="23">
        <v>7229979</v>
      </c>
      <c r="G398" s="19">
        <v>86966552</v>
      </c>
    </row>
    <row r="399" spans="2:8">
      <c r="B399" s="21">
        <v>8005</v>
      </c>
      <c r="C399" s="22">
        <v>76</v>
      </c>
      <c r="D399" s="22" t="s">
        <v>2078</v>
      </c>
      <c r="E399" s="22">
        <v>77</v>
      </c>
      <c r="F399" s="23">
        <v>7778690</v>
      </c>
      <c r="G399" s="19">
        <v>94745242</v>
      </c>
      <c r="H399" s="8"/>
    </row>
    <row r="400" spans="2:8">
      <c r="B400" s="21">
        <v>8005</v>
      </c>
      <c r="C400" s="22">
        <v>77</v>
      </c>
      <c r="D400" s="22" t="s">
        <v>2079</v>
      </c>
      <c r="E400" s="22">
        <v>78</v>
      </c>
      <c r="F400" s="23">
        <v>8361067</v>
      </c>
      <c r="G400" s="19">
        <v>103106309</v>
      </c>
      <c r="H400" s="8"/>
    </row>
    <row r="401" spans="2:8">
      <c r="B401" s="21">
        <v>8005</v>
      </c>
      <c r="C401" s="22">
        <v>78</v>
      </c>
      <c r="D401" s="22" t="s">
        <v>2080</v>
      </c>
      <c r="E401" s="22">
        <v>79</v>
      </c>
      <c r="F401" s="23">
        <v>8978696</v>
      </c>
      <c r="G401" s="19">
        <v>112085005</v>
      </c>
      <c r="H401" s="8"/>
    </row>
    <row r="402" spans="2:8">
      <c r="B402" s="21">
        <v>8005</v>
      </c>
      <c r="C402" s="22">
        <v>79</v>
      </c>
      <c r="D402" s="22" t="s">
        <v>2081</v>
      </c>
      <c r="E402" s="22">
        <v>80</v>
      </c>
      <c r="F402" s="23">
        <v>9633216</v>
      </c>
      <c r="G402" s="19">
        <v>121718221</v>
      </c>
      <c r="H402" s="8"/>
    </row>
    <row r="403" spans="2:8">
      <c r="B403" s="21">
        <v>8005</v>
      </c>
      <c r="C403" s="22">
        <v>80</v>
      </c>
      <c r="D403" s="22" t="s">
        <v>2082</v>
      </c>
      <c r="E403" s="22" t="s">
        <v>1762</v>
      </c>
      <c r="F403" s="23">
        <v>10326319</v>
      </c>
      <c r="G403" s="19">
        <v>132044540</v>
      </c>
      <c r="H403" s="8"/>
    </row>
    <row r="404" spans="2:8">
      <c r="B404" s="18">
        <v>8006</v>
      </c>
      <c r="C404" s="17">
        <v>1</v>
      </c>
      <c r="D404" s="17" t="s">
        <v>1699</v>
      </c>
      <c r="E404" s="17">
        <v>2</v>
      </c>
      <c r="F404" s="19">
        <v>0</v>
      </c>
      <c r="G404" s="19">
        <v>0</v>
      </c>
      <c r="H404" s="8"/>
    </row>
    <row r="405" spans="2:8">
      <c r="B405" s="18">
        <v>8006</v>
      </c>
      <c r="C405" s="17">
        <v>2</v>
      </c>
      <c r="D405" s="17" t="s">
        <v>2083</v>
      </c>
      <c r="E405" s="17">
        <v>3</v>
      </c>
      <c r="F405" s="19">
        <v>99</v>
      </c>
      <c r="G405" s="19">
        <v>99</v>
      </c>
      <c r="H405" s="8"/>
    </row>
    <row r="406" spans="2:8">
      <c r="B406" s="18">
        <v>8006</v>
      </c>
      <c r="C406" s="17">
        <v>3</v>
      </c>
      <c r="D406" s="17" t="s">
        <v>2084</v>
      </c>
      <c r="E406" s="17">
        <v>4</v>
      </c>
      <c r="F406" s="19">
        <v>207</v>
      </c>
      <c r="G406" s="19">
        <v>306</v>
      </c>
      <c r="H406" s="8"/>
    </row>
    <row r="407" spans="2:8">
      <c r="B407" s="18">
        <v>8006</v>
      </c>
      <c r="C407" s="17">
        <v>4</v>
      </c>
      <c r="D407" s="17" t="s">
        <v>2085</v>
      </c>
      <c r="E407" s="17">
        <v>5</v>
      </c>
      <c r="F407" s="19">
        <v>324</v>
      </c>
      <c r="G407" s="19">
        <v>630</v>
      </c>
      <c r="H407" s="8"/>
    </row>
    <row r="408" spans="2:8">
      <c r="B408" s="18">
        <v>8006</v>
      </c>
      <c r="C408" s="17">
        <v>5</v>
      </c>
      <c r="D408" s="17" t="s">
        <v>2086</v>
      </c>
      <c r="E408" s="17">
        <v>6</v>
      </c>
      <c r="F408" s="19">
        <v>450</v>
      </c>
      <c r="G408" s="19">
        <v>1080</v>
      </c>
      <c r="H408" s="8"/>
    </row>
    <row r="409" spans="2:8">
      <c r="B409" s="18">
        <v>8006</v>
      </c>
      <c r="C409" s="17">
        <v>6</v>
      </c>
      <c r="D409" s="17" t="s">
        <v>2087</v>
      </c>
      <c r="E409" s="17">
        <v>7</v>
      </c>
      <c r="F409" s="19">
        <v>588</v>
      </c>
      <c r="G409" s="19">
        <v>1668</v>
      </c>
      <c r="H409" s="8"/>
    </row>
    <row r="410" spans="2:8">
      <c r="B410" s="18">
        <v>8006</v>
      </c>
      <c r="C410" s="17">
        <v>7</v>
      </c>
      <c r="D410" s="17" t="s">
        <v>1710</v>
      </c>
      <c r="E410" s="17">
        <v>8</v>
      </c>
      <c r="F410" s="19">
        <v>738</v>
      </c>
      <c r="G410" s="19">
        <v>2406</v>
      </c>
      <c r="H410" s="8"/>
    </row>
    <row r="411" spans="2:8">
      <c r="B411" s="18">
        <v>8006</v>
      </c>
      <c r="C411" s="17">
        <v>8</v>
      </c>
      <c r="D411" s="17" t="s">
        <v>2088</v>
      </c>
      <c r="E411" s="17">
        <v>9</v>
      </c>
      <c r="F411" s="19">
        <v>905</v>
      </c>
      <c r="G411" s="19">
        <v>3311</v>
      </c>
      <c r="H411" s="8"/>
    </row>
    <row r="412" spans="2:8">
      <c r="B412" s="18">
        <v>8006</v>
      </c>
      <c r="C412" s="17">
        <v>9</v>
      </c>
      <c r="D412" s="17" t="s">
        <v>2089</v>
      </c>
      <c r="E412" s="17">
        <v>10</v>
      </c>
      <c r="F412" s="19">
        <v>1092</v>
      </c>
      <c r="G412" s="19">
        <v>4403</v>
      </c>
      <c r="H412" s="8"/>
    </row>
    <row r="413" spans="2:8">
      <c r="B413" s="18">
        <v>8006</v>
      </c>
      <c r="C413" s="17">
        <v>10</v>
      </c>
      <c r="D413" s="17" t="s">
        <v>2090</v>
      </c>
      <c r="E413" s="17">
        <v>11</v>
      </c>
      <c r="F413" s="19">
        <v>1307</v>
      </c>
      <c r="G413" s="19">
        <v>5710</v>
      </c>
      <c r="H413" s="8"/>
    </row>
    <row r="414" spans="2:8">
      <c r="B414" s="18">
        <v>8006</v>
      </c>
      <c r="C414" s="17">
        <v>11</v>
      </c>
      <c r="D414" s="17" t="s">
        <v>2091</v>
      </c>
      <c r="E414" s="17">
        <v>12</v>
      </c>
      <c r="F414" s="19">
        <v>1558</v>
      </c>
      <c r="G414" s="19">
        <v>7268</v>
      </c>
      <c r="H414" s="8"/>
    </row>
    <row r="415" spans="2:8">
      <c r="B415" s="18">
        <v>8006</v>
      </c>
      <c r="C415" s="17">
        <v>12</v>
      </c>
      <c r="D415" s="17" t="s">
        <v>2092</v>
      </c>
      <c r="E415" s="17">
        <v>13</v>
      </c>
      <c r="F415" s="19">
        <v>1856</v>
      </c>
      <c r="G415" s="19">
        <v>9124</v>
      </c>
      <c r="H415" s="8"/>
    </row>
    <row r="416" spans="2:8">
      <c r="B416" s="18">
        <v>8006</v>
      </c>
      <c r="C416" s="17">
        <v>13</v>
      </c>
      <c r="D416" s="17" t="s">
        <v>1721</v>
      </c>
      <c r="E416" s="17">
        <v>14</v>
      </c>
      <c r="F416" s="19">
        <v>2215</v>
      </c>
      <c r="G416" s="19">
        <v>11339</v>
      </c>
      <c r="H416" s="8"/>
    </row>
    <row r="417" spans="2:8">
      <c r="B417" s="18">
        <v>8006</v>
      </c>
      <c r="C417" s="17">
        <v>14</v>
      </c>
      <c r="D417" s="17" t="s">
        <v>2093</v>
      </c>
      <c r="E417" s="17">
        <v>15</v>
      </c>
      <c r="F417" s="19">
        <v>2654</v>
      </c>
      <c r="G417" s="19">
        <v>13993</v>
      </c>
      <c r="H417" s="8"/>
    </row>
    <row r="418" spans="2:8">
      <c r="B418" s="18">
        <v>8006</v>
      </c>
      <c r="C418" s="17">
        <v>15</v>
      </c>
      <c r="D418" s="17" t="s">
        <v>2094</v>
      </c>
      <c r="E418" s="17">
        <v>16</v>
      </c>
      <c r="F418" s="19">
        <v>3193</v>
      </c>
      <c r="G418" s="19">
        <v>17186</v>
      </c>
      <c r="H418" s="8"/>
    </row>
    <row r="419" spans="2:8">
      <c r="B419" s="18">
        <v>8006</v>
      </c>
      <c r="C419" s="17">
        <v>16</v>
      </c>
      <c r="D419" s="17" t="s">
        <v>2095</v>
      </c>
      <c r="E419" s="17">
        <v>17</v>
      </c>
      <c r="F419" s="19">
        <v>3859</v>
      </c>
      <c r="G419" s="19">
        <v>21045</v>
      </c>
      <c r="H419" s="8"/>
    </row>
    <row r="420" spans="2:8">
      <c r="B420" s="18">
        <v>8006</v>
      </c>
      <c r="C420" s="17">
        <v>17</v>
      </c>
      <c r="D420" s="17" t="s">
        <v>2096</v>
      </c>
      <c r="E420" s="17">
        <v>18</v>
      </c>
      <c r="F420" s="19">
        <v>4682</v>
      </c>
      <c r="G420" s="19">
        <v>25727</v>
      </c>
      <c r="H420" s="8"/>
    </row>
    <row r="421" spans="2:8">
      <c r="B421" s="18">
        <v>8006</v>
      </c>
      <c r="C421" s="17">
        <v>18</v>
      </c>
      <c r="D421" s="17" t="s">
        <v>2097</v>
      </c>
      <c r="E421" s="17">
        <v>19</v>
      </c>
      <c r="F421" s="19">
        <v>5699</v>
      </c>
      <c r="G421" s="19">
        <v>31426</v>
      </c>
      <c r="H421" s="8"/>
    </row>
    <row r="422" spans="2:8">
      <c r="B422" s="18">
        <v>8006</v>
      </c>
      <c r="C422" s="17">
        <v>19</v>
      </c>
      <c r="D422" s="17" t="s">
        <v>1732</v>
      </c>
      <c r="E422" s="17">
        <v>20</v>
      </c>
      <c r="F422" s="19">
        <v>6953</v>
      </c>
      <c r="G422" s="19">
        <v>38379</v>
      </c>
      <c r="H422" s="8"/>
    </row>
    <row r="423" spans="2:8">
      <c r="B423" s="18">
        <v>8006</v>
      </c>
      <c r="C423" s="17">
        <v>20</v>
      </c>
      <c r="D423" s="17" t="s">
        <v>2098</v>
      </c>
      <c r="E423" s="17">
        <v>21</v>
      </c>
      <c r="F423" s="19">
        <v>8492</v>
      </c>
      <c r="G423" s="19">
        <v>46871</v>
      </c>
      <c r="H423" s="8"/>
    </row>
    <row r="424" spans="2:8">
      <c r="B424" s="18">
        <v>8006</v>
      </c>
      <c r="C424" s="17">
        <v>21</v>
      </c>
      <c r="D424" s="17" t="s">
        <v>2099</v>
      </c>
      <c r="E424" s="17">
        <v>22</v>
      </c>
      <c r="F424" s="19">
        <v>10371</v>
      </c>
      <c r="G424" s="19">
        <v>57242</v>
      </c>
      <c r="H424" s="8"/>
    </row>
    <row r="425" spans="2:8">
      <c r="B425" s="18">
        <v>8006</v>
      </c>
      <c r="C425" s="17">
        <v>22</v>
      </c>
      <c r="D425" s="17" t="s">
        <v>2100</v>
      </c>
      <c r="E425" s="17">
        <v>23</v>
      </c>
      <c r="F425" s="19">
        <v>12655</v>
      </c>
      <c r="G425" s="19">
        <v>69897</v>
      </c>
      <c r="H425" s="8"/>
    </row>
    <row r="426" spans="2:8">
      <c r="B426" s="18">
        <v>8006</v>
      </c>
      <c r="C426" s="17">
        <v>23</v>
      </c>
      <c r="D426" s="17" t="s">
        <v>2101</v>
      </c>
      <c r="E426" s="17">
        <v>24</v>
      </c>
      <c r="F426" s="19">
        <v>15415</v>
      </c>
      <c r="G426" s="19">
        <v>85312</v>
      </c>
      <c r="H426" s="8"/>
    </row>
    <row r="427" spans="2:8">
      <c r="B427" s="18">
        <v>8006</v>
      </c>
      <c r="C427" s="17">
        <v>24</v>
      </c>
      <c r="D427" s="17" t="s">
        <v>2102</v>
      </c>
      <c r="E427" s="17">
        <v>25</v>
      </c>
      <c r="F427" s="19">
        <v>18731</v>
      </c>
      <c r="G427" s="19">
        <v>104043</v>
      </c>
      <c r="H427" s="8"/>
    </row>
    <row r="428" spans="2:8">
      <c r="B428" s="18">
        <v>8006</v>
      </c>
      <c r="C428" s="17">
        <v>25</v>
      </c>
      <c r="D428" s="17" t="s">
        <v>1743</v>
      </c>
      <c r="E428" s="17">
        <v>26</v>
      </c>
      <c r="F428" s="19">
        <v>22694</v>
      </c>
      <c r="G428" s="19">
        <v>126737</v>
      </c>
      <c r="H428" s="8"/>
    </row>
    <row r="429" spans="2:8">
      <c r="B429" s="18">
        <v>8006</v>
      </c>
      <c r="C429" s="17">
        <v>26</v>
      </c>
      <c r="D429" s="17" t="s">
        <v>2103</v>
      </c>
      <c r="E429" s="17">
        <v>27</v>
      </c>
      <c r="F429" s="19">
        <v>27403</v>
      </c>
      <c r="G429" s="19">
        <v>154140</v>
      </c>
      <c r="H429" s="8"/>
    </row>
    <row r="430" spans="2:8">
      <c r="B430" s="18">
        <v>8006</v>
      </c>
      <c r="C430" s="17">
        <v>27</v>
      </c>
      <c r="D430" s="17" t="s">
        <v>2104</v>
      </c>
      <c r="E430" s="17">
        <v>28</v>
      </c>
      <c r="F430" s="19">
        <v>32969</v>
      </c>
      <c r="G430" s="19">
        <v>187109</v>
      </c>
      <c r="H430" s="8"/>
    </row>
    <row r="431" spans="2:8">
      <c r="B431" s="18">
        <v>8006</v>
      </c>
      <c r="C431" s="17">
        <v>28</v>
      </c>
      <c r="D431" s="17" t="s">
        <v>2105</v>
      </c>
      <c r="E431" s="17">
        <v>29</v>
      </c>
      <c r="F431" s="19">
        <v>39515</v>
      </c>
      <c r="G431" s="19">
        <v>226624</v>
      </c>
      <c r="H431" s="8"/>
    </row>
    <row r="432" spans="2:8">
      <c r="B432" s="18">
        <v>8006</v>
      </c>
      <c r="C432" s="17">
        <v>29</v>
      </c>
      <c r="D432" s="17" t="s">
        <v>2106</v>
      </c>
      <c r="E432" s="17">
        <v>30</v>
      </c>
      <c r="F432" s="19">
        <v>47175</v>
      </c>
      <c r="G432" s="19">
        <v>273799</v>
      </c>
      <c r="H432" s="8"/>
    </row>
    <row r="433" spans="2:8">
      <c r="B433" s="18">
        <v>8006</v>
      </c>
      <c r="C433" s="17">
        <v>30</v>
      </c>
      <c r="D433" s="17" t="s">
        <v>2107</v>
      </c>
      <c r="E433" s="17">
        <v>31</v>
      </c>
      <c r="F433" s="19">
        <v>56096</v>
      </c>
      <c r="G433" s="19">
        <v>329895</v>
      </c>
      <c r="H433" s="8"/>
    </row>
    <row r="434" spans="2:8">
      <c r="B434" s="18">
        <v>8006</v>
      </c>
      <c r="C434" s="17">
        <v>31</v>
      </c>
      <c r="D434" s="17" t="s">
        <v>1754</v>
      </c>
      <c r="E434" s="17">
        <v>32</v>
      </c>
      <c r="F434" s="19">
        <v>66438</v>
      </c>
      <c r="G434" s="19">
        <v>396333</v>
      </c>
      <c r="H434" s="8"/>
    </row>
    <row r="435" spans="2:8">
      <c r="B435" s="18">
        <v>8006</v>
      </c>
      <c r="C435" s="17">
        <v>32</v>
      </c>
      <c r="D435" s="17" t="s">
        <v>2108</v>
      </c>
      <c r="E435" s="17">
        <v>33</v>
      </c>
      <c r="F435" s="19">
        <v>78375</v>
      </c>
      <c r="G435" s="19">
        <v>474708</v>
      </c>
      <c r="H435" s="8"/>
    </row>
    <row r="436" spans="2:8">
      <c r="B436" s="18">
        <v>8006</v>
      </c>
      <c r="C436" s="17">
        <v>33</v>
      </c>
      <c r="D436" s="17" t="s">
        <v>2109</v>
      </c>
      <c r="E436" s="17">
        <v>34</v>
      </c>
      <c r="F436" s="19">
        <v>92099</v>
      </c>
      <c r="G436" s="19">
        <v>566807</v>
      </c>
      <c r="H436" s="8"/>
    </row>
    <row r="437" spans="2:8">
      <c r="B437" s="18">
        <v>8006</v>
      </c>
      <c r="C437" s="17">
        <v>34</v>
      </c>
      <c r="D437" s="17" t="s">
        <v>2110</v>
      </c>
      <c r="E437" s="17">
        <v>35</v>
      </c>
      <c r="F437" s="19">
        <v>107814</v>
      </c>
      <c r="G437" s="19">
        <v>674621</v>
      </c>
      <c r="H437" s="8"/>
    </row>
    <row r="438" spans="2:8">
      <c r="B438" s="18">
        <v>8006</v>
      </c>
      <c r="C438" s="17">
        <v>35</v>
      </c>
      <c r="D438" s="17" t="s">
        <v>2111</v>
      </c>
      <c r="E438" s="17">
        <v>36</v>
      </c>
      <c r="F438" s="19">
        <v>125742</v>
      </c>
      <c r="G438" s="19">
        <v>800363</v>
      </c>
      <c r="H438" s="8"/>
    </row>
    <row r="439" spans="2:8">
      <c r="B439" s="18">
        <v>8006</v>
      </c>
      <c r="C439" s="17">
        <v>36</v>
      </c>
      <c r="D439" s="17" t="s">
        <v>2112</v>
      </c>
      <c r="E439" s="17">
        <v>37</v>
      </c>
      <c r="F439" s="19">
        <v>146122</v>
      </c>
      <c r="G439" s="19">
        <v>946485</v>
      </c>
      <c r="H439" s="8"/>
    </row>
    <row r="440" spans="2:8">
      <c r="B440" s="18">
        <v>8006</v>
      </c>
      <c r="C440" s="17">
        <v>37</v>
      </c>
      <c r="D440" s="17" t="s">
        <v>2113</v>
      </c>
      <c r="E440" s="17">
        <v>38</v>
      </c>
      <c r="F440" s="19">
        <v>169210</v>
      </c>
      <c r="G440" s="19">
        <v>1115695</v>
      </c>
      <c r="H440" s="8"/>
    </row>
    <row r="441" spans="2:8">
      <c r="B441" s="18">
        <v>8006</v>
      </c>
      <c r="C441" s="17">
        <v>38</v>
      </c>
      <c r="D441" s="17" t="s">
        <v>2114</v>
      </c>
      <c r="E441" s="17">
        <v>39</v>
      </c>
      <c r="F441" s="19">
        <v>195283</v>
      </c>
      <c r="G441" s="19">
        <v>1310978</v>
      </c>
      <c r="H441" s="8"/>
    </row>
    <row r="442" spans="2:8">
      <c r="B442" s="18">
        <v>8006</v>
      </c>
      <c r="C442" s="17">
        <v>39</v>
      </c>
      <c r="D442" s="17" t="s">
        <v>2115</v>
      </c>
      <c r="E442" s="17">
        <v>40</v>
      </c>
      <c r="F442" s="19">
        <v>224636</v>
      </c>
      <c r="G442" s="19">
        <v>1535614</v>
      </c>
      <c r="H442" s="8"/>
    </row>
    <row r="443" spans="2:8">
      <c r="B443" s="18">
        <v>8006</v>
      </c>
      <c r="C443" s="17">
        <v>40</v>
      </c>
      <c r="D443" s="17" t="s">
        <v>2116</v>
      </c>
      <c r="E443" s="17">
        <v>41</v>
      </c>
      <c r="F443" s="19">
        <v>257583</v>
      </c>
      <c r="G443" s="19">
        <v>1793197</v>
      </c>
      <c r="H443" s="8"/>
    </row>
    <row r="444" spans="2:8">
      <c r="B444" s="18">
        <v>8006</v>
      </c>
      <c r="C444" s="17">
        <v>41</v>
      </c>
      <c r="D444" s="17" t="s">
        <v>2117</v>
      </c>
      <c r="E444" s="17">
        <v>42</v>
      </c>
      <c r="F444" s="19">
        <v>294462</v>
      </c>
      <c r="G444" s="19">
        <v>2087659</v>
      </c>
      <c r="H444" s="8"/>
    </row>
    <row r="445" spans="2:8">
      <c r="B445" s="18">
        <v>8006</v>
      </c>
      <c r="C445" s="17">
        <v>42</v>
      </c>
      <c r="D445" s="17" t="s">
        <v>2118</v>
      </c>
      <c r="E445" s="17">
        <v>43</v>
      </c>
      <c r="F445" s="19">
        <v>335632</v>
      </c>
      <c r="G445" s="19">
        <v>2423291</v>
      </c>
      <c r="H445" s="8"/>
    </row>
    <row r="446" spans="2:8">
      <c r="B446" s="18">
        <v>8006</v>
      </c>
      <c r="C446" s="17">
        <v>43</v>
      </c>
      <c r="D446" s="17" t="s">
        <v>2119</v>
      </c>
      <c r="E446" s="17">
        <v>44</v>
      </c>
      <c r="F446" s="19">
        <v>381474</v>
      </c>
      <c r="G446" s="19">
        <v>2804765</v>
      </c>
      <c r="H446" s="8"/>
    </row>
    <row r="447" spans="2:8">
      <c r="B447" s="18">
        <v>8006</v>
      </c>
      <c r="C447" s="17">
        <v>44</v>
      </c>
      <c r="D447" s="17" t="s">
        <v>2120</v>
      </c>
      <c r="E447" s="17">
        <v>45</v>
      </c>
      <c r="F447" s="19">
        <v>432392</v>
      </c>
      <c r="G447" s="19">
        <v>3237157</v>
      </c>
      <c r="H447" s="8"/>
    </row>
    <row r="448" spans="2:8">
      <c r="B448" s="18">
        <v>8006</v>
      </c>
      <c r="C448" s="17">
        <v>45</v>
      </c>
      <c r="D448" s="17" t="s">
        <v>2121</v>
      </c>
      <c r="E448" s="17">
        <v>46</v>
      </c>
      <c r="F448" s="19">
        <v>488817</v>
      </c>
      <c r="G448" s="19">
        <v>3725974</v>
      </c>
      <c r="H448" s="8"/>
    </row>
    <row r="449" spans="2:8">
      <c r="B449" s="18">
        <v>8006</v>
      </c>
      <c r="C449" s="17">
        <v>46</v>
      </c>
      <c r="D449" s="17" t="s">
        <v>2122</v>
      </c>
      <c r="E449" s="17">
        <v>47</v>
      </c>
      <c r="F449" s="19">
        <v>551205</v>
      </c>
      <c r="G449" s="19">
        <v>4277179</v>
      </c>
      <c r="H449" s="8"/>
    </row>
    <row r="450" spans="2:8">
      <c r="B450" s="18">
        <v>8006</v>
      </c>
      <c r="C450" s="17">
        <v>47</v>
      </c>
      <c r="D450" s="17" t="s">
        <v>2123</v>
      </c>
      <c r="E450" s="17">
        <v>48</v>
      </c>
      <c r="F450" s="19">
        <v>620035</v>
      </c>
      <c r="G450" s="19">
        <v>4897214</v>
      </c>
      <c r="H450" s="8"/>
    </row>
    <row r="451" spans="2:8">
      <c r="B451" s="18">
        <v>8006</v>
      </c>
      <c r="C451" s="17">
        <v>48</v>
      </c>
      <c r="D451" s="17" t="s">
        <v>2124</v>
      </c>
      <c r="E451" s="17">
        <v>49</v>
      </c>
      <c r="F451" s="19">
        <v>695817</v>
      </c>
      <c r="G451" s="19">
        <v>5593031</v>
      </c>
      <c r="H451" s="8"/>
    </row>
    <row r="452" spans="2:8">
      <c r="B452" s="18">
        <v>8006</v>
      </c>
      <c r="C452" s="17">
        <v>49</v>
      </c>
      <c r="D452" s="17" t="s">
        <v>2125</v>
      </c>
      <c r="E452" s="17">
        <v>50</v>
      </c>
      <c r="F452" s="19">
        <v>779089</v>
      </c>
      <c r="G452" s="19">
        <v>6372120</v>
      </c>
      <c r="H452" s="8"/>
    </row>
    <row r="453" spans="2:8">
      <c r="B453" s="18">
        <v>8006</v>
      </c>
      <c r="C453" s="17">
        <v>50</v>
      </c>
      <c r="D453" s="17" t="s">
        <v>2126</v>
      </c>
      <c r="E453" s="17">
        <v>51</v>
      </c>
      <c r="F453" s="19">
        <v>870416</v>
      </c>
      <c r="G453" s="19">
        <v>7242536</v>
      </c>
      <c r="H453" s="8"/>
    </row>
    <row r="454" spans="2:8">
      <c r="B454" s="21">
        <v>8006</v>
      </c>
      <c r="C454" s="22">
        <v>51</v>
      </c>
      <c r="D454" s="22" t="s">
        <v>2127</v>
      </c>
      <c r="E454" s="22">
        <v>52</v>
      </c>
      <c r="F454" s="23">
        <v>970392</v>
      </c>
      <c r="G454" s="19">
        <v>8212928</v>
      </c>
      <c r="H454" s="8"/>
    </row>
    <row r="455" spans="2:8">
      <c r="B455" s="21">
        <v>8006</v>
      </c>
      <c r="C455" s="22">
        <v>52</v>
      </c>
      <c r="D455" s="22" t="s">
        <v>2128</v>
      </c>
      <c r="E455" s="22">
        <v>53</v>
      </c>
      <c r="F455" s="23">
        <v>1079645</v>
      </c>
      <c r="G455" s="19">
        <v>9292573</v>
      </c>
      <c r="H455" s="8"/>
    </row>
    <row r="456" spans="2:8">
      <c r="B456" s="21">
        <v>8006</v>
      </c>
      <c r="C456" s="22">
        <v>53</v>
      </c>
      <c r="D456" s="22" t="s">
        <v>2129</v>
      </c>
      <c r="E456" s="22">
        <v>54</v>
      </c>
      <c r="F456" s="23">
        <v>1198834</v>
      </c>
      <c r="G456" s="19">
        <v>10491407</v>
      </c>
      <c r="H456" s="8"/>
    </row>
    <row r="457" spans="2:8">
      <c r="B457" s="21">
        <v>8006</v>
      </c>
      <c r="C457" s="22">
        <v>54</v>
      </c>
      <c r="D457" s="22" t="s">
        <v>2130</v>
      </c>
      <c r="E457" s="22">
        <v>55</v>
      </c>
      <c r="F457" s="23">
        <v>1328648</v>
      </c>
      <c r="G457" s="19">
        <v>11820055</v>
      </c>
      <c r="H457" s="8"/>
    </row>
    <row r="458" spans="2:8">
      <c r="B458" s="21">
        <v>8006</v>
      </c>
      <c r="C458" s="22">
        <v>55</v>
      </c>
      <c r="D458" s="22" t="s">
        <v>2131</v>
      </c>
      <c r="E458" s="22">
        <v>56</v>
      </c>
      <c r="F458" s="23">
        <v>1469814</v>
      </c>
      <c r="G458" s="19">
        <v>13289869</v>
      </c>
      <c r="H458" s="8"/>
    </row>
    <row r="459" spans="2:8">
      <c r="B459" s="21">
        <v>8006</v>
      </c>
      <c r="C459" s="22">
        <v>56</v>
      </c>
      <c r="D459" s="22" t="s">
        <v>2132</v>
      </c>
      <c r="E459" s="22">
        <v>57</v>
      </c>
      <c r="F459" s="23">
        <v>1623090</v>
      </c>
      <c r="G459" s="19">
        <v>14912959</v>
      </c>
      <c r="H459" s="8"/>
    </row>
    <row r="460" spans="2:8">
      <c r="B460" s="21">
        <v>8006</v>
      </c>
      <c r="C460" s="22">
        <v>57</v>
      </c>
      <c r="D460" s="22" t="s">
        <v>2133</v>
      </c>
      <c r="E460" s="22">
        <v>58</v>
      </c>
      <c r="F460" s="23">
        <v>1789272</v>
      </c>
      <c r="G460" s="19">
        <v>16702231</v>
      </c>
      <c r="H460" s="8"/>
    </row>
    <row r="461" spans="2:8">
      <c r="B461" s="21">
        <v>8006</v>
      </c>
      <c r="C461" s="22">
        <v>58</v>
      </c>
      <c r="D461" s="22" t="s">
        <v>2134</v>
      </c>
      <c r="E461" s="22">
        <v>59</v>
      </c>
      <c r="F461" s="23">
        <v>1969191</v>
      </c>
      <c r="G461" s="19">
        <v>18671422</v>
      </c>
      <c r="H461" s="8"/>
    </row>
    <row r="462" spans="2:8">
      <c r="B462" s="21">
        <v>8006</v>
      </c>
      <c r="C462" s="22">
        <v>59</v>
      </c>
      <c r="D462" s="22" t="s">
        <v>2135</v>
      </c>
      <c r="E462" s="22">
        <v>60</v>
      </c>
      <c r="F462" s="23">
        <v>2163716</v>
      </c>
      <c r="G462" s="19">
        <v>20835138</v>
      </c>
      <c r="H462" s="8"/>
    </row>
    <row r="463" spans="2:8">
      <c r="B463" s="21">
        <v>8006</v>
      </c>
      <c r="C463" s="22">
        <v>60</v>
      </c>
      <c r="D463" s="22" t="s">
        <v>2136</v>
      </c>
      <c r="E463" s="22">
        <v>61</v>
      </c>
      <c r="F463" s="23">
        <v>2373756</v>
      </c>
      <c r="G463" s="19">
        <v>23208894</v>
      </c>
      <c r="H463" s="8"/>
    </row>
    <row r="464" spans="2:8">
      <c r="B464" s="21">
        <v>8006</v>
      </c>
      <c r="C464" s="22">
        <v>61</v>
      </c>
      <c r="D464" s="22" t="s">
        <v>2137</v>
      </c>
      <c r="E464" s="22">
        <v>62</v>
      </c>
      <c r="F464" s="23">
        <v>2600258</v>
      </c>
      <c r="G464" s="19">
        <v>25809152</v>
      </c>
      <c r="H464" s="8"/>
    </row>
    <row r="465" spans="2:8">
      <c r="B465" s="21">
        <v>8006</v>
      </c>
      <c r="C465" s="22">
        <v>62</v>
      </c>
      <c r="D465" s="22" t="s">
        <v>2138</v>
      </c>
      <c r="E465" s="22">
        <v>63</v>
      </c>
      <c r="F465" s="23">
        <v>2844210</v>
      </c>
      <c r="G465" s="19">
        <v>28653362</v>
      </c>
      <c r="H465" s="8"/>
    </row>
    <row r="466" spans="2:8">
      <c r="B466" s="21">
        <v>8006</v>
      </c>
      <c r="C466" s="22">
        <v>63</v>
      </c>
      <c r="D466" s="22" t="s">
        <v>2139</v>
      </c>
      <c r="E466" s="22">
        <v>64</v>
      </c>
      <c r="F466" s="23">
        <v>3106643</v>
      </c>
      <c r="G466" s="19">
        <v>31760005</v>
      </c>
      <c r="H466" s="8"/>
    </row>
    <row r="467" spans="2:8">
      <c r="B467" s="21">
        <v>8006</v>
      </c>
      <c r="C467" s="22">
        <v>64</v>
      </c>
      <c r="D467" s="22" t="s">
        <v>2140</v>
      </c>
      <c r="E467" s="22">
        <v>65</v>
      </c>
      <c r="F467" s="23">
        <v>3388629</v>
      </c>
      <c r="G467" s="19">
        <v>35148634</v>
      </c>
      <c r="H467" s="8"/>
    </row>
    <row r="468" spans="2:8">
      <c r="B468" s="21">
        <v>8006</v>
      </c>
      <c r="C468" s="22">
        <v>65</v>
      </c>
      <c r="D468" s="22" t="s">
        <v>2141</v>
      </c>
      <c r="E468" s="22">
        <v>66</v>
      </c>
      <c r="F468" s="23">
        <v>3691285</v>
      </c>
      <c r="G468" s="19">
        <v>38839919</v>
      </c>
      <c r="H468" s="8"/>
    </row>
    <row r="469" spans="2:8">
      <c r="B469" s="21">
        <v>8006</v>
      </c>
      <c r="C469" s="22">
        <v>66</v>
      </c>
      <c r="D469" s="22" t="s">
        <v>2142</v>
      </c>
      <c r="E469" s="22">
        <v>67</v>
      </c>
      <c r="F469" s="23">
        <v>4015771</v>
      </c>
      <c r="G469" s="19">
        <v>42855690</v>
      </c>
      <c r="H469" s="8"/>
    </row>
    <row r="470" spans="2:8">
      <c r="B470" s="21">
        <v>8006</v>
      </c>
      <c r="C470" s="22">
        <v>67</v>
      </c>
      <c r="D470" s="22" t="s">
        <v>2143</v>
      </c>
      <c r="E470" s="22">
        <v>68</v>
      </c>
      <c r="F470" s="23">
        <v>4363295</v>
      </c>
      <c r="G470" s="19">
        <v>47218985</v>
      </c>
      <c r="H470" s="8"/>
    </row>
    <row r="471" spans="2:8">
      <c r="B471" s="21">
        <v>8006</v>
      </c>
      <c r="C471" s="22">
        <v>68</v>
      </c>
      <c r="D471" s="22" t="s">
        <v>2144</v>
      </c>
      <c r="E471" s="22">
        <v>69</v>
      </c>
      <c r="F471" s="23">
        <v>4735112</v>
      </c>
      <c r="G471" s="19">
        <v>51954097</v>
      </c>
      <c r="H471" s="8"/>
    </row>
    <row r="472" spans="2:8">
      <c r="B472" s="21">
        <v>8006</v>
      </c>
      <c r="C472" s="22">
        <v>69</v>
      </c>
      <c r="D472" s="22" t="s">
        <v>2145</v>
      </c>
      <c r="E472" s="22">
        <v>70</v>
      </c>
      <c r="F472" s="23">
        <v>5132523</v>
      </c>
      <c r="G472" s="19">
        <v>57086620</v>
      </c>
      <c r="H472" s="8"/>
    </row>
    <row r="473" spans="2:8">
      <c r="B473" s="21">
        <v>8006</v>
      </c>
      <c r="C473" s="22">
        <v>70</v>
      </c>
      <c r="D473" s="22" t="s">
        <v>2146</v>
      </c>
      <c r="E473" s="22">
        <v>71</v>
      </c>
      <c r="F473" s="23">
        <v>5556880</v>
      </c>
      <c r="G473" s="19">
        <v>62643500</v>
      </c>
      <c r="H473" s="8"/>
    </row>
    <row r="474" spans="2:8">
      <c r="B474" s="21">
        <v>8006</v>
      </c>
      <c r="C474" s="22">
        <v>71</v>
      </c>
      <c r="D474" s="22" t="s">
        <v>2147</v>
      </c>
      <c r="E474" s="22">
        <v>72</v>
      </c>
      <c r="F474" s="23">
        <v>6009585</v>
      </c>
      <c r="G474" s="19">
        <v>68653085</v>
      </c>
      <c r="H474" s="8"/>
    </row>
    <row r="475" spans="2:8">
      <c r="B475" s="21">
        <v>8006</v>
      </c>
      <c r="C475" s="22">
        <v>72</v>
      </c>
      <c r="D475" s="22" t="s">
        <v>2148</v>
      </c>
      <c r="E475" s="22">
        <v>73</v>
      </c>
      <c r="F475" s="23">
        <v>6492089</v>
      </c>
      <c r="G475" s="19">
        <v>75145174</v>
      </c>
      <c r="H475" s="8"/>
    </row>
    <row r="476" spans="2:8">
      <c r="B476" s="21">
        <v>8006</v>
      </c>
      <c r="C476" s="22">
        <v>73</v>
      </c>
      <c r="D476" s="22" t="s">
        <v>2149</v>
      </c>
      <c r="E476" s="22">
        <v>74</v>
      </c>
      <c r="F476" s="23">
        <v>7005899</v>
      </c>
      <c r="G476" s="19">
        <v>82151073</v>
      </c>
      <c r="H476" s="8"/>
    </row>
    <row r="477" spans="2:8">
      <c r="B477" s="21">
        <v>8006</v>
      </c>
      <c r="C477" s="22">
        <v>74</v>
      </c>
      <c r="D477" s="22" t="s">
        <v>2150</v>
      </c>
      <c r="E477" s="22">
        <v>75</v>
      </c>
      <c r="F477" s="23">
        <v>7552574</v>
      </c>
      <c r="G477" s="19">
        <v>89703647</v>
      </c>
      <c r="H477" s="8"/>
    </row>
    <row r="478" spans="2:8">
      <c r="B478" s="21">
        <v>8006</v>
      </c>
      <c r="C478" s="22">
        <v>75</v>
      </c>
      <c r="D478" s="22" t="s">
        <v>2151</v>
      </c>
      <c r="E478" s="22">
        <v>76</v>
      </c>
      <c r="F478" s="23">
        <v>8133726</v>
      </c>
      <c r="G478" s="19">
        <v>97837373</v>
      </c>
      <c r="H478" s="8"/>
    </row>
    <row r="479" spans="2:8">
      <c r="B479" s="21">
        <v>8006</v>
      </c>
      <c r="C479" s="22">
        <v>76</v>
      </c>
      <c r="D479" s="22" t="s">
        <v>2152</v>
      </c>
      <c r="E479" s="22">
        <v>77</v>
      </c>
      <c r="F479" s="23">
        <v>8751026</v>
      </c>
      <c r="G479" s="19">
        <v>106588399</v>
      </c>
    </row>
    <row r="480" spans="2:8">
      <c r="B480" s="21">
        <v>8006</v>
      </c>
      <c r="C480" s="22">
        <v>77</v>
      </c>
      <c r="D480" s="22" t="s">
        <v>2153</v>
      </c>
      <c r="E480" s="22">
        <v>78</v>
      </c>
      <c r="F480" s="23">
        <v>9406200</v>
      </c>
      <c r="G480" s="19">
        <v>115994599</v>
      </c>
      <c r="H480" s="8"/>
    </row>
    <row r="481" spans="2:8">
      <c r="B481" s="21">
        <v>8006</v>
      </c>
      <c r="C481" s="22">
        <v>78</v>
      </c>
      <c r="D481" s="22" t="s">
        <v>2154</v>
      </c>
      <c r="E481" s="22">
        <v>79</v>
      </c>
      <c r="F481" s="23">
        <v>10101033</v>
      </c>
      <c r="G481" s="19">
        <v>126095632</v>
      </c>
      <c r="H481" s="8"/>
    </row>
    <row r="482" spans="2:8">
      <c r="B482" s="21">
        <v>8006</v>
      </c>
      <c r="C482" s="22">
        <v>79</v>
      </c>
      <c r="D482" s="22" t="s">
        <v>2155</v>
      </c>
      <c r="E482" s="22">
        <v>80</v>
      </c>
      <c r="F482" s="23">
        <v>10837368</v>
      </c>
      <c r="G482" s="19">
        <v>136933000</v>
      </c>
      <c r="H482" s="8"/>
    </row>
    <row r="483" spans="2:8">
      <c r="B483" s="21">
        <v>8006</v>
      </c>
      <c r="C483" s="22">
        <v>80</v>
      </c>
      <c r="D483" s="22" t="s">
        <v>2156</v>
      </c>
      <c r="E483" s="22" t="s">
        <v>1762</v>
      </c>
      <c r="F483" s="23">
        <v>11617109</v>
      </c>
      <c r="G483" s="19">
        <v>148550109</v>
      </c>
      <c r="H483" s="8"/>
    </row>
    <row r="484" spans="2:8">
      <c r="B484" s="18">
        <v>8007</v>
      </c>
      <c r="C484" s="17">
        <v>1</v>
      </c>
      <c r="D484" s="17" t="s">
        <v>1780</v>
      </c>
      <c r="E484" s="17">
        <v>2</v>
      </c>
      <c r="F484" s="19">
        <v>0</v>
      </c>
      <c r="G484" s="19">
        <v>0</v>
      </c>
      <c r="H484" s="8"/>
    </row>
    <row r="485" spans="2:8">
      <c r="B485" s="18">
        <v>8007</v>
      </c>
      <c r="C485" s="17">
        <v>2</v>
      </c>
      <c r="D485" s="17" t="s">
        <v>2157</v>
      </c>
      <c r="E485" s="17">
        <v>3</v>
      </c>
      <c r="F485" s="19">
        <v>99</v>
      </c>
      <c r="G485" s="19">
        <v>99</v>
      </c>
      <c r="H485" s="8"/>
    </row>
    <row r="486" spans="2:8">
      <c r="B486" s="18">
        <v>8007</v>
      </c>
      <c r="C486" s="17">
        <v>3</v>
      </c>
      <c r="D486" s="17" t="s">
        <v>2158</v>
      </c>
      <c r="E486" s="17">
        <v>4</v>
      </c>
      <c r="F486" s="19">
        <v>207</v>
      </c>
      <c r="G486" s="19">
        <v>306</v>
      </c>
      <c r="H486" s="8"/>
    </row>
    <row r="487" spans="2:8">
      <c r="B487" s="18">
        <v>8007</v>
      </c>
      <c r="C487" s="17">
        <v>4</v>
      </c>
      <c r="D487" s="17" t="s">
        <v>2159</v>
      </c>
      <c r="E487" s="17">
        <v>5</v>
      </c>
      <c r="F487" s="19">
        <v>324</v>
      </c>
      <c r="G487" s="19">
        <v>630</v>
      </c>
      <c r="H487" s="8"/>
    </row>
    <row r="488" spans="2:8">
      <c r="B488" s="18">
        <v>8007</v>
      </c>
      <c r="C488" s="17">
        <v>5</v>
      </c>
      <c r="D488" s="17" t="s">
        <v>2160</v>
      </c>
      <c r="E488" s="17">
        <v>6</v>
      </c>
      <c r="F488" s="19">
        <v>450</v>
      </c>
      <c r="G488" s="19">
        <v>1080</v>
      </c>
      <c r="H488" s="8"/>
    </row>
    <row r="489" spans="2:8">
      <c r="B489" s="18">
        <v>8007</v>
      </c>
      <c r="C489" s="17">
        <v>6</v>
      </c>
      <c r="D489" s="17" t="s">
        <v>2161</v>
      </c>
      <c r="E489" s="17">
        <v>7</v>
      </c>
      <c r="F489" s="19">
        <v>588</v>
      </c>
      <c r="G489" s="19">
        <v>1668</v>
      </c>
      <c r="H489" s="8"/>
    </row>
    <row r="490" spans="2:8">
      <c r="B490" s="18">
        <v>8007</v>
      </c>
      <c r="C490" s="17">
        <v>7</v>
      </c>
      <c r="D490" s="17" t="s">
        <v>1791</v>
      </c>
      <c r="E490" s="17">
        <v>8</v>
      </c>
      <c r="F490" s="19">
        <v>738</v>
      </c>
      <c r="G490" s="19">
        <v>2406</v>
      </c>
      <c r="H490" s="8"/>
    </row>
    <row r="491" spans="2:8">
      <c r="B491" s="18">
        <v>8007</v>
      </c>
      <c r="C491" s="17">
        <v>8</v>
      </c>
      <c r="D491" s="17" t="s">
        <v>2162</v>
      </c>
      <c r="E491" s="17">
        <v>9</v>
      </c>
      <c r="F491" s="19">
        <v>905</v>
      </c>
      <c r="G491" s="19">
        <v>3311</v>
      </c>
      <c r="H491" s="8"/>
    </row>
    <row r="492" spans="2:8">
      <c r="B492" s="18">
        <v>8007</v>
      </c>
      <c r="C492" s="17">
        <v>9</v>
      </c>
      <c r="D492" s="17" t="s">
        <v>2163</v>
      </c>
      <c r="E492" s="17">
        <v>10</v>
      </c>
      <c r="F492" s="19">
        <v>1092</v>
      </c>
      <c r="G492" s="19">
        <v>4403</v>
      </c>
      <c r="H492" s="8"/>
    </row>
    <row r="493" spans="2:8">
      <c r="B493" s="18">
        <v>8007</v>
      </c>
      <c r="C493" s="17">
        <v>10</v>
      </c>
      <c r="D493" s="17" t="s">
        <v>2164</v>
      </c>
      <c r="E493" s="17">
        <v>11</v>
      </c>
      <c r="F493" s="19">
        <v>1307</v>
      </c>
      <c r="G493" s="19">
        <v>5710</v>
      </c>
      <c r="H493" s="8"/>
    </row>
    <row r="494" spans="2:8">
      <c r="B494" s="18">
        <v>8007</v>
      </c>
      <c r="C494" s="17">
        <v>11</v>
      </c>
      <c r="D494" s="17" t="s">
        <v>2165</v>
      </c>
      <c r="E494" s="17">
        <v>12</v>
      </c>
      <c r="F494" s="19">
        <v>1558</v>
      </c>
      <c r="G494" s="19">
        <v>7268</v>
      </c>
      <c r="H494" s="8"/>
    </row>
    <row r="495" spans="2:8">
      <c r="B495" s="18">
        <v>8007</v>
      </c>
      <c r="C495" s="17">
        <v>12</v>
      </c>
      <c r="D495" s="17" t="s">
        <v>2166</v>
      </c>
      <c r="E495" s="17">
        <v>13</v>
      </c>
      <c r="F495" s="19">
        <v>1856</v>
      </c>
      <c r="G495" s="19">
        <v>9124</v>
      </c>
      <c r="H495" s="8"/>
    </row>
    <row r="496" spans="2:8">
      <c r="B496" s="18">
        <v>8007</v>
      </c>
      <c r="C496" s="17">
        <v>13</v>
      </c>
      <c r="D496" s="17" t="s">
        <v>1802</v>
      </c>
      <c r="E496" s="17">
        <v>14</v>
      </c>
      <c r="F496" s="19">
        <v>2215</v>
      </c>
      <c r="G496" s="19">
        <v>11339</v>
      </c>
      <c r="H496" s="8"/>
    </row>
    <row r="497" spans="2:8">
      <c r="B497" s="18">
        <v>8007</v>
      </c>
      <c r="C497" s="17">
        <v>14</v>
      </c>
      <c r="D497" s="17" t="s">
        <v>2167</v>
      </c>
      <c r="E497" s="17">
        <v>15</v>
      </c>
      <c r="F497" s="19">
        <v>2654</v>
      </c>
      <c r="G497" s="19">
        <v>13993</v>
      </c>
      <c r="H497" s="8"/>
    </row>
    <row r="498" spans="2:8">
      <c r="B498" s="18">
        <v>8007</v>
      </c>
      <c r="C498" s="17">
        <v>15</v>
      </c>
      <c r="D498" s="17" t="s">
        <v>2168</v>
      </c>
      <c r="E498" s="17">
        <v>16</v>
      </c>
      <c r="F498" s="19">
        <v>3193</v>
      </c>
      <c r="G498" s="19">
        <v>17186</v>
      </c>
      <c r="H498" s="8"/>
    </row>
    <row r="499" spans="2:8">
      <c r="B499" s="18">
        <v>8007</v>
      </c>
      <c r="C499" s="17">
        <v>16</v>
      </c>
      <c r="D499" s="17" t="s">
        <v>2169</v>
      </c>
      <c r="E499" s="17">
        <v>17</v>
      </c>
      <c r="F499" s="19">
        <v>3859</v>
      </c>
      <c r="G499" s="19">
        <v>21045</v>
      </c>
      <c r="H499" s="8"/>
    </row>
    <row r="500" spans="2:8">
      <c r="B500" s="18">
        <v>8007</v>
      </c>
      <c r="C500" s="17">
        <v>17</v>
      </c>
      <c r="D500" s="17" t="s">
        <v>2170</v>
      </c>
      <c r="E500" s="17">
        <v>18</v>
      </c>
      <c r="F500" s="19">
        <v>4682</v>
      </c>
      <c r="G500" s="19">
        <v>25727</v>
      </c>
      <c r="H500" s="8"/>
    </row>
    <row r="501" spans="2:8">
      <c r="B501" s="18">
        <v>8007</v>
      </c>
      <c r="C501" s="17">
        <v>18</v>
      </c>
      <c r="D501" s="17" t="s">
        <v>2171</v>
      </c>
      <c r="E501" s="17">
        <v>19</v>
      </c>
      <c r="F501" s="19">
        <v>5699</v>
      </c>
      <c r="G501" s="19">
        <v>31426</v>
      </c>
      <c r="H501" s="8"/>
    </row>
    <row r="502" spans="2:8">
      <c r="B502" s="18">
        <v>8007</v>
      </c>
      <c r="C502" s="17">
        <v>19</v>
      </c>
      <c r="D502" s="17" t="s">
        <v>1813</v>
      </c>
      <c r="E502" s="17">
        <v>20</v>
      </c>
      <c r="F502" s="19">
        <v>6953</v>
      </c>
      <c r="G502" s="19">
        <v>38379</v>
      </c>
      <c r="H502" s="8"/>
    </row>
    <row r="503" spans="2:8">
      <c r="B503" s="18">
        <v>8007</v>
      </c>
      <c r="C503" s="17">
        <v>20</v>
      </c>
      <c r="D503" s="17" t="s">
        <v>2172</v>
      </c>
      <c r="E503" s="17">
        <v>21</v>
      </c>
      <c r="F503" s="19">
        <v>8492</v>
      </c>
      <c r="G503" s="19">
        <v>46871</v>
      </c>
      <c r="H503" s="8"/>
    </row>
    <row r="504" spans="2:8">
      <c r="B504" s="18">
        <v>8007</v>
      </c>
      <c r="C504" s="17">
        <v>21</v>
      </c>
      <c r="D504" s="17" t="s">
        <v>2173</v>
      </c>
      <c r="E504" s="17">
        <v>22</v>
      </c>
      <c r="F504" s="19">
        <v>10371</v>
      </c>
      <c r="G504" s="19">
        <v>57242</v>
      </c>
      <c r="H504" s="8"/>
    </row>
    <row r="505" spans="2:8">
      <c r="B505" s="18">
        <v>8007</v>
      </c>
      <c r="C505" s="17">
        <v>22</v>
      </c>
      <c r="D505" s="17" t="s">
        <v>2174</v>
      </c>
      <c r="E505" s="17">
        <v>23</v>
      </c>
      <c r="F505" s="19">
        <v>12655</v>
      </c>
      <c r="G505" s="19">
        <v>69897</v>
      </c>
      <c r="H505" s="8"/>
    </row>
    <row r="506" spans="2:8">
      <c r="B506" s="18">
        <v>8007</v>
      </c>
      <c r="C506" s="17">
        <v>23</v>
      </c>
      <c r="D506" s="17" t="s">
        <v>2175</v>
      </c>
      <c r="E506" s="17">
        <v>24</v>
      </c>
      <c r="F506" s="19">
        <v>15415</v>
      </c>
      <c r="G506" s="19">
        <v>85312</v>
      </c>
      <c r="H506" s="8"/>
    </row>
    <row r="507" spans="2:8">
      <c r="B507" s="18">
        <v>8007</v>
      </c>
      <c r="C507" s="17">
        <v>24</v>
      </c>
      <c r="D507" s="17" t="s">
        <v>2176</v>
      </c>
      <c r="E507" s="17">
        <v>25</v>
      </c>
      <c r="F507" s="19">
        <v>18731</v>
      </c>
      <c r="G507" s="19">
        <v>104043</v>
      </c>
      <c r="H507" s="8"/>
    </row>
    <row r="508" spans="2:8">
      <c r="B508" s="18">
        <v>8007</v>
      </c>
      <c r="C508" s="17">
        <v>25</v>
      </c>
      <c r="D508" s="17" t="s">
        <v>1824</v>
      </c>
      <c r="E508" s="17">
        <v>26</v>
      </c>
      <c r="F508" s="19">
        <v>22694</v>
      </c>
      <c r="G508" s="19">
        <v>126737</v>
      </c>
      <c r="H508" s="8"/>
    </row>
    <row r="509" spans="2:8">
      <c r="B509" s="18">
        <v>8007</v>
      </c>
      <c r="C509" s="17">
        <v>26</v>
      </c>
      <c r="D509" s="17" t="s">
        <v>2177</v>
      </c>
      <c r="E509" s="17">
        <v>27</v>
      </c>
      <c r="F509" s="19">
        <v>27403</v>
      </c>
      <c r="G509" s="19">
        <v>154140</v>
      </c>
      <c r="H509" s="8"/>
    </row>
    <row r="510" spans="2:8">
      <c r="B510" s="18">
        <v>8007</v>
      </c>
      <c r="C510" s="17">
        <v>27</v>
      </c>
      <c r="D510" s="17" t="s">
        <v>2178</v>
      </c>
      <c r="E510" s="17">
        <v>28</v>
      </c>
      <c r="F510" s="19">
        <v>32969</v>
      </c>
      <c r="G510" s="19">
        <v>187109</v>
      </c>
      <c r="H510" s="8"/>
    </row>
    <row r="511" spans="2:8">
      <c r="B511" s="18">
        <v>8007</v>
      </c>
      <c r="C511" s="17">
        <v>28</v>
      </c>
      <c r="D511" s="17" t="s">
        <v>2179</v>
      </c>
      <c r="E511" s="17">
        <v>29</v>
      </c>
      <c r="F511" s="19">
        <v>39515</v>
      </c>
      <c r="G511" s="19">
        <v>226624</v>
      </c>
      <c r="H511" s="8"/>
    </row>
    <row r="512" spans="2:8">
      <c r="B512" s="18">
        <v>8007</v>
      </c>
      <c r="C512" s="17">
        <v>29</v>
      </c>
      <c r="D512" s="17" t="s">
        <v>2180</v>
      </c>
      <c r="E512" s="17">
        <v>30</v>
      </c>
      <c r="F512" s="19">
        <v>47175</v>
      </c>
      <c r="G512" s="19">
        <v>273799</v>
      </c>
      <c r="H512" s="8"/>
    </row>
    <row r="513" spans="2:8">
      <c r="B513" s="18">
        <v>8007</v>
      </c>
      <c r="C513" s="17">
        <v>30</v>
      </c>
      <c r="D513" s="17" t="s">
        <v>2181</v>
      </c>
      <c r="E513" s="17">
        <v>31</v>
      </c>
      <c r="F513" s="19">
        <v>56096</v>
      </c>
      <c r="G513" s="19">
        <v>329895</v>
      </c>
      <c r="H513" s="8"/>
    </row>
    <row r="514" spans="2:8">
      <c r="B514" s="18">
        <v>8007</v>
      </c>
      <c r="C514" s="17">
        <v>31</v>
      </c>
      <c r="D514" s="17" t="s">
        <v>1835</v>
      </c>
      <c r="E514" s="17">
        <v>32</v>
      </c>
      <c r="F514" s="19">
        <v>66438</v>
      </c>
      <c r="G514" s="19">
        <v>396333</v>
      </c>
      <c r="H514" s="8"/>
    </row>
    <row r="515" spans="2:8">
      <c r="B515" s="18">
        <v>8007</v>
      </c>
      <c r="C515" s="17">
        <v>32</v>
      </c>
      <c r="D515" s="17" t="s">
        <v>2182</v>
      </c>
      <c r="E515" s="17">
        <v>33</v>
      </c>
      <c r="F515" s="19">
        <v>78375</v>
      </c>
      <c r="G515" s="19">
        <v>474708</v>
      </c>
      <c r="H515" s="8"/>
    </row>
    <row r="516" spans="2:8">
      <c r="B516" s="18">
        <v>8007</v>
      </c>
      <c r="C516" s="17">
        <v>33</v>
      </c>
      <c r="D516" s="17" t="s">
        <v>2183</v>
      </c>
      <c r="E516" s="17">
        <v>34</v>
      </c>
      <c r="F516" s="19">
        <v>92099</v>
      </c>
      <c r="G516" s="19">
        <v>566807</v>
      </c>
      <c r="H516" s="8"/>
    </row>
    <row r="517" spans="2:8">
      <c r="B517" s="18">
        <v>8007</v>
      </c>
      <c r="C517" s="17">
        <v>34</v>
      </c>
      <c r="D517" s="17" t="s">
        <v>2184</v>
      </c>
      <c r="E517" s="17">
        <v>35</v>
      </c>
      <c r="F517" s="19">
        <v>107814</v>
      </c>
      <c r="G517" s="19">
        <v>674621</v>
      </c>
      <c r="H517" s="8"/>
    </row>
    <row r="518" spans="2:8">
      <c r="B518" s="18">
        <v>8007</v>
      </c>
      <c r="C518" s="17">
        <v>35</v>
      </c>
      <c r="D518" s="17" t="s">
        <v>2185</v>
      </c>
      <c r="E518" s="17">
        <v>36</v>
      </c>
      <c r="F518" s="19">
        <v>125742</v>
      </c>
      <c r="G518" s="19">
        <v>800363</v>
      </c>
      <c r="H518" s="8"/>
    </row>
    <row r="519" spans="2:8">
      <c r="B519" s="18">
        <v>8007</v>
      </c>
      <c r="C519" s="17">
        <v>36</v>
      </c>
      <c r="D519" s="17" t="s">
        <v>2186</v>
      </c>
      <c r="E519" s="17">
        <v>37</v>
      </c>
      <c r="F519" s="19">
        <v>146122</v>
      </c>
      <c r="G519" s="19">
        <v>946485</v>
      </c>
      <c r="H519" s="8"/>
    </row>
    <row r="520" spans="2:8">
      <c r="B520" s="18">
        <v>8007</v>
      </c>
      <c r="C520" s="17">
        <v>37</v>
      </c>
      <c r="D520" s="17" t="s">
        <v>2187</v>
      </c>
      <c r="E520" s="17">
        <v>38</v>
      </c>
      <c r="F520" s="19">
        <v>169210</v>
      </c>
      <c r="G520" s="19">
        <v>1115695</v>
      </c>
      <c r="H520" s="8"/>
    </row>
    <row r="521" spans="2:8">
      <c r="B521" s="18">
        <v>8007</v>
      </c>
      <c r="C521" s="17">
        <v>38</v>
      </c>
      <c r="D521" s="17" t="s">
        <v>2188</v>
      </c>
      <c r="E521" s="17">
        <v>39</v>
      </c>
      <c r="F521" s="19">
        <v>195283</v>
      </c>
      <c r="G521" s="19">
        <v>1310978</v>
      </c>
      <c r="H521" s="8"/>
    </row>
    <row r="522" spans="2:8">
      <c r="B522" s="18">
        <v>8007</v>
      </c>
      <c r="C522" s="17">
        <v>39</v>
      </c>
      <c r="D522" s="17" t="s">
        <v>2189</v>
      </c>
      <c r="E522" s="17">
        <v>40</v>
      </c>
      <c r="F522" s="19">
        <v>224636</v>
      </c>
      <c r="G522" s="19">
        <v>1535614</v>
      </c>
      <c r="H522" s="8"/>
    </row>
    <row r="523" spans="2:8">
      <c r="B523" s="18">
        <v>8007</v>
      </c>
      <c r="C523" s="17">
        <v>40</v>
      </c>
      <c r="D523" s="17" t="s">
        <v>2190</v>
      </c>
      <c r="E523" s="17">
        <v>41</v>
      </c>
      <c r="F523" s="19">
        <v>257583</v>
      </c>
      <c r="G523" s="19">
        <v>1793197</v>
      </c>
      <c r="H523" s="8"/>
    </row>
    <row r="524" spans="2:8">
      <c r="B524" s="18">
        <v>8007</v>
      </c>
      <c r="C524" s="17">
        <v>41</v>
      </c>
      <c r="D524" s="17" t="s">
        <v>2191</v>
      </c>
      <c r="E524" s="17">
        <v>42</v>
      </c>
      <c r="F524" s="19">
        <v>294462</v>
      </c>
      <c r="G524" s="19">
        <v>2087659</v>
      </c>
      <c r="H524" s="8"/>
    </row>
    <row r="525" spans="2:8">
      <c r="B525" s="18">
        <v>8007</v>
      </c>
      <c r="C525" s="17">
        <v>42</v>
      </c>
      <c r="D525" s="17" t="s">
        <v>2192</v>
      </c>
      <c r="E525" s="17">
        <v>43</v>
      </c>
      <c r="F525" s="19">
        <v>335632</v>
      </c>
      <c r="G525" s="19">
        <v>2423291</v>
      </c>
      <c r="H525" s="8"/>
    </row>
    <row r="526" spans="2:8">
      <c r="B526" s="18">
        <v>8007</v>
      </c>
      <c r="C526" s="17">
        <v>43</v>
      </c>
      <c r="D526" s="17" t="s">
        <v>2193</v>
      </c>
      <c r="E526" s="17">
        <v>44</v>
      </c>
      <c r="F526" s="19">
        <v>381474</v>
      </c>
      <c r="G526" s="19">
        <v>2804765</v>
      </c>
      <c r="H526" s="8"/>
    </row>
    <row r="527" spans="2:8">
      <c r="B527" s="18">
        <v>8007</v>
      </c>
      <c r="C527" s="17">
        <v>44</v>
      </c>
      <c r="D527" s="17" t="s">
        <v>2194</v>
      </c>
      <c r="E527" s="17">
        <v>45</v>
      </c>
      <c r="F527" s="19">
        <v>432392</v>
      </c>
      <c r="G527" s="19">
        <v>3237157</v>
      </c>
      <c r="H527" s="8"/>
    </row>
    <row r="528" spans="2:8">
      <c r="B528" s="18">
        <v>8007</v>
      </c>
      <c r="C528" s="17">
        <v>45</v>
      </c>
      <c r="D528" s="17" t="s">
        <v>2195</v>
      </c>
      <c r="E528" s="17">
        <v>46</v>
      </c>
      <c r="F528" s="19">
        <v>488817</v>
      </c>
      <c r="G528" s="19">
        <v>3725974</v>
      </c>
      <c r="H528" s="8"/>
    </row>
    <row r="529" spans="2:8">
      <c r="B529" s="18">
        <v>8007</v>
      </c>
      <c r="C529" s="17">
        <v>46</v>
      </c>
      <c r="D529" s="17" t="s">
        <v>2196</v>
      </c>
      <c r="E529" s="17">
        <v>47</v>
      </c>
      <c r="F529" s="19">
        <v>551205</v>
      </c>
      <c r="G529" s="19">
        <v>4277179</v>
      </c>
      <c r="H529" s="8"/>
    </row>
    <row r="530" spans="2:8">
      <c r="B530" s="18">
        <v>8007</v>
      </c>
      <c r="C530" s="17">
        <v>47</v>
      </c>
      <c r="D530" s="17" t="s">
        <v>2197</v>
      </c>
      <c r="E530" s="17">
        <v>48</v>
      </c>
      <c r="F530" s="19">
        <v>620035</v>
      </c>
      <c r="G530" s="19">
        <v>4897214</v>
      </c>
      <c r="H530" s="8"/>
    </row>
    <row r="531" spans="2:8">
      <c r="B531" s="18">
        <v>8007</v>
      </c>
      <c r="C531" s="17">
        <v>48</v>
      </c>
      <c r="D531" s="17" t="s">
        <v>2198</v>
      </c>
      <c r="E531" s="17">
        <v>49</v>
      </c>
      <c r="F531" s="19">
        <v>695817</v>
      </c>
      <c r="G531" s="19">
        <v>5593031</v>
      </c>
      <c r="H531" s="8"/>
    </row>
    <row r="532" spans="2:8">
      <c r="B532" s="18">
        <v>8007</v>
      </c>
      <c r="C532" s="17">
        <v>49</v>
      </c>
      <c r="D532" s="17" t="s">
        <v>2199</v>
      </c>
      <c r="E532" s="17">
        <v>50</v>
      </c>
      <c r="F532" s="19">
        <v>779089</v>
      </c>
      <c r="G532" s="19">
        <v>6372120</v>
      </c>
      <c r="H532" s="8"/>
    </row>
    <row r="533" spans="2:8">
      <c r="B533" s="18">
        <v>8007</v>
      </c>
      <c r="C533" s="17">
        <v>50</v>
      </c>
      <c r="D533" s="17" t="s">
        <v>2200</v>
      </c>
      <c r="E533" s="17">
        <v>51</v>
      </c>
      <c r="F533" s="19">
        <v>870416</v>
      </c>
      <c r="G533" s="19">
        <v>7242536</v>
      </c>
      <c r="H533" s="8"/>
    </row>
    <row r="534" spans="2:8">
      <c r="B534" s="21">
        <v>8007</v>
      </c>
      <c r="C534" s="22">
        <v>51</v>
      </c>
      <c r="D534" s="22" t="s">
        <v>2201</v>
      </c>
      <c r="E534" s="22">
        <v>52</v>
      </c>
      <c r="F534" s="23">
        <v>970392</v>
      </c>
      <c r="G534" s="19">
        <v>8212928</v>
      </c>
      <c r="H534" s="8"/>
    </row>
    <row r="535" spans="2:8">
      <c r="B535" s="21">
        <v>8007</v>
      </c>
      <c r="C535" s="22">
        <v>52</v>
      </c>
      <c r="D535" s="22" t="s">
        <v>2202</v>
      </c>
      <c r="E535" s="22">
        <v>53</v>
      </c>
      <c r="F535" s="23">
        <v>1079645</v>
      </c>
      <c r="G535" s="19">
        <v>9292573</v>
      </c>
      <c r="H535" s="8"/>
    </row>
    <row r="536" spans="2:8">
      <c r="B536" s="21">
        <v>8007</v>
      </c>
      <c r="C536" s="22">
        <v>53</v>
      </c>
      <c r="D536" s="22" t="s">
        <v>2203</v>
      </c>
      <c r="E536" s="22">
        <v>54</v>
      </c>
      <c r="F536" s="23">
        <v>1198834</v>
      </c>
      <c r="G536" s="19">
        <v>10491407</v>
      </c>
      <c r="H536" s="8"/>
    </row>
    <row r="537" spans="2:8">
      <c r="B537" s="21">
        <v>8007</v>
      </c>
      <c r="C537" s="22">
        <v>54</v>
      </c>
      <c r="D537" s="22" t="s">
        <v>2204</v>
      </c>
      <c r="E537" s="22">
        <v>55</v>
      </c>
      <c r="F537" s="23">
        <v>1328648</v>
      </c>
      <c r="G537" s="19">
        <v>11820055</v>
      </c>
      <c r="H537" s="8"/>
    </row>
    <row r="538" spans="2:8">
      <c r="B538" s="21">
        <v>8007</v>
      </c>
      <c r="C538" s="22">
        <v>55</v>
      </c>
      <c r="D538" s="22" t="s">
        <v>2205</v>
      </c>
      <c r="E538" s="22">
        <v>56</v>
      </c>
      <c r="F538" s="23">
        <v>1469814</v>
      </c>
      <c r="G538" s="19">
        <v>13289869</v>
      </c>
      <c r="H538" s="8"/>
    </row>
    <row r="539" spans="2:8">
      <c r="B539" s="21">
        <v>8007</v>
      </c>
      <c r="C539" s="22">
        <v>56</v>
      </c>
      <c r="D539" s="22" t="s">
        <v>2206</v>
      </c>
      <c r="E539" s="22">
        <v>57</v>
      </c>
      <c r="F539" s="23">
        <v>1623090</v>
      </c>
      <c r="G539" s="19">
        <v>14912959</v>
      </c>
      <c r="H539" s="8"/>
    </row>
    <row r="540" spans="2:8">
      <c r="B540" s="21">
        <v>8007</v>
      </c>
      <c r="C540" s="22">
        <v>57</v>
      </c>
      <c r="D540" s="22" t="s">
        <v>2207</v>
      </c>
      <c r="E540" s="22">
        <v>58</v>
      </c>
      <c r="F540" s="23">
        <v>1789272</v>
      </c>
      <c r="G540" s="19">
        <v>16702231</v>
      </c>
      <c r="H540" s="8"/>
    </row>
    <row r="541" spans="2:8">
      <c r="B541" s="21">
        <v>8007</v>
      </c>
      <c r="C541" s="22">
        <v>58</v>
      </c>
      <c r="D541" s="22" t="s">
        <v>2208</v>
      </c>
      <c r="E541" s="22">
        <v>59</v>
      </c>
      <c r="F541" s="23">
        <v>1969191</v>
      </c>
      <c r="G541" s="19">
        <v>18671422</v>
      </c>
      <c r="H541" s="8"/>
    </row>
    <row r="542" spans="2:8">
      <c r="B542" s="21">
        <v>8007</v>
      </c>
      <c r="C542" s="22">
        <v>59</v>
      </c>
      <c r="D542" s="22" t="s">
        <v>2209</v>
      </c>
      <c r="E542" s="22">
        <v>60</v>
      </c>
      <c r="F542" s="23">
        <v>2163716</v>
      </c>
      <c r="G542" s="19">
        <v>20835138</v>
      </c>
      <c r="H542" s="8"/>
    </row>
    <row r="543" spans="2:8">
      <c r="B543" s="21">
        <v>8007</v>
      </c>
      <c r="C543" s="22">
        <v>60</v>
      </c>
      <c r="D543" s="22" t="s">
        <v>2210</v>
      </c>
      <c r="E543" s="22">
        <v>61</v>
      </c>
      <c r="F543" s="23">
        <v>2373756</v>
      </c>
      <c r="G543" s="19">
        <v>23208894</v>
      </c>
      <c r="H543" s="8"/>
    </row>
    <row r="544" spans="2:8">
      <c r="B544" s="21">
        <v>8007</v>
      </c>
      <c r="C544" s="22">
        <v>61</v>
      </c>
      <c r="D544" s="22" t="s">
        <v>2211</v>
      </c>
      <c r="E544" s="22">
        <v>62</v>
      </c>
      <c r="F544" s="23">
        <v>2600258</v>
      </c>
      <c r="G544" s="19">
        <v>25809152</v>
      </c>
      <c r="H544" s="8"/>
    </row>
    <row r="545" spans="2:8">
      <c r="B545" s="21">
        <v>8007</v>
      </c>
      <c r="C545" s="22">
        <v>62</v>
      </c>
      <c r="D545" s="22" t="s">
        <v>2212</v>
      </c>
      <c r="E545" s="22">
        <v>63</v>
      </c>
      <c r="F545" s="23">
        <v>2844210</v>
      </c>
      <c r="G545" s="19">
        <v>28653362</v>
      </c>
      <c r="H545" s="8"/>
    </row>
    <row r="546" spans="2:8">
      <c r="B546" s="21">
        <v>8007</v>
      </c>
      <c r="C546" s="22">
        <v>63</v>
      </c>
      <c r="D546" s="22" t="s">
        <v>2213</v>
      </c>
      <c r="E546" s="22">
        <v>64</v>
      </c>
      <c r="F546" s="23">
        <v>3106643</v>
      </c>
      <c r="G546" s="19">
        <v>31760005</v>
      </c>
      <c r="H546" s="8"/>
    </row>
    <row r="547" spans="2:8">
      <c r="B547" s="21">
        <v>8007</v>
      </c>
      <c r="C547" s="22">
        <v>64</v>
      </c>
      <c r="D547" s="22" t="s">
        <v>2214</v>
      </c>
      <c r="E547" s="22">
        <v>65</v>
      </c>
      <c r="F547" s="23">
        <v>3388629</v>
      </c>
      <c r="G547" s="19">
        <v>35148634</v>
      </c>
      <c r="H547" s="8"/>
    </row>
    <row r="548" spans="2:8">
      <c r="B548" s="21">
        <v>8007</v>
      </c>
      <c r="C548" s="22">
        <v>65</v>
      </c>
      <c r="D548" s="22" t="s">
        <v>2215</v>
      </c>
      <c r="E548" s="22">
        <v>66</v>
      </c>
      <c r="F548" s="23">
        <v>3691285</v>
      </c>
      <c r="G548" s="19">
        <v>38839919</v>
      </c>
      <c r="H548" s="8"/>
    </row>
    <row r="549" spans="2:8">
      <c r="B549" s="21">
        <v>8007</v>
      </c>
      <c r="C549" s="22">
        <v>66</v>
      </c>
      <c r="D549" s="22" t="s">
        <v>2216</v>
      </c>
      <c r="E549" s="22">
        <v>67</v>
      </c>
      <c r="F549" s="23">
        <v>4015771</v>
      </c>
      <c r="G549" s="19">
        <v>42855690</v>
      </c>
      <c r="H549" s="8"/>
    </row>
    <row r="550" spans="2:8">
      <c r="B550" s="21">
        <v>8007</v>
      </c>
      <c r="C550" s="22">
        <v>67</v>
      </c>
      <c r="D550" s="22" t="s">
        <v>2217</v>
      </c>
      <c r="E550" s="22">
        <v>68</v>
      </c>
      <c r="F550" s="23">
        <v>4363295</v>
      </c>
      <c r="G550" s="19">
        <v>47218985</v>
      </c>
      <c r="H550" s="8"/>
    </row>
    <row r="551" spans="2:8">
      <c r="B551" s="21">
        <v>8007</v>
      </c>
      <c r="C551" s="22">
        <v>68</v>
      </c>
      <c r="D551" s="22" t="s">
        <v>2218</v>
      </c>
      <c r="E551" s="22">
        <v>69</v>
      </c>
      <c r="F551" s="23">
        <v>4735112</v>
      </c>
      <c r="G551" s="19">
        <v>51954097</v>
      </c>
      <c r="H551" s="8"/>
    </row>
    <row r="552" spans="2:8">
      <c r="B552" s="21">
        <v>8007</v>
      </c>
      <c r="C552" s="22">
        <v>69</v>
      </c>
      <c r="D552" s="22" t="s">
        <v>2219</v>
      </c>
      <c r="E552" s="22">
        <v>70</v>
      </c>
      <c r="F552" s="23">
        <v>5132523</v>
      </c>
      <c r="G552" s="19">
        <v>57086620</v>
      </c>
      <c r="H552" s="8"/>
    </row>
    <row r="553" spans="2:8">
      <c r="B553" s="21">
        <v>8007</v>
      </c>
      <c r="C553" s="22">
        <v>70</v>
      </c>
      <c r="D553" s="22" t="s">
        <v>2220</v>
      </c>
      <c r="E553" s="22">
        <v>71</v>
      </c>
      <c r="F553" s="23">
        <v>5556880</v>
      </c>
      <c r="G553" s="19">
        <v>62643500</v>
      </c>
      <c r="H553" s="8"/>
    </row>
    <row r="554" spans="2:8">
      <c r="B554" s="21">
        <v>8007</v>
      </c>
      <c r="C554" s="22">
        <v>71</v>
      </c>
      <c r="D554" s="22" t="s">
        <v>2221</v>
      </c>
      <c r="E554" s="22">
        <v>72</v>
      </c>
      <c r="F554" s="23">
        <v>6009585</v>
      </c>
      <c r="G554" s="19">
        <v>68653085</v>
      </c>
      <c r="H554" s="8"/>
    </row>
    <row r="555" spans="2:8">
      <c r="B555" s="21">
        <v>8007</v>
      </c>
      <c r="C555" s="22">
        <v>72</v>
      </c>
      <c r="D555" s="22" t="s">
        <v>2222</v>
      </c>
      <c r="E555" s="22">
        <v>73</v>
      </c>
      <c r="F555" s="23">
        <v>6492089</v>
      </c>
      <c r="G555" s="19">
        <v>75145174</v>
      </c>
      <c r="H555" s="8"/>
    </row>
    <row r="556" spans="2:8">
      <c r="B556" s="21">
        <v>8007</v>
      </c>
      <c r="C556" s="22">
        <v>73</v>
      </c>
      <c r="D556" s="22" t="s">
        <v>2223</v>
      </c>
      <c r="E556" s="22">
        <v>74</v>
      </c>
      <c r="F556" s="23">
        <v>7005899</v>
      </c>
      <c r="G556" s="19">
        <v>82151073</v>
      </c>
      <c r="H556" s="8"/>
    </row>
    <row r="557" spans="2:8">
      <c r="B557" s="21">
        <v>8007</v>
      </c>
      <c r="C557" s="22">
        <v>74</v>
      </c>
      <c r="D557" s="22" t="s">
        <v>2224</v>
      </c>
      <c r="E557" s="22">
        <v>75</v>
      </c>
      <c r="F557" s="23">
        <v>7552574</v>
      </c>
      <c r="G557" s="19">
        <v>89703647</v>
      </c>
      <c r="H557" s="8"/>
    </row>
    <row r="558" spans="2:8">
      <c r="B558" s="21">
        <v>8007</v>
      </c>
      <c r="C558" s="22">
        <v>75</v>
      </c>
      <c r="D558" s="22" t="s">
        <v>2225</v>
      </c>
      <c r="E558" s="22">
        <v>76</v>
      </c>
      <c r="F558" s="23">
        <v>8133726</v>
      </c>
      <c r="G558" s="19">
        <v>97837373</v>
      </c>
      <c r="H558" s="8"/>
    </row>
    <row r="559" spans="2:8">
      <c r="B559" s="21">
        <v>8007</v>
      </c>
      <c r="C559" s="22">
        <v>76</v>
      </c>
      <c r="D559" s="22" t="s">
        <v>2226</v>
      </c>
      <c r="E559" s="22">
        <v>77</v>
      </c>
      <c r="F559" s="23">
        <v>8751026</v>
      </c>
      <c r="G559" s="19">
        <v>106588399</v>
      </c>
      <c r="H559" s="8"/>
    </row>
    <row r="560" spans="2:8">
      <c r="B560" s="21">
        <v>8007</v>
      </c>
      <c r="C560" s="22">
        <v>77</v>
      </c>
      <c r="D560" s="22" t="s">
        <v>2227</v>
      </c>
      <c r="E560" s="22">
        <v>78</v>
      </c>
      <c r="F560" s="23">
        <v>9406200</v>
      </c>
      <c r="G560" s="19">
        <v>115994599</v>
      </c>
      <c r="H560" s="8"/>
    </row>
    <row r="561" spans="2:8">
      <c r="B561" s="21">
        <v>8007</v>
      </c>
      <c r="C561" s="22">
        <v>78</v>
      </c>
      <c r="D561" s="22" t="s">
        <v>2228</v>
      </c>
      <c r="E561" s="22">
        <v>79</v>
      </c>
      <c r="F561" s="23">
        <v>10101033</v>
      </c>
      <c r="G561" s="19">
        <v>126095632</v>
      </c>
      <c r="H561" s="8"/>
    </row>
    <row r="562" spans="2:8">
      <c r="B562" s="21">
        <v>8007</v>
      </c>
      <c r="C562" s="22">
        <v>79</v>
      </c>
      <c r="D562" s="22" t="s">
        <v>2229</v>
      </c>
      <c r="E562" s="22">
        <v>80</v>
      </c>
      <c r="F562" s="23">
        <v>10837368</v>
      </c>
      <c r="G562" s="19">
        <v>136933000</v>
      </c>
      <c r="H562" s="8"/>
    </row>
    <row r="563" spans="2:8">
      <c r="B563" s="21">
        <v>8007</v>
      </c>
      <c r="C563" s="22">
        <v>80</v>
      </c>
      <c r="D563" s="22" t="s">
        <v>2230</v>
      </c>
      <c r="E563" s="22" t="s">
        <v>1762</v>
      </c>
      <c r="F563" s="23">
        <v>11617109</v>
      </c>
      <c r="G563" s="19">
        <v>148550109</v>
      </c>
      <c r="H563" s="8"/>
    </row>
    <row r="564" spans="2:8">
      <c r="B564" s="18">
        <v>8008</v>
      </c>
      <c r="C564" s="17">
        <v>1</v>
      </c>
      <c r="D564" s="17" t="s">
        <v>1860</v>
      </c>
      <c r="E564" s="17">
        <v>2</v>
      </c>
      <c r="F564" s="19">
        <v>0</v>
      </c>
      <c r="G564" s="19">
        <v>0</v>
      </c>
      <c r="H564" s="8"/>
    </row>
    <row r="565" spans="2:8">
      <c r="B565" s="18">
        <v>8008</v>
      </c>
      <c r="C565" s="17">
        <v>2</v>
      </c>
      <c r="D565" s="17" t="s">
        <v>2231</v>
      </c>
      <c r="E565" s="17">
        <v>3</v>
      </c>
      <c r="F565" s="19">
        <v>99</v>
      </c>
      <c r="G565" s="19">
        <v>99</v>
      </c>
      <c r="H565" s="8"/>
    </row>
    <row r="566" spans="2:8">
      <c r="B566" s="18">
        <v>8008</v>
      </c>
      <c r="C566" s="17">
        <v>3</v>
      </c>
      <c r="D566" s="17" t="s">
        <v>2232</v>
      </c>
      <c r="E566" s="17">
        <v>4</v>
      </c>
      <c r="F566" s="19">
        <v>207</v>
      </c>
      <c r="G566" s="19">
        <v>306</v>
      </c>
      <c r="H566" s="8"/>
    </row>
    <row r="567" spans="2:8">
      <c r="B567" s="18">
        <v>8008</v>
      </c>
      <c r="C567" s="17">
        <v>4</v>
      </c>
      <c r="D567" s="17" t="s">
        <v>2233</v>
      </c>
      <c r="E567" s="17">
        <v>5</v>
      </c>
      <c r="F567" s="19">
        <v>324</v>
      </c>
      <c r="G567" s="19">
        <v>630</v>
      </c>
      <c r="H567" s="8"/>
    </row>
    <row r="568" spans="2:8">
      <c r="B568" s="18">
        <v>8008</v>
      </c>
      <c r="C568" s="17">
        <v>5</v>
      </c>
      <c r="D568" s="17" t="s">
        <v>2234</v>
      </c>
      <c r="E568" s="17">
        <v>6</v>
      </c>
      <c r="F568" s="19">
        <v>450</v>
      </c>
      <c r="G568" s="19">
        <v>1080</v>
      </c>
      <c r="H568" s="8"/>
    </row>
    <row r="569" spans="2:8">
      <c r="B569" s="18">
        <v>8008</v>
      </c>
      <c r="C569" s="17">
        <v>6</v>
      </c>
      <c r="D569" s="17" t="s">
        <v>2235</v>
      </c>
      <c r="E569" s="17">
        <v>7</v>
      </c>
      <c r="F569" s="19">
        <v>588</v>
      </c>
      <c r="G569" s="19">
        <v>1668</v>
      </c>
      <c r="H569" s="8"/>
    </row>
    <row r="570" spans="2:8">
      <c r="B570" s="18">
        <v>8008</v>
      </c>
      <c r="C570" s="17">
        <v>7</v>
      </c>
      <c r="D570" s="17" t="s">
        <v>1871</v>
      </c>
      <c r="E570" s="17">
        <v>8</v>
      </c>
      <c r="F570" s="19">
        <v>738</v>
      </c>
      <c r="G570" s="19">
        <v>2406</v>
      </c>
      <c r="H570" s="8"/>
    </row>
    <row r="571" spans="2:8">
      <c r="B571" s="18">
        <v>8008</v>
      </c>
      <c r="C571" s="17">
        <v>8</v>
      </c>
      <c r="D571" s="17" t="s">
        <v>2236</v>
      </c>
      <c r="E571" s="17">
        <v>9</v>
      </c>
      <c r="F571" s="19">
        <v>905</v>
      </c>
      <c r="G571" s="19">
        <v>3311</v>
      </c>
      <c r="H571" s="8"/>
    </row>
    <row r="572" spans="2:8">
      <c r="B572" s="18">
        <v>8008</v>
      </c>
      <c r="C572" s="17">
        <v>9</v>
      </c>
      <c r="D572" s="17" t="s">
        <v>2237</v>
      </c>
      <c r="E572" s="17">
        <v>10</v>
      </c>
      <c r="F572" s="19">
        <v>1092</v>
      </c>
      <c r="G572" s="19">
        <v>4403</v>
      </c>
      <c r="H572" s="8"/>
    </row>
    <row r="573" spans="2:8">
      <c r="B573" s="18">
        <v>8008</v>
      </c>
      <c r="C573" s="17">
        <v>10</v>
      </c>
      <c r="D573" s="17" t="s">
        <v>2238</v>
      </c>
      <c r="E573" s="17">
        <v>11</v>
      </c>
      <c r="F573" s="19">
        <v>1307</v>
      </c>
      <c r="G573" s="19">
        <v>5710</v>
      </c>
      <c r="H573" s="8"/>
    </row>
    <row r="574" spans="2:8">
      <c r="B574" s="18">
        <v>8008</v>
      </c>
      <c r="C574" s="17">
        <v>11</v>
      </c>
      <c r="D574" s="17" t="s">
        <v>2239</v>
      </c>
      <c r="E574" s="17">
        <v>12</v>
      </c>
      <c r="F574" s="19">
        <v>1558</v>
      </c>
      <c r="G574" s="19">
        <v>7268</v>
      </c>
      <c r="H574" s="8"/>
    </row>
    <row r="575" spans="2:8">
      <c r="B575" s="18">
        <v>8008</v>
      </c>
      <c r="C575" s="17">
        <v>12</v>
      </c>
      <c r="D575" s="17" t="s">
        <v>2240</v>
      </c>
      <c r="E575" s="17">
        <v>13</v>
      </c>
      <c r="F575" s="19">
        <v>1856</v>
      </c>
      <c r="G575" s="19">
        <v>9124</v>
      </c>
      <c r="H575" s="8"/>
    </row>
    <row r="576" spans="2:8">
      <c r="B576" s="18">
        <v>8008</v>
      </c>
      <c r="C576" s="17">
        <v>13</v>
      </c>
      <c r="D576" s="17" t="s">
        <v>1882</v>
      </c>
      <c r="E576" s="17">
        <v>14</v>
      </c>
      <c r="F576" s="19">
        <v>2215</v>
      </c>
      <c r="G576" s="19">
        <v>11339</v>
      </c>
      <c r="H576" s="8"/>
    </row>
    <row r="577" spans="2:8">
      <c r="B577" s="18">
        <v>8008</v>
      </c>
      <c r="C577" s="17">
        <v>14</v>
      </c>
      <c r="D577" s="17" t="s">
        <v>2241</v>
      </c>
      <c r="E577" s="17">
        <v>15</v>
      </c>
      <c r="F577" s="19">
        <v>2654</v>
      </c>
      <c r="G577" s="19">
        <v>13993</v>
      </c>
      <c r="H577" s="8"/>
    </row>
    <row r="578" spans="2:8">
      <c r="B578" s="18">
        <v>8008</v>
      </c>
      <c r="C578" s="17">
        <v>15</v>
      </c>
      <c r="D578" s="17" t="s">
        <v>2242</v>
      </c>
      <c r="E578" s="17">
        <v>16</v>
      </c>
      <c r="F578" s="19">
        <v>3193</v>
      </c>
      <c r="G578" s="19">
        <v>17186</v>
      </c>
      <c r="H578" s="8"/>
    </row>
    <row r="579" spans="2:8">
      <c r="B579" s="18">
        <v>8008</v>
      </c>
      <c r="C579" s="17">
        <v>16</v>
      </c>
      <c r="D579" s="17" t="s">
        <v>2243</v>
      </c>
      <c r="E579" s="17">
        <v>17</v>
      </c>
      <c r="F579" s="19">
        <v>3859</v>
      </c>
      <c r="G579" s="19">
        <v>21045</v>
      </c>
      <c r="H579" s="8"/>
    </row>
    <row r="580" spans="2:8">
      <c r="B580" s="18">
        <v>8008</v>
      </c>
      <c r="C580" s="17">
        <v>17</v>
      </c>
      <c r="D580" s="17" t="s">
        <v>2244</v>
      </c>
      <c r="E580" s="17">
        <v>18</v>
      </c>
      <c r="F580" s="19">
        <v>4682</v>
      </c>
      <c r="G580" s="19">
        <v>25727</v>
      </c>
    </row>
    <row r="581" spans="2:8">
      <c r="B581" s="18">
        <v>8008</v>
      </c>
      <c r="C581" s="17">
        <v>18</v>
      </c>
      <c r="D581" s="17" t="s">
        <v>2245</v>
      </c>
      <c r="E581" s="17">
        <v>19</v>
      </c>
      <c r="F581" s="19">
        <v>5699</v>
      </c>
      <c r="G581" s="19">
        <v>31426</v>
      </c>
      <c r="H581" s="8"/>
    </row>
    <row r="582" spans="2:8">
      <c r="B582" s="18">
        <v>8008</v>
      </c>
      <c r="C582" s="17">
        <v>19</v>
      </c>
      <c r="D582" s="17" t="s">
        <v>1893</v>
      </c>
      <c r="E582" s="17">
        <v>20</v>
      </c>
      <c r="F582" s="19">
        <v>6953</v>
      </c>
      <c r="G582" s="19">
        <v>38379</v>
      </c>
      <c r="H582" s="8"/>
    </row>
    <row r="583" spans="2:8">
      <c r="B583" s="18">
        <v>8008</v>
      </c>
      <c r="C583" s="17">
        <v>20</v>
      </c>
      <c r="D583" s="17" t="s">
        <v>2246</v>
      </c>
      <c r="E583" s="17">
        <v>21</v>
      </c>
      <c r="F583" s="19">
        <v>8492</v>
      </c>
      <c r="G583" s="19">
        <v>46871</v>
      </c>
      <c r="H583" s="8"/>
    </row>
    <row r="584" spans="2:8">
      <c r="B584" s="18">
        <v>8008</v>
      </c>
      <c r="C584" s="17">
        <v>21</v>
      </c>
      <c r="D584" s="17" t="s">
        <v>2247</v>
      </c>
      <c r="E584" s="17">
        <v>22</v>
      </c>
      <c r="F584" s="19">
        <v>10371</v>
      </c>
      <c r="G584" s="19">
        <v>57242</v>
      </c>
      <c r="H584" s="8"/>
    </row>
    <row r="585" spans="2:8">
      <c r="B585" s="18">
        <v>8008</v>
      </c>
      <c r="C585" s="17">
        <v>22</v>
      </c>
      <c r="D585" s="17" t="s">
        <v>2248</v>
      </c>
      <c r="E585" s="17">
        <v>23</v>
      </c>
      <c r="F585" s="19">
        <v>12655</v>
      </c>
      <c r="G585" s="19">
        <v>69897</v>
      </c>
      <c r="H585" s="8"/>
    </row>
    <row r="586" spans="2:8">
      <c r="B586" s="18">
        <v>8008</v>
      </c>
      <c r="C586" s="17">
        <v>23</v>
      </c>
      <c r="D586" s="17" t="s">
        <v>2249</v>
      </c>
      <c r="E586" s="17">
        <v>24</v>
      </c>
      <c r="F586" s="19">
        <v>15415</v>
      </c>
      <c r="G586" s="19">
        <v>85312</v>
      </c>
      <c r="H586" s="8"/>
    </row>
    <row r="587" spans="2:8">
      <c r="B587" s="18">
        <v>8008</v>
      </c>
      <c r="C587" s="17">
        <v>24</v>
      </c>
      <c r="D587" s="17" t="s">
        <v>2250</v>
      </c>
      <c r="E587" s="17">
        <v>25</v>
      </c>
      <c r="F587" s="19">
        <v>18731</v>
      </c>
      <c r="G587" s="19">
        <v>104043</v>
      </c>
      <c r="H587" s="8"/>
    </row>
    <row r="588" spans="2:8">
      <c r="B588" s="18">
        <v>8008</v>
      </c>
      <c r="C588" s="17">
        <v>25</v>
      </c>
      <c r="D588" s="17" t="s">
        <v>1904</v>
      </c>
      <c r="E588" s="17">
        <v>26</v>
      </c>
      <c r="F588" s="19">
        <v>22694</v>
      </c>
      <c r="G588" s="19">
        <v>126737</v>
      </c>
      <c r="H588" s="8"/>
    </row>
    <row r="589" spans="2:8">
      <c r="B589" s="18">
        <v>8008</v>
      </c>
      <c r="C589" s="17">
        <v>26</v>
      </c>
      <c r="D589" s="17" t="s">
        <v>2251</v>
      </c>
      <c r="E589" s="17">
        <v>27</v>
      </c>
      <c r="F589" s="19">
        <v>27403</v>
      </c>
      <c r="G589" s="19">
        <v>154140</v>
      </c>
      <c r="H589" s="8"/>
    </row>
    <row r="590" spans="2:8">
      <c r="B590" s="18">
        <v>8008</v>
      </c>
      <c r="C590" s="17">
        <v>27</v>
      </c>
      <c r="D590" s="17" t="s">
        <v>2252</v>
      </c>
      <c r="E590" s="17">
        <v>28</v>
      </c>
      <c r="F590" s="19">
        <v>32969</v>
      </c>
      <c r="G590" s="19">
        <v>187109</v>
      </c>
      <c r="H590" s="8"/>
    </row>
    <row r="591" spans="2:8">
      <c r="B591" s="18">
        <v>8008</v>
      </c>
      <c r="C591" s="17">
        <v>28</v>
      </c>
      <c r="D591" s="17" t="s">
        <v>2253</v>
      </c>
      <c r="E591" s="17">
        <v>29</v>
      </c>
      <c r="F591" s="19">
        <v>39515</v>
      </c>
      <c r="G591" s="19">
        <v>226624</v>
      </c>
      <c r="H591" s="8"/>
    </row>
    <row r="592" spans="2:8">
      <c r="B592" s="18">
        <v>8008</v>
      </c>
      <c r="C592" s="17">
        <v>29</v>
      </c>
      <c r="D592" s="17" t="s">
        <v>2254</v>
      </c>
      <c r="E592" s="17">
        <v>30</v>
      </c>
      <c r="F592" s="19">
        <v>47175</v>
      </c>
      <c r="G592" s="19">
        <v>273799</v>
      </c>
      <c r="H592" s="8"/>
    </row>
    <row r="593" spans="2:8">
      <c r="B593" s="18">
        <v>8008</v>
      </c>
      <c r="C593" s="17">
        <v>30</v>
      </c>
      <c r="D593" s="17" t="s">
        <v>2255</v>
      </c>
      <c r="E593" s="17">
        <v>31</v>
      </c>
      <c r="F593" s="19">
        <v>56096</v>
      </c>
      <c r="G593" s="19">
        <v>329895</v>
      </c>
      <c r="H593" s="8"/>
    </row>
    <row r="594" spans="2:8">
      <c r="B594" s="18">
        <v>8008</v>
      </c>
      <c r="C594" s="17">
        <v>31</v>
      </c>
      <c r="D594" s="17" t="s">
        <v>1915</v>
      </c>
      <c r="E594" s="17">
        <v>32</v>
      </c>
      <c r="F594" s="19">
        <v>66438</v>
      </c>
      <c r="G594" s="19">
        <v>396333</v>
      </c>
      <c r="H594" s="8"/>
    </row>
    <row r="595" spans="2:8">
      <c r="B595" s="18">
        <v>8008</v>
      </c>
      <c r="C595" s="17">
        <v>32</v>
      </c>
      <c r="D595" s="17" t="s">
        <v>2256</v>
      </c>
      <c r="E595" s="17">
        <v>33</v>
      </c>
      <c r="F595" s="19">
        <v>78375</v>
      </c>
      <c r="G595" s="19">
        <v>474708</v>
      </c>
      <c r="H595" s="8"/>
    </row>
    <row r="596" spans="2:8">
      <c r="B596" s="18">
        <v>8008</v>
      </c>
      <c r="C596" s="17">
        <v>33</v>
      </c>
      <c r="D596" s="17" t="s">
        <v>2257</v>
      </c>
      <c r="E596" s="17">
        <v>34</v>
      </c>
      <c r="F596" s="19">
        <v>92099</v>
      </c>
      <c r="G596" s="19">
        <v>566807</v>
      </c>
      <c r="H596" s="8"/>
    </row>
    <row r="597" spans="2:8">
      <c r="B597" s="18">
        <v>8008</v>
      </c>
      <c r="C597" s="17">
        <v>34</v>
      </c>
      <c r="D597" s="17" t="s">
        <v>2258</v>
      </c>
      <c r="E597" s="17">
        <v>35</v>
      </c>
      <c r="F597" s="19">
        <v>107814</v>
      </c>
      <c r="G597" s="19">
        <v>674621</v>
      </c>
      <c r="H597" s="8"/>
    </row>
    <row r="598" spans="2:8">
      <c r="B598" s="18">
        <v>8008</v>
      </c>
      <c r="C598" s="17">
        <v>35</v>
      </c>
      <c r="D598" s="17" t="s">
        <v>2259</v>
      </c>
      <c r="E598" s="17">
        <v>36</v>
      </c>
      <c r="F598" s="19">
        <v>125742</v>
      </c>
      <c r="G598" s="19">
        <v>800363</v>
      </c>
      <c r="H598" s="8"/>
    </row>
    <row r="599" spans="2:8">
      <c r="B599" s="18">
        <v>8008</v>
      </c>
      <c r="C599" s="17">
        <v>36</v>
      </c>
      <c r="D599" s="17" t="s">
        <v>2260</v>
      </c>
      <c r="E599" s="17">
        <v>37</v>
      </c>
      <c r="F599" s="19">
        <v>146122</v>
      </c>
      <c r="G599" s="19">
        <v>946485</v>
      </c>
      <c r="H599" s="8"/>
    </row>
    <row r="600" spans="2:8">
      <c r="B600" s="18">
        <v>8008</v>
      </c>
      <c r="C600" s="17">
        <v>37</v>
      </c>
      <c r="D600" s="17" t="s">
        <v>2261</v>
      </c>
      <c r="E600" s="17">
        <v>38</v>
      </c>
      <c r="F600" s="19">
        <v>169210</v>
      </c>
      <c r="G600" s="19">
        <v>1115695</v>
      </c>
      <c r="H600" s="8"/>
    </row>
    <row r="601" spans="2:8">
      <c r="B601" s="18">
        <v>8008</v>
      </c>
      <c r="C601" s="17">
        <v>38</v>
      </c>
      <c r="D601" s="17" t="s">
        <v>2262</v>
      </c>
      <c r="E601" s="17">
        <v>39</v>
      </c>
      <c r="F601" s="19">
        <v>195283</v>
      </c>
      <c r="G601" s="19">
        <v>1310978</v>
      </c>
      <c r="H601" s="8"/>
    </row>
    <row r="602" spans="2:8">
      <c r="B602" s="18">
        <v>8008</v>
      </c>
      <c r="C602" s="17">
        <v>39</v>
      </c>
      <c r="D602" s="17" t="s">
        <v>2263</v>
      </c>
      <c r="E602" s="17">
        <v>40</v>
      </c>
      <c r="F602" s="19">
        <v>224636</v>
      </c>
      <c r="G602" s="19">
        <v>1535614</v>
      </c>
      <c r="H602" s="8"/>
    </row>
    <row r="603" spans="2:8">
      <c r="B603" s="18">
        <v>8008</v>
      </c>
      <c r="C603" s="17">
        <v>40</v>
      </c>
      <c r="D603" s="17" t="s">
        <v>2264</v>
      </c>
      <c r="E603" s="17">
        <v>41</v>
      </c>
      <c r="F603" s="19">
        <v>257583</v>
      </c>
      <c r="G603" s="19">
        <v>1793197</v>
      </c>
      <c r="H603" s="8"/>
    </row>
    <row r="604" spans="2:8">
      <c r="B604" s="18">
        <v>8008</v>
      </c>
      <c r="C604" s="17">
        <v>41</v>
      </c>
      <c r="D604" s="17" t="s">
        <v>2265</v>
      </c>
      <c r="E604" s="17">
        <v>42</v>
      </c>
      <c r="F604" s="19">
        <v>294462</v>
      </c>
      <c r="G604" s="19">
        <v>2087659</v>
      </c>
      <c r="H604" s="8"/>
    </row>
    <row r="605" spans="2:8">
      <c r="B605" s="18">
        <v>8008</v>
      </c>
      <c r="C605" s="17">
        <v>42</v>
      </c>
      <c r="D605" s="17" t="s">
        <v>2266</v>
      </c>
      <c r="E605" s="17">
        <v>43</v>
      </c>
      <c r="F605" s="19">
        <v>335632</v>
      </c>
      <c r="G605" s="19">
        <v>2423291</v>
      </c>
      <c r="H605" s="8"/>
    </row>
    <row r="606" spans="2:8">
      <c r="B606" s="18">
        <v>8008</v>
      </c>
      <c r="C606" s="17">
        <v>43</v>
      </c>
      <c r="D606" s="17" t="s">
        <v>2267</v>
      </c>
      <c r="E606" s="17">
        <v>44</v>
      </c>
      <c r="F606" s="19">
        <v>381474</v>
      </c>
      <c r="G606" s="19">
        <v>2804765</v>
      </c>
      <c r="H606" s="8"/>
    </row>
    <row r="607" spans="2:8">
      <c r="B607" s="18">
        <v>8008</v>
      </c>
      <c r="C607" s="17">
        <v>44</v>
      </c>
      <c r="D607" s="17" t="s">
        <v>2268</v>
      </c>
      <c r="E607" s="17">
        <v>45</v>
      </c>
      <c r="F607" s="19">
        <v>432392</v>
      </c>
      <c r="G607" s="19">
        <v>3237157</v>
      </c>
      <c r="H607" s="8"/>
    </row>
    <row r="608" spans="2:8">
      <c r="B608" s="18">
        <v>8008</v>
      </c>
      <c r="C608" s="17">
        <v>45</v>
      </c>
      <c r="D608" s="17" t="s">
        <v>2269</v>
      </c>
      <c r="E608" s="17">
        <v>46</v>
      </c>
      <c r="F608" s="19">
        <v>488817</v>
      </c>
      <c r="G608" s="19">
        <v>3725974</v>
      </c>
      <c r="H608" s="8"/>
    </row>
    <row r="609" spans="2:8">
      <c r="B609" s="18">
        <v>8008</v>
      </c>
      <c r="C609" s="17">
        <v>46</v>
      </c>
      <c r="D609" s="17" t="s">
        <v>2270</v>
      </c>
      <c r="E609" s="17">
        <v>47</v>
      </c>
      <c r="F609" s="19">
        <v>551205</v>
      </c>
      <c r="G609" s="19">
        <v>4277179</v>
      </c>
      <c r="H609" s="8"/>
    </row>
    <row r="610" spans="2:8">
      <c r="B610" s="18">
        <v>8008</v>
      </c>
      <c r="C610" s="17">
        <v>47</v>
      </c>
      <c r="D610" s="17" t="s">
        <v>2271</v>
      </c>
      <c r="E610" s="17">
        <v>48</v>
      </c>
      <c r="F610" s="19">
        <v>620035</v>
      </c>
      <c r="G610" s="19">
        <v>4897214</v>
      </c>
      <c r="H610" s="8"/>
    </row>
    <row r="611" spans="2:8">
      <c r="B611" s="18">
        <v>8008</v>
      </c>
      <c r="C611" s="17">
        <v>48</v>
      </c>
      <c r="D611" s="17" t="s">
        <v>2272</v>
      </c>
      <c r="E611" s="17">
        <v>49</v>
      </c>
      <c r="F611" s="19">
        <v>695817</v>
      </c>
      <c r="G611" s="19">
        <v>5593031</v>
      </c>
      <c r="H611" s="8"/>
    </row>
    <row r="612" spans="2:8">
      <c r="B612" s="18">
        <v>8008</v>
      </c>
      <c r="C612" s="17">
        <v>49</v>
      </c>
      <c r="D612" s="17" t="s">
        <v>2273</v>
      </c>
      <c r="E612" s="17">
        <v>50</v>
      </c>
      <c r="F612" s="19">
        <v>779089</v>
      </c>
      <c r="G612" s="19">
        <v>6372120</v>
      </c>
      <c r="H612" s="8"/>
    </row>
    <row r="613" spans="2:8">
      <c r="B613" s="18">
        <v>8008</v>
      </c>
      <c r="C613" s="17">
        <v>50</v>
      </c>
      <c r="D613" s="17" t="s">
        <v>2274</v>
      </c>
      <c r="E613" s="17">
        <v>51</v>
      </c>
      <c r="F613" s="19">
        <v>870416</v>
      </c>
      <c r="G613" s="19">
        <v>7242536</v>
      </c>
      <c r="H613" s="8"/>
    </row>
    <row r="614" spans="2:8">
      <c r="B614" s="18">
        <v>8008</v>
      </c>
      <c r="C614" s="17">
        <v>51</v>
      </c>
      <c r="D614" s="17" t="s">
        <v>2275</v>
      </c>
      <c r="E614" s="17">
        <v>52</v>
      </c>
      <c r="F614" s="23">
        <v>970392</v>
      </c>
      <c r="G614" s="19">
        <v>8212928</v>
      </c>
      <c r="H614" s="8"/>
    </row>
    <row r="615" spans="2:8">
      <c r="B615" s="18">
        <v>8008</v>
      </c>
      <c r="C615" s="17">
        <v>52</v>
      </c>
      <c r="D615" s="17" t="s">
        <v>2276</v>
      </c>
      <c r="E615" s="17">
        <v>53</v>
      </c>
      <c r="F615" s="23">
        <v>1079645</v>
      </c>
      <c r="G615" s="19">
        <v>9292573</v>
      </c>
      <c r="H615" s="8"/>
    </row>
    <row r="616" spans="2:8">
      <c r="B616" s="18">
        <v>8008</v>
      </c>
      <c r="C616" s="17">
        <v>53</v>
      </c>
      <c r="D616" s="17" t="s">
        <v>2277</v>
      </c>
      <c r="E616" s="17">
        <v>54</v>
      </c>
      <c r="F616" s="23">
        <v>1198834</v>
      </c>
      <c r="G616" s="19">
        <v>10491407</v>
      </c>
      <c r="H616" s="8"/>
    </row>
    <row r="617" spans="2:8">
      <c r="B617" s="18">
        <v>8008</v>
      </c>
      <c r="C617" s="17">
        <v>54</v>
      </c>
      <c r="D617" s="17" t="s">
        <v>2278</v>
      </c>
      <c r="E617" s="17">
        <v>55</v>
      </c>
      <c r="F617" s="23">
        <v>1328648</v>
      </c>
      <c r="G617" s="19">
        <v>11820055</v>
      </c>
      <c r="H617" s="8"/>
    </row>
    <row r="618" spans="2:8">
      <c r="B618" s="18">
        <v>8008</v>
      </c>
      <c r="C618" s="17">
        <v>55</v>
      </c>
      <c r="D618" s="17" t="s">
        <v>2279</v>
      </c>
      <c r="E618" s="17">
        <v>56</v>
      </c>
      <c r="F618" s="23">
        <v>1469814</v>
      </c>
      <c r="G618" s="19">
        <v>13289869</v>
      </c>
      <c r="H618" s="8"/>
    </row>
    <row r="619" spans="2:8">
      <c r="B619" s="18">
        <v>8008</v>
      </c>
      <c r="C619" s="17">
        <v>56</v>
      </c>
      <c r="D619" s="17" t="s">
        <v>2280</v>
      </c>
      <c r="E619" s="17">
        <v>57</v>
      </c>
      <c r="F619" s="23">
        <v>1623090</v>
      </c>
      <c r="G619" s="19">
        <v>14912959</v>
      </c>
      <c r="H619" s="8"/>
    </row>
    <row r="620" spans="2:8">
      <c r="B620" s="18">
        <v>8008</v>
      </c>
      <c r="C620" s="17">
        <v>57</v>
      </c>
      <c r="D620" s="17" t="s">
        <v>2281</v>
      </c>
      <c r="E620" s="17">
        <v>58</v>
      </c>
      <c r="F620" s="23">
        <v>1789272</v>
      </c>
      <c r="G620" s="19">
        <v>16702231</v>
      </c>
      <c r="H620" s="8"/>
    </row>
    <row r="621" spans="2:8">
      <c r="B621" s="18">
        <v>8008</v>
      </c>
      <c r="C621" s="17">
        <v>58</v>
      </c>
      <c r="D621" s="17" t="s">
        <v>2282</v>
      </c>
      <c r="E621" s="17">
        <v>59</v>
      </c>
      <c r="F621" s="23">
        <v>1969191</v>
      </c>
      <c r="G621" s="19">
        <v>18671422</v>
      </c>
      <c r="H621" s="8"/>
    </row>
    <row r="622" spans="2:8">
      <c r="B622" s="18">
        <v>8008</v>
      </c>
      <c r="C622" s="17">
        <v>59</v>
      </c>
      <c r="D622" s="17" t="s">
        <v>2283</v>
      </c>
      <c r="E622" s="17">
        <v>60</v>
      </c>
      <c r="F622" s="23">
        <v>2163716</v>
      </c>
      <c r="G622" s="19">
        <v>20835138</v>
      </c>
      <c r="H622" s="8"/>
    </row>
    <row r="623" spans="2:8">
      <c r="B623" s="18">
        <v>8008</v>
      </c>
      <c r="C623" s="17">
        <v>60</v>
      </c>
      <c r="D623" s="17" t="s">
        <v>2284</v>
      </c>
      <c r="E623" s="17">
        <v>61</v>
      </c>
      <c r="F623" s="23">
        <v>2373756</v>
      </c>
      <c r="G623" s="19">
        <v>23208894</v>
      </c>
      <c r="H623" s="8"/>
    </row>
    <row r="624" spans="2:8">
      <c r="B624" s="18">
        <v>8008</v>
      </c>
      <c r="C624" s="17">
        <v>61</v>
      </c>
      <c r="D624" s="17" t="s">
        <v>2285</v>
      </c>
      <c r="E624" s="17">
        <v>62</v>
      </c>
      <c r="F624" s="23">
        <v>2600258</v>
      </c>
      <c r="G624" s="19">
        <v>25809152</v>
      </c>
      <c r="H624" s="8"/>
    </row>
    <row r="625" spans="2:8">
      <c r="B625" s="18">
        <v>8008</v>
      </c>
      <c r="C625" s="17">
        <v>62</v>
      </c>
      <c r="D625" s="17" t="s">
        <v>2286</v>
      </c>
      <c r="E625" s="17">
        <v>63</v>
      </c>
      <c r="F625" s="23">
        <v>2844210</v>
      </c>
      <c r="G625" s="19">
        <v>28653362</v>
      </c>
      <c r="H625" s="8"/>
    </row>
    <row r="626" spans="2:8">
      <c r="B626" s="18">
        <v>8008</v>
      </c>
      <c r="C626" s="17">
        <v>63</v>
      </c>
      <c r="D626" s="17" t="s">
        <v>2287</v>
      </c>
      <c r="E626" s="17">
        <v>64</v>
      </c>
      <c r="F626" s="23">
        <v>3106643</v>
      </c>
      <c r="G626" s="19">
        <v>31760005</v>
      </c>
      <c r="H626" s="8"/>
    </row>
    <row r="627" spans="2:8">
      <c r="B627" s="18">
        <v>8008</v>
      </c>
      <c r="C627" s="17">
        <v>64</v>
      </c>
      <c r="D627" s="17" t="s">
        <v>2288</v>
      </c>
      <c r="E627" s="17">
        <v>65</v>
      </c>
      <c r="F627" s="23">
        <v>3388629</v>
      </c>
      <c r="G627" s="19">
        <v>35148634</v>
      </c>
      <c r="H627" s="8"/>
    </row>
    <row r="628" spans="2:8">
      <c r="B628" s="18">
        <v>8008</v>
      </c>
      <c r="C628" s="17">
        <v>65</v>
      </c>
      <c r="D628" s="17" t="s">
        <v>2289</v>
      </c>
      <c r="E628" s="17">
        <v>66</v>
      </c>
      <c r="F628" s="23">
        <v>3691285</v>
      </c>
      <c r="G628" s="19">
        <v>38839919</v>
      </c>
      <c r="H628" s="8"/>
    </row>
    <row r="629" spans="2:8">
      <c r="B629" s="18">
        <v>8008</v>
      </c>
      <c r="C629" s="17">
        <v>66</v>
      </c>
      <c r="D629" s="17" t="s">
        <v>2290</v>
      </c>
      <c r="E629" s="17">
        <v>67</v>
      </c>
      <c r="F629" s="23">
        <v>4015771</v>
      </c>
      <c r="G629" s="19">
        <v>42855690</v>
      </c>
      <c r="H629" s="8"/>
    </row>
    <row r="630" spans="2:8">
      <c r="B630" s="18">
        <v>8008</v>
      </c>
      <c r="C630" s="17">
        <v>67</v>
      </c>
      <c r="D630" s="17" t="s">
        <v>2291</v>
      </c>
      <c r="E630" s="17">
        <v>68</v>
      </c>
      <c r="F630" s="23">
        <v>4363295</v>
      </c>
      <c r="G630" s="19">
        <v>47218985</v>
      </c>
      <c r="H630" s="8"/>
    </row>
    <row r="631" spans="2:8">
      <c r="B631" s="18">
        <v>8008</v>
      </c>
      <c r="C631" s="17">
        <v>68</v>
      </c>
      <c r="D631" s="17" t="s">
        <v>2292</v>
      </c>
      <c r="E631" s="17">
        <v>69</v>
      </c>
      <c r="F631" s="23">
        <v>4735112</v>
      </c>
      <c r="G631" s="19">
        <v>51954097</v>
      </c>
      <c r="H631" s="8"/>
    </row>
    <row r="632" spans="2:8">
      <c r="B632" s="18">
        <v>8008</v>
      </c>
      <c r="C632" s="17">
        <v>69</v>
      </c>
      <c r="D632" s="17" t="s">
        <v>2293</v>
      </c>
      <c r="E632" s="17">
        <v>70</v>
      </c>
      <c r="F632" s="23">
        <v>5132523</v>
      </c>
      <c r="G632" s="19">
        <v>57086620</v>
      </c>
      <c r="H632" s="8"/>
    </row>
    <row r="633" spans="2:8">
      <c r="B633" s="18">
        <v>8008</v>
      </c>
      <c r="C633" s="17">
        <v>70</v>
      </c>
      <c r="D633" s="17" t="s">
        <v>2294</v>
      </c>
      <c r="E633" s="17">
        <v>71</v>
      </c>
      <c r="F633" s="23">
        <v>5556880</v>
      </c>
      <c r="G633" s="19">
        <v>62643500</v>
      </c>
      <c r="H633" s="8"/>
    </row>
    <row r="634" spans="2:8">
      <c r="B634" s="18">
        <v>8008</v>
      </c>
      <c r="C634" s="17">
        <v>71</v>
      </c>
      <c r="D634" s="17" t="s">
        <v>2295</v>
      </c>
      <c r="E634" s="17">
        <v>72</v>
      </c>
      <c r="F634" s="23">
        <v>6009585</v>
      </c>
      <c r="G634" s="19">
        <v>68653085</v>
      </c>
      <c r="H634" s="8"/>
    </row>
    <row r="635" spans="2:8">
      <c r="B635" s="18">
        <v>8008</v>
      </c>
      <c r="C635" s="17">
        <v>72</v>
      </c>
      <c r="D635" s="17" t="s">
        <v>2296</v>
      </c>
      <c r="E635" s="17">
        <v>73</v>
      </c>
      <c r="F635" s="23">
        <v>6492089</v>
      </c>
      <c r="G635" s="19">
        <v>75145174</v>
      </c>
      <c r="H635" s="8"/>
    </row>
    <row r="636" spans="2:8">
      <c r="B636" s="18">
        <v>8008</v>
      </c>
      <c r="C636" s="17">
        <v>73</v>
      </c>
      <c r="D636" s="17" t="s">
        <v>2297</v>
      </c>
      <c r="E636" s="17">
        <v>74</v>
      </c>
      <c r="F636" s="23">
        <v>7005899</v>
      </c>
      <c r="G636" s="19">
        <v>82151073</v>
      </c>
      <c r="H636" s="8"/>
    </row>
    <row r="637" spans="2:8">
      <c r="B637" s="18">
        <v>8008</v>
      </c>
      <c r="C637" s="17">
        <v>74</v>
      </c>
      <c r="D637" s="17" t="s">
        <v>2298</v>
      </c>
      <c r="E637" s="17">
        <v>75</v>
      </c>
      <c r="F637" s="23">
        <v>7552574</v>
      </c>
      <c r="G637" s="19">
        <v>89703647</v>
      </c>
      <c r="H637" s="8"/>
    </row>
    <row r="638" spans="2:8">
      <c r="B638" s="18">
        <v>8008</v>
      </c>
      <c r="C638" s="17">
        <v>75</v>
      </c>
      <c r="D638" s="17" t="s">
        <v>2299</v>
      </c>
      <c r="E638" s="17">
        <v>76</v>
      </c>
      <c r="F638" s="23">
        <v>8133726</v>
      </c>
      <c r="G638" s="19">
        <v>97837373</v>
      </c>
      <c r="H638" s="8"/>
    </row>
    <row r="639" spans="2:8">
      <c r="B639" s="18">
        <v>8008</v>
      </c>
      <c r="C639" s="17">
        <v>76</v>
      </c>
      <c r="D639" s="17" t="s">
        <v>2300</v>
      </c>
      <c r="E639" s="17">
        <v>77</v>
      </c>
      <c r="F639" s="23">
        <v>8751026</v>
      </c>
      <c r="G639" s="19">
        <v>106588399</v>
      </c>
      <c r="H639" s="8"/>
    </row>
    <row r="640" spans="2:8">
      <c r="B640" s="18">
        <v>8008</v>
      </c>
      <c r="C640" s="17">
        <v>77</v>
      </c>
      <c r="D640" s="17" t="s">
        <v>2301</v>
      </c>
      <c r="E640" s="17">
        <v>78</v>
      </c>
      <c r="F640" s="23">
        <v>9406200</v>
      </c>
      <c r="G640" s="19">
        <v>115994599</v>
      </c>
      <c r="H640" s="8"/>
    </row>
    <row r="641" spans="2:8">
      <c r="B641" s="18">
        <v>8008</v>
      </c>
      <c r="C641" s="17">
        <v>78</v>
      </c>
      <c r="D641" s="17" t="s">
        <v>2302</v>
      </c>
      <c r="E641" s="17">
        <v>79</v>
      </c>
      <c r="F641" s="23">
        <v>10101033</v>
      </c>
      <c r="G641" s="19">
        <v>126095632</v>
      </c>
      <c r="H641" s="8"/>
    </row>
    <row r="642" spans="2:8">
      <c r="B642" s="18">
        <v>8008</v>
      </c>
      <c r="C642" s="17">
        <v>79</v>
      </c>
      <c r="D642" s="17" t="s">
        <v>2303</v>
      </c>
      <c r="E642" s="17">
        <v>80</v>
      </c>
      <c r="F642" s="23">
        <v>10837368</v>
      </c>
      <c r="G642" s="19">
        <v>136933000</v>
      </c>
      <c r="H642" s="8"/>
    </row>
    <row r="643" spans="2:8">
      <c r="B643" s="18">
        <v>8008</v>
      </c>
      <c r="C643" s="17">
        <v>80</v>
      </c>
      <c r="D643" s="17" t="s">
        <v>2304</v>
      </c>
      <c r="E643" s="17" t="s">
        <v>1762</v>
      </c>
      <c r="F643" s="23">
        <v>11617109</v>
      </c>
      <c r="G643" s="19">
        <v>148550109</v>
      </c>
      <c r="H643" s="8"/>
    </row>
    <row r="644" spans="2:8">
      <c r="B644" s="18">
        <v>8009</v>
      </c>
      <c r="C644" s="17">
        <v>1</v>
      </c>
      <c r="D644" s="17" t="s">
        <v>1940</v>
      </c>
      <c r="E644" s="17">
        <v>2</v>
      </c>
      <c r="F644" s="19">
        <v>0</v>
      </c>
      <c r="G644" s="19">
        <v>0</v>
      </c>
      <c r="H644" s="8"/>
    </row>
    <row r="645" spans="2:8">
      <c r="B645" s="18">
        <v>8009</v>
      </c>
      <c r="C645" s="17">
        <v>2</v>
      </c>
      <c r="D645" s="17" t="s">
        <v>2305</v>
      </c>
      <c r="E645" s="17">
        <v>3</v>
      </c>
      <c r="F645" s="19">
        <v>99</v>
      </c>
      <c r="G645" s="19">
        <v>99</v>
      </c>
      <c r="H645" s="8"/>
    </row>
    <row r="646" spans="2:8">
      <c r="B646" s="18">
        <v>8009</v>
      </c>
      <c r="C646" s="17">
        <v>3</v>
      </c>
      <c r="D646" s="17" t="s">
        <v>2306</v>
      </c>
      <c r="E646" s="17">
        <v>4</v>
      </c>
      <c r="F646" s="19">
        <v>207</v>
      </c>
      <c r="G646" s="19">
        <v>306</v>
      </c>
      <c r="H646" s="8"/>
    </row>
    <row r="647" spans="2:8">
      <c r="B647" s="18">
        <v>8009</v>
      </c>
      <c r="C647" s="17">
        <v>4</v>
      </c>
      <c r="D647" s="17" t="s">
        <v>2307</v>
      </c>
      <c r="E647" s="17">
        <v>5</v>
      </c>
      <c r="F647" s="19">
        <v>324</v>
      </c>
      <c r="G647" s="19">
        <v>630</v>
      </c>
      <c r="H647" s="8"/>
    </row>
    <row r="648" spans="2:8">
      <c r="B648" s="18">
        <v>8009</v>
      </c>
      <c r="C648" s="17">
        <v>5</v>
      </c>
      <c r="D648" s="17" t="s">
        <v>2308</v>
      </c>
      <c r="E648" s="17">
        <v>6</v>
      </c>
      <c r="F648" s="19">
        <v>450</v>
      </c>
      <c r="G648" s="19">
        <v>1080</v>
      </c>
      <c r="H648" s="8"/>
    </row>
    <row r="649" spans="2:8">
      <c r="B649" s="18">
        <v>8009</v>
      </c>
      <c r="C649" s="17">
        <v>6</v>
      </c>
      <c r="D649" s="17" t="s">
        <v>2309</v>
      </c>
      <c r="E649" s="17">
        <v>7</v>
      </c>
      <c r="F649" s="19">
        <v>588</v>
      </c>
      <c r="G649" s="19">
        <v>1668</v>
      </c>
      <c r="H649" s="8"/>
    </row>
    <row r="650" spans="2:8">
      <c r="B650" s="18">
        <v>8009</v>
      </c>
      <c r="C650" s="17">
        <v>7</v>
      </c>
      <c r="D650" s="17" t="s">
        <v>1951</v>
      </c>
      <c r="E650" s="17">
        <v>8</v>
      </c>
      <c r="F650" s="19">
        <v>738</v>
      </c>
      <c r="G650" s="19">
        <v>2406</v>
      </c>
      <c r="H650" s="8"/>
    </row>
    <row r="651" spans="2:8">
      <c r="B651" s="18">
        <v>8009</v>
      </c>
      <c r="C651" s="17">
        <v>8</v>
      </c>
      <c r="D651" s="17" t="s">
        <v>2310</v>
      </c>
      <c r="E651" s="17">
        <v>9</v>
      </c>
      <c r="F651" s="19">
        <v>905</v>
      </c>
      <c r="G651" s="19">
        <v>3311</v>
      </c>
      <c r="H651" s="8"/>
    </row>
    <row r="652" spans="2:8">
      <c r="B652" s="18">
        <v>8009</v>
      </c>
      <c r="C652" s="17">
        <v>9</v>
      </c>
      <c r="D652" s="17" t="s">
        <v>2311</v>
      </c>
      <c r="E652" s="17">
        <v>10</v>
      </c>
      <c r="F652" s="19">
        <v>1092</v>
      </c>
      <c r="G652" s="19">
        <v>4403</v>
      </c>
      <c r="H652" s="8"/>
    </row>
    <row r="653" spans="2:8">
      <c r="B653" s="18">
        <v>8009</v>
      </c>
      <c r="C653" s="17">
        <v>10</v>
      </c>
      <c r="D653" s="17" t="s">
        <v>2312</v>
      </c>
      <c r="E653" s="17">
        <v>11</v>
      </c>
      <c r="F653" s="19">
        <v>1307</v>
      </c>
      <c r="G653" s="19">
        <v>5710</v>
      </c>
      <c r="H653" s="8"/>
    </row>
    <row r="654" spans="2:8">
      <c r="B654" s="18">
        <v>8009</v>
      </c>
      <c r="C654" s="17">
        <v>11</v>
      </c>
      <c r="D654" s="17" t="s">
        <v>2313</v>
      </c>
      <c r="E654" s="17">
        <v>12</v>
      </c>
      <c r="F654" s="19">
        <v>1558</v>
      </c>
      <c r="G654" s="19">
        <v>7268</v>
      </c>
      <c r="H654" s="8"/>
    </row>
    <row r="655" spans="2:8">
      <c r="B655" s="18">
        <v>8009</v>
      </c>
      <c r="C655" s="17">
        <v>12</v>
      </c>
      <c r="D655" s="17" t="s">
        <v>2314</v>
      </c>
      <c r="E655" s="17">
        <v>13</v>
      </c>
      <c r="F655" s="19">
        <v>1856</v>
      </c>
      <c r="G655" s="19">
        <v>9124</v>
      </c>
      <c r="H655" s="8"/>
    </row>
    <row r="656" spans="2:8">
      <c r="B656" s="18">
        <v>8009</v>
      </c>
      <c r="C656" s="17">
        <v>13</v>
      </c>
      <c r="D656" s="17" t="s">
        <v>1962</v>
      </c>
      <c r="E656" s="17">
        <v>14</v>
      </c>
      <c r="F656" s="19">
        <v>2215</v>
      </c>
      <c r="G656" s="19">
        <v>11339</v>
      </c>
      <c r="H656" s="8"/>
    </row>
    <row r="657" spans="2:8">
      <c r="B657" s="18">
        <v>8009</v>
      </c>
      <c r="C657" s="17">
        <v>14</v>
      </c>
      <c r="D657" s="17" t="s">
        <v>2315</v>
      </c>
      <c r="E657" s="17">
        <v>15</v>
      </c>
      <c r="F657" s="19">
        <v>2654</v>
      </c>
      <c r="G657" s="19">
        <v>13993</v>
      </c>
      <c r="H657" s="8"/>
    </row>
    <row r="658" spans="2:8">
      <c r="B658" s="18">
        <v>8009</v>
      </c>
      <c r="C658" s="17">
        <v>15</v>
      </c>
      <c r="D658" s="17" t="s">
        <v>2316</v>
      </c>
      <c r="E658" s="17">
        <v>16</v>
      </c>
      <c r="F658" s="19">
        <v>3193</v>
      </c>
      <c r="G658" s="19">
        <v>17186</v>
      </c>
      <c r="H658" s="8"/>
    </row>
    <row r="659" spans="2:8">
      <c r="B659" s="18">
        <v>8009</v>
      </c>
      <c r="C659" s="17">
        <v>16</v>
      </c>
      <c r="D659" s="17" t="s">
        <v>2317</v>
      </c>
      <c r="E659" s="17">
        <v>17</v>
      </c>
      <c r="F659" s="19">
        <v>3859</v>
      </c>
      <c r="G659" s="19">
        <v>21045</v>
      </c>
      <c r="H659" s="8"/>
    </row>
    <row r="660" spans="2:8">
      <c r="B660" s="18">
        <v>8009</v>
      </c>
      <c r="C660" s="17">
        <v>17</v>
      </c>
      <c r="D660" s="17" t="s">
        <v>2318</v>
      </c>
      <c r="E660" s="17">
        <v>18</v>
      </c>
      <c r="F660" s="19">
        <v>4682</v>
      </c>
      <c r="G660" s="19">
        <v>25727</v>
      </c>
      <c r="H660" s="8"/>
    </row>
    <row r="661" spans="2:8">
      <c r="B661" s="18">
        <v>8009</v>
      </c>
      <c r="C661" s="17">
        <v>18</v>
      </c>
      <c r="D661" s="17" t="s">
        <v>2319</v>
      </c>
      <c r="E661" s="17">
        <v>19</v>
      </c>
      <c r="F661" s="19">
        <v>5699</v>
      </c>
      <c r="G661" s="19">
        <v>31426</v>
      </c>
      <c r="H661" s="8"/>
    </row>
    <row r="662" spans="2:8">
      <c r="B662" s="18">
        <v>8009</v>
      </c>
      <c r="C662" s="17">
        <v>19</v>
      </c>
      <c r="D662" s="17" t="s">
        <v>1973</v>
      </c>
      <c r="E662" s="17">
        <v>20</v>
      </c>
      <c r="F662" s="19">
        <v>6953</v>
      </c>
      <c r="G662" s="19">
        <v>38379</v>
      </c>
      <c r="H662" s="8"/>
    </row>
    <row r="663" spans="2:8">
      <c r="B663" s="18">
        <v>8009</v>
      </c>
      <c r="C663" s="17">
        <v>20</v>
      </c>
      <c r="D663" s="17" t="s">
        <v>2320</v>
      </c>
      <c r="E663" s="17">
        <v>21</v>
      </c>
      <c r="F663" s="19">
        <v>8492</v>
      </c>
      <c r="G663" s="19">
        <v>46871</v>
      </c>
      <c r="H663" s="8"/>
    </row>
    <row r="664" spans="2:8">
      <c r="B664" s="18">
        <v>8009</v>
      </c>
      <c r="C664" s="17">
        <v>21</v>
      </c>
      <c r="D664" s="17" t="s">
        <v>2321</v>
      </c>
      <c r="E664" s="17">
        <v>22</v>
      </c>
      <c r="F664" s="19">
        <v>10371</v>
      </c>
      <c r="G664" s="19">
        <v>57242</v>
      </c>
      <c r="H664" s="8"/>
    </row>
    <row r="665" spans="2:8">
      <c r="B665" s="18">
        <v>8009</v>
      </c>
      <c r="C665" s="17">
        <v>22</v>
      </c>
      <c r="D665" s="17" t="s">
        <v>2322</v>
      </c>
      <c r="E665" s="17">
        <v>23</v>
      </c>
      <c r="F665" s="19">
        <v>12655</v>
      </c>
      <c r="G665" s="19">
        <v>69897</v>
      </c>
      <c r="H665" s="8"/>
    </row>
    <row r="666" spans="2:8">
      <c r="B666" s="18">
        <v>8009</v>
      </c>
      <c r="C666" s="17">
        <v>23</v>
      </c>
      <c r="D666" s="17" t="s">
        <v>2323</v>
      </c>
      <c r="E666" s="17">
        <v>24</v>
      </c>
      <c r="F666" s="19">
        <v>15415</v>
      </c>
      <c r="G666" s="19">
        <v>85312</v>
      </c>
      <c r="H666" s="8"/>
    </row>
    <row r="667" spans="2:8">
      <c r="B667" s="18">
        <v>8009</v>
      </c>
      <c r="C667" s="17">
        <v>24</v>
      </c>
      <c r="D667" s="17" t="s">
        <v>2324</v>
      </c>
      <c r="E667" s="17">
        <v>25</v>
      </c>
      <c r="F667" s="19">
        <v>18731</v>
      </c>
      <c r="G667" s="19">
        <v>104043</v>
      </c>
      <c r="H667" s="8"/>
    </row>
    <row r="668" spans="2:8">
      <c r="B668" s="18">
        <v>8009</v>
      </c>
      <c r="C668" s="17">
        <v>25</v>
      </c>
      <c r="D668" s="17" t="s">
        <v>1984</v>
      </c>
      <c r="E668" s="17">
        <v>26</v>
      </c>
      <c r="F668" s="19">
        <v>22694</v>
      </c>
      <c r="G668" s="19">
        <v>126737</v>
      </c>
      <c r="H668" s="8"/>
    </row>
    <row r="669" spans="2:8">
      <c r="B669" s="18">
        <v>8009</v>
      </c>
      <c r="C669" s="17">
        <v>26</v>
      </c>
      <c r="D669" s="17" t="s">
        <v>2325</v>
      </c>
      <c r="E669" s="17">
        <v>27</v>
      </c>
      <c r="F669" s="19">
        <v>27403</v>
      </c>
      <c r="G669" s="19">
        <v>154140</v>
      </c>
      <c r="H669" s="8"/>
    </row>
    <row r="670" spans="2:8">
      <c r="B670" s="18">
        <v>8009</v>
      </c>
      <c r="C670" s="17">
        <v>27</v>
      </c>
      <c r="D670" s="17" t="s">
        <v>2326</v>
      </c>
      <c r="E670" s="17">
        <v>28</v>
      </c>
      <c r="F670" s="19">
        <v>32969</v>
      </c>
      <c r="G670" s="19">
        <v>187109</v>
      </c>
      <c r="H670" s="8"/>
    </row>
    <row r="671" spans="2:8">
      <c r="B671" s="18">
        <v>8009</v>
      </c>
      <c r="C671" s="17">
        <v>28</v>
      </c>
      <c r="D671" s="17" t="s">
        <v>2327</v>
      </c>
      <c r="E671" s="17">
        <v>29</v>
      </c>
      <c r="F671" s="19">
        <v>39515</v>
      </c>
      <c r="G671" s="19">
        <v>226624</v>
      </c>
      <c r="H671" s="8"/>
    </row>
    <row r="672" spans="2:8">
      <c r="B672" s="18">
        <v>8009</v>
      </c>
      <c r="C672" s="17">
        <v>29</v>
      </c>
      <c r="D672" s="17" t="s">
        <v>2328</v>
      </c>
      <c r="E672" s="17">
        <v>30</v>
      </c>
      <c r="F672" s="19">
        <v>47175</v>
      </c>
      <c r="G672" s="19">
        <v>273799</v>
      </c>
      <c r="H672" s="8"/>
    </row>
    <row r="673" spans="2:8">
      <c r="B673" s="18">
        <v>8009</v>
      </c>
      <c r="C673" s="17">
        <v>30</v>
      </c>
      <c r="D673" s="17" t="s">
        <v>2329</v>
      </c>
      <c r="E673" s="17">
        <v>31</v>
      </c>
      <c r="F673" s="19">
        <v>56096</v>
      </c>
      <c r="G673" s="19">
        <v>329895</v>
      </c>
      <c r="H673" s="8"/>
    </row>
    <row r="674" spans="2:8">
      <c r="B674" s="18">
        <v>8009</v>
      </c>
      <c r="C674" s="17">
        <v>31</v>
      </c>
      <c r="D674" s="17" t="s">
        <v>1995</v>
      </c>
      <c r="E674" s="17">
        <v>32</v>
      </c>
      <c r="F674" s="19">
        <v>66438</v>
      </c>
      <c r="G674" s="19">
        <v>396333</v>
      </c>
      <c r="H674" s="8"/>
    </row>
    <row r="675" spans="2:8">
      <c r="B675" s="18">
        <v>8009</v>
      </c>
      <c r="C675" s="17">
        <v>32</v>
      </c>
      <c r="D675" s="17" t="s">
        <v>2330</v>
      </c>
      <c r="E675" s="17">
        <v>33</v>
      </c>
      <c r="F675" s="19">
        <v>78375</v>
      </c>
      <c r="G675" s="19">
        <v>474708</v>
      </c>
      <c r="H675" s="8"/>
    </row>
    <row r="676" spans="2:8">
      <c r="B676" s="18">
        <v>8009</v>
      </c>
      <c r="C676" s="17">
        <v>33</v>
      </c>
      <c r="D676" s="17" t="s">
        <v>2331</v>
      </c>
      <c r="E676" s="17">
        <v>34</v>
      </c>
      <c r="F676" s="19">
        <v>92099</v>
      </c>
      <c r="G676" s="19">
        <v>566807</v>
      </c>
      <c r="H676" s="8"/>
    </row>
    <row r="677" spans="2:8">
      <c r="B677" s="18">
        <v>8009</v>
      </c>
      <c r="C677" s="17">
        <v>34</v>
      </c>
      <c r="D677" s="17" t="s">
        <v>2332</v>
      </c>
      <c r="E677" s="17">
        <v>35</v>
      </c>
      <c r="F677" s="19">
        <v>107814</v>
      </c>
      <c r="G677" s="19">
        <v>674621</v>
      </c>
      <c r="H677" s="8"/>
    </row>
    <row r="678" spans="2:8">
      <c r="B678" s="18">
        <v>8009</v>
      </c>
      <c r="C678" s="17">
        <v>35</v>
      </c>
      <c r="D678" s="17" t="s">
        <v>2333</v>
      </c>
      <c r="E678" s="17">
        <v>36</v>
      </c>
      <c r="F678" s="19">
        <v>125742</v>
      </c>
      <c r="G678" s="19">
        <v>800363</v>
      </c>
      <c r="H678" s="8"/>
    </row>
    <row r="679" spans="2:8">
      <c r="B679" s="18">
        <v>8009</v>
      </c>
      <c r="C679" s="17">
        <v>36</v>
      </c>
      <c r="D679" s="17" t="s">
        <v>2334</v>
      </c>
      <c r="E679" s="17">
        <v>37</v>
      </c>
      <c r="F679" s="19">
        <v>146122</v>
      </c>
      <c r="G679" s="19">
        <v>946485</v>
      </c>
      <c r="H679" s="8"/>
    </row>
    <row r="680" spans="2:8">
      <c r="B680" s="18">
        <v>8009</v>
      </c>
      <c r="C680" s="17">
        <v>37</v>
      </c>
      <c r="D680" s="17" t="s">
        <v>2335</v>
      </c>
      <c r="E680" s="17">
        <v>38</v>
      </c>
      <c r="F680" s="19">
        <v>169210</v>
      </c>
      <c r="G680" s="19">
        <v>1115695</v>
      </c>
      <c r="H680" s="8"/>
    </row>
    <row r="681" spans="2:8">
      <c r="B681" s="18">
        <v>8009</v>
      </c>
      <c r="C681" s="17">
        <v>38</v>
      </c>
      <c r="D681" s="17" t="s">
        <v>2336</v>
      </c>
      <c r="E681" s="17">
        <v>39</v>
      </c>
      <c r="F681" s="19">
        <v>195283</v>
      </c>
      <c r="G681" s="19">
        <v>1310978</v>
      </c>
      <c r="H681" s="8"/>
    </row>
    <row r="682" spans="2:8">
      <c r="B682" s="18">
        <v>8009</v>
      </c>
      <c r="C682" s="17">
        <v>39</v>
      </c>
      <c r="D682" s="17" t="s">
        <v>2337</v>
      </c>
      <c r="E682" s="17">
        <v>40</v>
      </c>
      <c r="F682" s="19">
        <v>224636</v>
      </c>
      <c r="G682" s="19">
        <v>1535614</v>
      </c>
      <c r="H682" s="8"/>
    </row>
    <row r="683" spans="2:8">
      <c r="B683" s="18">
        <v>8009</v>
      </c>
      <c r="C683" s="17">
        <v>40</v>
      </c>
      <c r="D683" s="17" t="s">
        <v>2338</v>
      </c>
      <c r="E683" s="17">
        <v>41</v>
      </c>
      <c r="F683" s="19">
        <v>257583</v>
      </c>
      <c r="G683" s="19">
        <v>1793197</v>
      </c>
      <c r="H683" s="8"/>
    </row>
    <row r="684" spans="2:8">
      <c r="B684" s="18">
        <v>8009</v>
      </c>
      <c r="C684" s="17">
        <v>41</v>
      </c>
      <c r="D684" s="17" t="s">
        <v>2339</v>
      </c>
      <c r="E684" s="17">
        <v>42</v>
      </c>
      <c r="F684" s="19">
        <v>294462</v>
      </c>
      <c r="G684" s="19">
        <v>2087659</v>
      </c>
      <c r="H684" s="8"/>
    </row>
    <row r="685" spans="2:8">
      <c r="B685" s="18">
        <v>8009</v>
      </c>
      <c r="C685" s="17">
        <v>42</v>
      </c>
      <c r="D685" s="17" t="s">
        <v>2340</v>
      </c>
      <c r="E685" s="17">
        <v>43</v>
      </c>
      <c r="F685" s="19">
        <v>335632</v>
      </c>
      <c r="G685" s="19">
        <v>2423291</v>
      </c>
      <c r="H685" s="8"/>
    </row>
    <row r="686" spans="2:8">
      <c r="B686" s="18">
        <v>8009</v>
      </c>
      <c r="C686" s="17">
        <v>43</v>
      </c>
      <c r="D686" s="17" t="s">
        <v>2341</v>
      </c>
      <c r="E686" s="17">
        <v>44</v>
      </c>
      <c r="F686" s="19">
        <v>381474</v>
      </c>
      <c r="G686" s="19">
        <v>2804765</v>
      </c>
      <c r="H686" s="8"/>
    </row>
    <row r="687" spans="2:8">
      <c r="B687" s="18">
        <v>8009</v>
      </c>
      <c r="C687" s="17">
        <v>44</v>
      </c>
      <c r="D687" s="17" t="s">
        <v>2342</v>
      </c>
      <c r="E687" s="17">
        <v>45</v>
      </c>
      <c r="F687" s="19">
        <v>432392</v>
      </c>
      <c r="G687" s="19">
        <v>3237157</v>
      </c>
      <c r="H687" s="8"/>
    </row>
    <row r="688" spans="2:8">
      <c r="B688" s="18">
        <v>8009</v>
      </c>
      <c r="C688" s="17">
        <v>45</v>
      </c>
      <c r="D688" s="17" t="s">
        <v>2343</v>
      </c>
      <c r="E688" s="17">
        <v>46</v>
      </c>
      <c r="F688" s="19">
        <v>488817</v>
      </c>
      <c r="G688" s="19">
        <v>3725974</v>
      </c>
      <c r="H688" s="8"/>
    </row>
    <row r="689" spans="2:8">
      <c r="B689" s="18">
        <v>8009</v>
      </c>
      <c r="C689" s="17">
        <v>46</v>
      </c>
      <c r="D689" s="17" t="s">
        <v>2344</v>
      </c>
      <c r="E689" s="17">
        <v>47</v>
      </c>
      <c r="F689" s="19">
        <v>551205</v>
      </c>
      <c r="G689" s="19">
        <v>4277179</v>
      </c>
      <c r="H689" s="8"/>
    </row>
    <row r="690" spans="2:8">
      <c r="B690" s="18">
        <v>8009</v>
      </c>
      <c r="C690" s="17">
        <v>47</v>
      </c>
      <c r="D690" s="17" t="s">
        <v>2345</v>
      </c>
      <c r="E690" s="17">
        <v>48</v>
      </c>
      <c r="F690" s="19">
        <v>620035</v>
      </c>
      <c r="G690" s="19">
        <v>4897214</v>
      </c>
      <c r="H690" s="8"/>
    </row>
    <row r="691" spans="2:8">
      <c r="B691" s="18">
        <v>8009</v>
      </c>
      <c r="C691" s="17">
        <v>48</v>
      </c>
      <c r="D691" s="17" t="s">
        <v>2346</v>
      </c>
      <c r="E691" s="17">
        <v>49</v>
      </c>
      <c r="F691" s="19">
        <v>695817</v>
      </c>
      <c r="G691" s="19">
        <v>5593031</v>
      </c>
      <c r="H691" s="8"/>
    </row>
    <row r="692" spans="2:8">
      <c r="B692" s="18">
        <v>8009</v>
      </c>
      <c r="C692" s="17">
        <v>49</v>
      </c>
      <c r="D692" s="17" t="s">
        <v>2347</v>
      </c>
      <c r="E692" s="17">
        <v>50</v>
      </c>
      <c r="F692" s="19">
        <v>779089</v>
      </c>
      <c r="G692" s="19">
        <v>6372120</v>
      </c>
      <c r="H692" s="8"/>
    </row>
    <row r="693" spans="2:8">
      <c r="B693" s="18">
        <v>8009</v>
      </c>
      <c r="C693" s="17">
        <v>50</v>
      </c>
      <c r="D693" s="17" t="s">
        <v>2348</v>
      </c>
      <c r="E693" s="17">
        <v>51</v>
      </c>
      <c r="F693" s="19">
        <v>870416</v>
      </c>
      <c r="G693" s="19">
        <v>7242536</v>
      </c>
      <c r="H693" s="8"/>
    </row>
    <row r="694" spans="2:8">
      <c r="B694" s="18">
        <v>8009</v>
      </c>
      <c r="C694" s="17">
        <v>51</v>
      </c>
      <c r="D694" s="17" t="s">
        <v>2349</v>
      </c>
      <c r="E694" s="17">
        <v>52</v>
      </c>
      <c r="F694" s="23">
        <v>970392</v>
      </c>
      <c r="G694" s="19">
        <v>8212928</v>
      </c>
      <c r="H694" s="8"/>
    </row>
    <row r="695" spans="2:8">
      <c r="B695" s="18">
        <v>8009</v>
      </c>
      <c r="C695" s="17">
        <v>52</v>
      </c>
      <c r="D695" s="17" t="s">
        <v>2350</v>
      </c>
      <c r="E695" s="17">
        <v>53</v>
      </c>
      <c r="F695" s="23">
        <v>1079645</v>
      </c>
      <c r="G695" s="19">
        <v>9292573</v>
      </c>
      <c r="H695" s="8"/>
    </row>
    <row r="696" spans="2:8">
      <c r="B696" s="18">
        <v>8009</v>
      </c>
      <c r="C696" s="17">
        <v>53</v>
      </c>
      <c r="D696" s="17" t="s">
        <v>2351</v>
      </c>
      <c r="E696" s="17">
        <v>54</v>
      </c>
      <c r="F696" s="23">
        <v>1198834</v>
      </c>
      <c r="G696" s="19">
        <v>10491407</v>
      </c>
      <c r="H696" s="8"/>
    </row>
    <row r="697" spans="2:8">
      <c r="B697" s="18">
        <v>8009</v>
      </c>
      <c r="C697" s="17">
        <v>54</v>
      </c>
      <c r="D697" s="17" t="s">
        <v>2352</v>
      </c>
      <c r="E697" s="17">
        <v>55</v>
      </c>
      <c r="F697" s="23">
        <v>1328648</v>
      </c>
      <c r="G697" s="19">
        <v>11820055</v>
      </c>
      <c r="H697" s="8"/>
    </row>
    <row r="698" spans="2:8">
      <c r="B698" s="18">
        <v>8009</v>
      </c>
      <c r="C698" s="17">
        <v>55</v>
      </c>
      <c r="D698" s="17" t="s">
        <v>2353</v>
      </c>
      <c r="E698" s="17">
        <v>56</v>
      </c>
      <c r="F698" s="23">
        <v>1469814</v>
      </c>
      <c r="G698" s="19">
        <v>13289869</v>
      </c>
      <c r="H698" s="8"/>
    </row>
    <row r="699" spans="2:8">
      <c r="B699" s="18">
        <v>8009</v>
      </c>
      <c r="C699" s="17">
        <v>56</v>
      </c>
      <c r="D699" s="17" t="s">
        <v>2354</v>
      </c>
      <c r="E699" s="17">
        <v>57</v>
      </c>
      <c r="F699" s="23">
        <v>1623090</v>
      </c>
      <c r="G699" s="19">
        <v>14912959</v>
      </c>
      <c r="H699" s="8"/>
    </row>
    <row r="700" spans="2:8">
      <c r="B700" s="18">
        <v>8009</v>
      </c>
      <c r="C700" s="17">
        <v>57</v>
      </c>
      <c r="D700" s="17" t="s">
        <v>2355</v>
      </c>
      <c r="E700" s="17">
        <v>58</v>
      </c>
      <c r="F700" s="23">
        <v>1789272</v>
      </c>
      <c r="G700" s="19">
        <v>16702231</v>
      </c>
      <c r="H700" s="8"/>
    </row>
    <row r="701" spans="2:8">
      <c r="B701" s="18">
        <v>8009</v>
      </c>
      <c r="C701" s="17">
        <v>58</v>
      </c>
      <c r="D701" s="17" t="s">
        <v>2356</v>
      </c>
      <c r="E701" s="17">
        <v>59</v>
      </c>
      <c r="F701" s="23">
        <v>1969191</v>
      </c>
      <c r="G701" s="19">
        <v>18671422</v>
      </c>
    </row>
    <row r="702" spans="2:8">
      <c r="B702" s="18">
        <v>8009</v>
      </c>
      <c r="C702" s="17">
        <v>59</v>
      </c>
      <c r="D702" s="17" t="s">
        <v>2357</v>
      </c>
      <c r="E702" s="17">
        <v>60</v>
      </c>
      <c r="F702" s="23">
        <v>2163716</v>
      </c>
      <c r="G702" s="19">
        <v>20835138</v>
      </c>
      <c r="H702" s="8"/>
    </row>
    <row r="703" spans="2:8">
      <c r="B703" s="18">
        <v>8009</v>
      </c>
      <c r="C703" s="17">
        <v>60</v>
      </c>
      <c r="D703" s="17" t="s">
        <v>2358</v>
      </c>
      <c r="E703" s="17">
        <v>61</v>
      </c>
      <c r="F703" s="23">
        <v>2373756</v>
      </c>
      <c r="G703" s="19">
        <v>23208894</v>
      </c>
      <c r="H703" s="8"/>
    </row>
    <row r="704" spans="2:8">
      <c r="B704" s="18">
        <v>8009</v>
      </c>
      <c r="C704" s="17">
        <v>61</v>
      </c>
      <c r="D704" s="17" t="s">
        <v>2359</v>
      </c>
      <c r="E704" s="17">
        <v>62</v>
      </c>
      <c r="F704" s="23">
        <v>2600258</v>
      </c>
      <c r="G704" s="19">
        <v>25809152</v>
      </c>
      <c r="H704" s="8"/>
    </row>
    <row r="705" spans="2:8">
      <c r="B705" s="18">
        <v>8009</v>
      </c>
      <c r="C705" s="17">
        <v>62</v>
      </c>
      <c r="D705" s="17" t="s">
        <v>2360</v>
      </c>
      <c r="E705" s="17">
        <v>63</v>
      </c>
      <c r="F705" s="23">
        <v>2844210</v>
      </c>
      <c r="G705" s="19">
        <v>28653362</v>
      </c>
      <c r="H705" s="8"/>
    </row>
    <row r="706" spans="2:8">
      <c r="B706" s="18">
        <v>8009</v>
      </c>
      <c r="C706" s="17">
        <v>63</v>
      </c>
      <c r="D706" s="17" t="s">
        <v>2361</v>
      </c>
      <c r="E706" s="17">
        <v>64</v>
      </c>
      <c r="F706" s="23">
        <v>3106643</v>
      </c>
      <c r="G706" s="19">
        <v>31760005</v>
      </c>
      <c r="H706" s="8"/>
    </row>
    <row r="707" spans="2:8">
      <c r="B707" s="18">
        <v>8009</v>
      </c>
      <c r="C707" s="17">
        <v>64</v>
      </c>
      <c r="D707" s="17" t="s">
        <v>2362</v>
      </c>
      <c r="E707" s="17">
        <v>65</v>
      </c>
      <c r="F707" s="23">
        <v>3388629</v>
      </c>
      <c r="G707" s="19">
        <v>35148634</v>
      </c>
      <c r="H707" s="8"/>
    </row>
    <row r="708" spans="2:8">
      <c r="B708" s="18">
        <v>8009</v>
      </c>
      <c r="C708" s="17">
        <v>65</v>
      </c>
      <c r="D708" s="17" t="s">
        <v>2363</v>
      </c>
      <c r="E708" s="17">
        <v>66</v>
      </c>
      <c r="F708" s="23">
        <v>3691285</v>
      </c>
      <c r="G708" s="19">
        <v>38839919</v>
      </c>
      <c r="H708" s="8"/>
    </row>
    <row r="709" spans="2:8">
      <c r="B709" s="18">
        <v>8009</v>
      </c>
      <c r="C709" s="17">
        <v>66</v>
      </c>
      <c r="D709" s="17" t="s">
        <v>2364</v>
      </c>
      <c r="E709" s="17">
        <v>67</v>
      </c>
      <c r="F709" s="23">
        <v>4015771</v>
      </c>
      <c r="G709" s="19">
        <v>42855690</v>
      </c>
      <c r="H709" s="8"/>
    </row>
    <row r="710" spans="2:8">
      <c r="B710" s="18">
        <v>8009</v>
      </c>
      <c r="C710" s="17">
        <v>67</v>
      </c>
      <c r="D710" s="17" t="s">
        <v>2365</v>
      </c>
      <c r="E710" s="17">
        <v>68</v>
      </c>
      <c r="F710" s="23">
        <v>4363295</v>
      </c>
      <c r="G710" s="19">
        <v>47218985</v>
      </c>
      <c r="H710" s="8"/>
    </row>
    <row r="711" spans="2:8">
      <c r="B711" s="18">
        <v>8009</v>
      </c>
      <c r="C711" s="17">
        <v>68</v>
      </c>
      <c r="D711" s="17" t="s">
        <v>2366</v>
      </c>
      <c r="E711" s="17">
        <v>69</v>
      </c>
      <c r="F711" s="23">
        <v>4735112</v>
      </c>
      <c r="G711" s="19">
        <v>51954097</v>
      </c>
      <c r="H711" s="8"/>
    </row>
    <row r="712" spans="2:8">
      <c r="B712" s="18">
        <v>8009</v>
      </c>
      <c r="C712" s="17">
        <v>69</v>
      </c>
      <c r="D712" s="17" t="s">
        <v>2367</v>
      </c>
      <c r="E712" s="17">
        <v>70</v>
      </c>
      <c r="F712" s="23">
        <v>5132523</v>
      </c>
      <c r="G712" s="19">
        <v>57086620</v>
      </c>
      <c r="H712" s="8"/>
    </row>
    <row r="713" spans="2:8">
      <c r="B713" s="18">
        <v>8009</v>
      </c>
      <c r="C713" s="17">
        <v>70</v>
      </c>
      <c r="D713" s="17" t="s">
        <v>2368</v>
      </c>
      <c r="E713" s="17">
        <v>71</v>
      </c>
      <c r="F713" s="23">
        <v>5556880</v>
      </c>
      <c r="G713" s="19">
        <v>62643500</v>
      </c>
      <c r="H713" s="8"/>
    </row>
    <row r="714" spans="2:8">
      <c r="B714" s="18">
        <v>8009</v>
      </c>
      <c r="C714" s="17">
        <v>71</v>
      </c>
      <c r="D714" s="17" t="s">
        <v>2369</v>
      </c>
      <c r="E714" s="17">
        <v>72</v>
      </c>
      <c r="F714" s="23">
        <v>6009585</v>
      </c>
      <c r="G714" s="19">
        <v>68653085</v>
      </c>
      <c r="H714" s="8"/>
    </row>
    <row r="715" spans="2:8">
      <c r="B715" s="18">
        <v>8009</v>
      </c>
      <c r="C715" s="17">
        <v>72</v>
      </c>
      <c r="D715" s="17" t="s">
        <v>2370</v>
      </c>
      <c r="E715" s="17">
        <v>73</v>
      </c>
      <c r="F715" s="23">
        <v>6492089</v>
      </c>
      <c r="G715" s="19">
        <v>75145174</v>
      </c>
      <c r="H715" s="8"/>
    </row>
    <row r="716" spans="2:8">
      <c r="B716" s="18">
        <v>8009</v>
      </c>
      <c r="C716" s="17">
        <v>73</v>
      </c>
      <c r="D716" s="17" t="s">
        <v>2371</v>
      </c>
      <c r="E716" s="17">
        <v>74</v>
      </c>
      <c r="F716" s="23">
        <v>7005899</v>
      </c>
      <c r="G716" s="19">
        <v>82151073</v>
      </c>
      <c r="H716" s="8"/>
    </row>
    <row r="717" spans="2:8">
      <c r="B717" s="18">
        <v>8009</v>
      </c>
      <c r="C717" s="17">
        <v>74</v>
      </c>
      <c r="D717" s="17" t="s">
        <v>2372</v>
      </c>
      <c r="E717" s="17">
        <v>75</v>
      </c>
      <c r="F717" s="23">
        <v>7552574</v>
      </c>
      <c r="G717" s="19">
        <v>89703647</v>
      </c>
      <c r="H717" s="8"/>
    </row>
    <row r="718" spans="2:8">
      <c r="B718" s="18">
        <v>8009</v>
      </c>
      <c r="C718" s="17">
        <v>75</v>
      </c>
      <c r="D718" s="17" t="s">
        <v>2373</v>
      </c>
      <c r="E718" s="17">
        <v>76</v>
      </c>
      <c r="F718" s="23">
        <v>8133726</v>
      </c>
      <c r="G718" s="19">
        <v>97837373</v>
      </c>
      <c r="H718" s="8"/>
    </row>
    <row r="719" spans="2:8">
      <c r="B719" s="18">
        <v>8009</v>
      </c>
      <c r="C719" s="17">
        <v>76</v>
      </c>
      <c r="D719" s="17" t="s">
        <v>2374</v>
      </c>
      <c r="E719" s="17">
        <v>77</v>
      </c>
      <c r="F719" s="23">
        <v>8751026</v>
      </c>
      <c r="G719" s="19">
        <v>106588399</v>
      </c>
      <c r="H719" s="8"/>
    </row>
    <row r="720" spans="2:8">
      <c r="B720" s="18">
        <v>8009</v>
      </c>
      <c r="C720" s="17">
        <v>77</v>
      </c>
      <c r="D720" s="17" t="s">
        <v>2375</v>
      </c>
      <c r="E720" s="17">
        <v>78</v>
      </c>
      <c r="F720" s="23">
        <v>9406200</v>
      </c>
      <c r="G720" s="19">
        <v>115994599</v>
      </c>
      <c r="H720" s="8"/>
    </row>
    <row r="721" spans="2:8">
      <c r="B721" s="18">
        <v>8009</v>
      </c>
      <c r="C721" s="17">
        <v>78</v>
      </c>
      <c r="D721" s="17" t="s">
        <v>2376</v>
      </c>
      <c r="E721" s="17">
        <v>79</v>
      </c>
      <c r="F721" s="23">
        <v>10101033</v>
      </c>
      <c r="G721" s="19">
        <v>126095632</v>
      </c>
      <c r="H721" s="8"/>
    </row>
    <row r="722" spans="2:8">
      <c r="B722" s="18">
        <v>8009</v>
      </c>
      <c r="C722" s="17">
        <v>79</v>
      </c>
      <c r="D722" s="17" t="s">
        <v>2377</v>
      </c>
      <c r="E722" s="17">
        <v>80</v>
      </c>
      <c r="F722" s="23">
        <v>10837368</v>
      </c>
      <c r="G722" s="19">
        <v>136933000</v>
      </c>
      <c r="H722" s="8"/>
    </row>
    <row r="723" spans="2:8">
      <c r="B723" s="18">
        <v>8009</v>
      </c>
      <c r="C723" s="17">
        <v>80</v>
      </c>
      <c r="D723" s="17" t="s">
        <v>2378</v>
      </c>
      <c r="E723" s="17" t="s">
        <v>1762</v>
      </c>
      <c r="F723" s="23">
        <v>11617109</v>
      </c>
      <c r="G723" s="19">
        <v>148550109</v>
      </c>
      <c r="H723" s="8"/>
    </row>
    <row r="724" spans="2:8">
      <c r="B724" s="18">
        <v>8010</v>
      </c>
      <c r="C724" s="17">
        <v>1</v>
      </c>
      <c r="D724" s="17" t="s">
        <v>2020</v>
      </c>
      <c r="E724" s="17">
        <v>2</v>
      </c>
      <c r="F724" s="19">
        <v>0</v>
      </c>
      <c r="G724" s="19">
        <v>0</v>
      </c>
      <c r="H724" s="8"/>
    </row>
    <row r="725" spans="2:8">
      <c r="B725" s="18">
        <v>8010</v>
      </c>
      <c r="C725" s="17">
        <v>2</v>
      </c>
      <c r="D725" s="17" t="s">
        <v>2379</v>
      </c>
      <c r="E725" s="17">
        <v>3</v>
      </c>
      <c r="F725" s="19">
        <v>99</v>
      </c>
      <c r="G725" s="19">
        <v>99</v>
      </c>
      <c r="H725" s="8"/>
    </row>
    <row r="726" spans="2:8">
      <c r="B726" s="18">
        <v>8010</v>
      </c>
      <c r="C726" s="17">
        <v>3</v>
      </c>
      <c r="D726" s="17" t="s">
        <v>2380</v>
      </c>
      <c r="E726" s="17">
        <v>4</v>
      </c>
      <c r="F726" s="19">
        <v>207</v>
      </c>
      <c r="G726" s="19">
        <v>306</v>
      </c>
      <c r="H726" s="8"/>
    </row>
    <row r="727" spans="2:8">
      <c r="B727" s="18">
        <v>8010</v>
      </c>
      <c r="C727" s="17">
        <v>4</v>
      </c>
      <c r="D727" s="17" t="s">
        <v>2381</v>
      </c>
      <c r="E727" s="17">
        <v>5</v>
      </c>
      <c r="F727" s="19">
        <v>324</v>
      </c>
      <c r="G727" s="19">
        <v>630</v>
      </c>
      <c r="H727" s="8"/>
    </row>
    <row r="728" spans="2:8">
      <c r="B728" s="18">
        <v>8010</v>
      </c>
      <c r="C728" s="17">
        <v>5</v>
      </c>
      <c r="D728" s="17" t="s">
        <v>2382</v>
      </c>
      <c r="E728" s="17">
        <v>6</v>
      </c>
      <c r="F728" s="19">
        <v>450</v>
      </c>
      <c r="G728" s="19">
        <v>1080</v>
      </c>
      <c r="H728" s="8"/>
    </row>
    <row r="729" spans="2:8">
      <c r="B729" s="18">
        <v>8010</v>
      </c>
      <c r="C729" s="17">
        <v>6</v>
      </c>
      <c r="D729" s="17" t="s">
        <v>2383</v>
      </c>
      <c r="E729" s="17">
        <v>7</v>
      </c>
      <c r="F729" s="19">
        <v>588</v>
      </c>
      <c r="G729" s="19">
        <v>1668</v>
      </c>
      <c r="H729" s="8"/>
    </row>
    <row r="730" spans="2:8">
      <c r="B730" s="18">
        <v>8010</v>
      </c>
      <c r="C730" s="17">
        <v>7</v>
      </c>
      <c r="D730" s="17" t="s">
        <v>2031</v>
      </c>
      <c r="E730" s="17">
        <v>8</v>
      </c>
      <c r="F730" s="19">
        <v>738</v>
      </c>
      <c r="G730" s="19">
        <v>2406</v>
      </c>
      <c r="H730" s="8"/>
    </row>
    <row r="731" spans="2:8">
      <c r="B731" s="18">
        <v>8010</v>
      </c>
      <c r="C731" s="17">
        <v>8</v>
      </c>
      <c r="D731" s="17" t="s">
        <v>2384</v>
      </c>
      <c r="E731" s="17">
        <v>9</v>
      </c>
      <c r="F731" s="19">
        <v>905</v>
      </c>
      <c r="G731" s="19">
        <v>3311</v>
      </c>
      <c r="H731" s="8"/>
    </row>
    <row r="732" spans="2:8">
      <c r="B732" s="18">
        <v>8010</v>
      </c>
      <c r="C732" s="17">
        <v>9</v>
      </c>
      <c r="D732" s="17" t="s">
        <v>2385</v>
      </c>
      <c r="E732" s="17">
        <v>10</v>
      </c>
      <c r="F732" s="19">
        <v>1092</v>
      </c>
      <c r="G732" s="19">
        <v>4403</v>
      </c>
      <c r="H732" s="8"/>
    </row>
    <row r="733" spans="2:8">
      <c r="B733" s="18">
        <v>8010</v>
      </c>
      <c r="C733" s="17">
        <v>10</v>
      </c>
      <c r="D733" s="17" t="s">
        <v>2386</v>
      </c>
      <c r="E733" s="17">
        <v>11</v>
      </c>
      <c r="F733" s="19">
        <v>1307</v>
      </c>
      <c r="G733" s="19">
        <v>5710</v>
      </c>
      <c r="H733" s="8"/>
    </row>
    <row r="734" spans="2:8">
      <c r="B734" s="18">
        <v>8010</v>
      </c>
      <c r="C734" s="17">
        <v>11</v>
      </c>
      <c r="D734" s="17" t="s">
        <v>2387</v>
      </c>
      <c r="E734" s="17">
        <v>12</v>
      </c>
      <c r="F734" s="19">
        <v>1558</v>
      </c>
      <c r="G734" s="19">
        <v>7268</v>
      </c>
      <c r="H734" s="8"/>
    </row>
    <row r="735" spans="2:8">
      <c r="B735" s="18">
        <v>8010</v>
      </c>
      <c r="C735" s="17">
        <v>12</v>
      </c>
      <c r="D735" s="17" t="s">
        <v>2388</v>
      </c>
      <c r="E735" s="17">
        <v>13</v>
      </c>
      <c r="F735" s="19">
        <v>1856</v>
      </c>
      <c r="G735" s="19">
        <v>9124</v>
      </c>
      <c r="H735" s="8"/>
    </row>
    <row r="736" spans="2:8">
      <c r="B736" s="18">
        <v>8010</v>
      </c>
      <c r="C736" s="17">
        <v>13</v>
      </c>
      <c r="D736" s="17" t="s">
        <v>2042</v>
      </c>
      <c r="E736" s="17">
        <v>14</v>
      </c>
      <c r="F736" s="19">
        <v>2215</v>
      </c>
      <c r="G736" s="19">
        <v>11339</v>
      </c>
      <c r="H736" s="8"/>
    </row>
    <row r="737" spans="2:8">
      <c r="B737" s="18">
        <v>8010</v>
      </c>
      <c r="C737" s="17">
        <v>14</v>
      </c>
      <c r="D737" s="17" t="s">
        <v>2389</v>
      </c>
      <c r="E737" s="17">
        <v>15</v>
      </c>
      <c r="F737" s="19">
        <v>2654</v>
      </c>
      <c r="G737" s="19">
        <v>13993</v>
      </c>
      <c r="H737" s="8"/>
    </row>
    <row r="738" spans="2:8">
      <c r="B738" s="18">
        <v>8010</v>
      </c>
      <c r="C738" s="17">
        <v>15</v>
      </c>
      <c r="D738" s="17" t="s">
        <v>2390</v>
      </c>
      <c r="E738" s="17">
        <v>16</v>
      </c>
      <c r="F738" s="19">
        <v>3193</v>
      </c>
      <c r="G738" s="19">
        <v>17186</v>
      </c>
      <c r="H738" s="8"/>
    </row>
    <row r="739" spans="2:8">
      <c r="B739" s="18">
        <v>8010</v>
      </c>
      <c r="C739" s="17">
        <v>16</v>
      </c>
      <c r="D739" s="17" t="s">
        <v>2391</v>
      </c>
      <c r="E739" s="17">
        <v>17</v>
      </c>
      <c r="F739" s="19">
        <v>3859</v>
      </c>
      <c r="G739" s="19">
        <v>21045</v>
      </c>
      <c r="H739" s="8"/>
    </row>
    <row r="740" spans="2:8">
      <c r="B740" s="18">
        <v>8010</v>
      </c>
      <c r="C740" s="17">
        <v>17</v>
      </c>
      <c r="D740" s="17" t="s">
        <v>2392</v>
      </c>
      <c r="E740" s="17">
        <v>18</v>
      </c>
      <c r="F740" s="19">
        <v>4682</v>
      </c>
      <c r="G740" s="19">
        <v>25727</v>
      </c>
      <c r="H740" s="8"/>
    </row>
    <row r="741" spans="2:8">
      <c r="B741" s="18">
        <v>8010</v>
      </c>
      <c r="C741" s="17">
        <v>18</v>
      </c>
      <c r="D741" s="17" t="s">
        <v>2393</v>
      </c>
      <c r="E741" s="17">
        <v>19</v>
      </c>
      <c r="F741" s="19">
        <v>5699</v>
      </c>
      <c r="G741" s="19">
        <v>31426</v>
      </c>
      <c r="H741" s="8"/>
    </row>
    <row r="742" spans="2:8">
      <c r="B742" s="18">
        <v>8010</v>
      </c>
      <c r="C742" s="17">
        <v>19</v>
      </c>
      <c r="D742" s="17" t="s">
        <v>2053</v>
      </c>
      <c r="E742" s="17">
        <v>20</v>
      </c>
      <c r="F742" s="19">
        <v>6953</v>
      </c>
      <c r="G742" s="19">
        <v>38379</v>
      </c>
      <c r="H742" s="8"/>
    </row>
    <row r="743" spans="2:8">
      <c r="B743" s="18">
        <v>8010</v>
      </c>
      <c r="C743" s="17">
        <v>20</v>
      </c>
      <c r="D743" s="17" t="s">
        <v>2394</v>
      </c>
      <c r="E743" s="17">
        <v>21</v>
      </c>
      <c r="F743" s="19">
        <v>8492</v>
      </c>
      <c r="G743" s="19">
        <v>46871</v>
      </c>
      <c r="H743" s="8"/>
    </row>
    <row r="744" spans="2:8">
      <c r="B744" s="18">
        <v>8010</v>
      </c>
      <c r="C744" s="17">
        <v>21</v>
      </c>
      <c r="D744" s="17" t="s">
        <v>2395</v>
      </c>
      <c r="E744" s="17">
        <v>22</v>
      </c>
      <c r="F744" s="19">
        <v>10371</v>
      </c>
      <c r="G744" s="19">
        <v>57242</v>
      </c>
      <c r="H744" s="8"/>
    </row>
    <row r="745" spans="2:8">
      <c r="B745" s="18">
        <v>8010</v>
      </c>
      <c r="C745" s="17">
        <v>22</v>
      </c>
      <c r="D745" s="17" t="s">
        <v>2396</v>
      </c>
      <c r="E745" s="17">
        <v>23</v>
      </c>
      <c r="F745" s="19">
        <v>12655</v>
      </c>
      <c r="G745" s="19">
        <v>69897</v>
      </c>
      <c r="H745" s="8"/>
    </row>
    <row r="746" spans="2:8">
      <c r="B746" s="18">
        <v>8010</v>
      </c>
      <c r="C746" s="17">
        <v>23</v>
      </c>
      <c r="D746" s="17" t="s">
        <v>2397</v>
      </c>
      <c r="E746" s="17">
        <v>24</v>
      </c>
      <c r="F746" s="19">
        <v>15415</v>
      </c>
      <c r="G746" s="19">
        <v>85312</v>
      </c>
      <c r="H746" s="8"/>
    </row>
    <row r="747" spans="2:8">
      <c r="B747" s="18">
        <v>8010</v>
      </c>
      <c r="C747" s="17">
        <v>24</v>
      </c>
      <c r="D747" s="17" t="s">
        <v>2398</v>
      </c>
      <c r="E747" s="17">
        <v>25</v>
      </c>
      <c r="F747" s="19">
        <v>18731</v>
      </c>
      <c r="G747" s="19">
        <v>104043</v>
      </c>
      <c r="H747" s="8"/>
    </row>
    <row r="748" spans="2:8">
      <c r="B748" s="18">
        <v>8010</v>
      </c>
      <c r="C748" s="17">
        <v>25</v>
      </c>
      <c r="D748" s="17" t="s">
        <v>2064</v>
      </c>
      <c r="E748" s="17">
        <v>26</v>
      </c>
      <c r="F748" s="19">
        <v>22694</v>
      </c>
      <c r="G748" s="19">
        <v>126737</v>
      </c>
      <c r="H748" s="8"/>
    </row>
    <row r="749" spans="2:8">
      <c r="B749" s="18">
        <v>8010</v>
      </c>
      <c r="C749" s="17">
        <v>26</v>
      </c>
      <c r="D749" s="17" t="s">
        <v>2399</v>
      </c>
      <c r="E749" s="17">
        <v>27</v>
      </c>
      <c r="F749" s="19">
        <v>27403</v>
      </c>
      <c r="G749" s="19">
        <v>154140</v>
      </c>
      <c r="H749" s="8"/>
    </row>
    <row r="750" spans="2:8">
      <c r="B750" s="18">
        <v>8010</v>
      </c>
      <c r="C750" s="17">
        <v>27</v>
      </c>
      <c r="D750" s="17" t="s">
        <v>2400</v>
      </c>
      <c r="E750" s="17">
        <v>28</v>
      </c>
      <c r="F750" s="19">
        <v>32969</v>
      </c>
      <c r="G750" s="19">
        <v>187109</v>
      </c>
      <c r="H750" s="8"/>
    </row>
    <row r="751" spans="2:8">
      <c r="B751" s="18">
        <v>8010</v>
      </c>
      <c r="C751" s="17">
        <v>28</v>
      </c>
      <c r="D751" s="17" t="s">
        <v>2401</v>
      </c>
      <c r="E751" s="17">
        <v>29</v>
      </c>
      <c r="F751" s="19">
        <v>39515</v>
      </c>
      <c r="G751" s="19">
        <v>226624</v>
      </c>
      <c r="H751" s="8"/>
    </row>
    <row r="752" spans="2:8">
      <c r="B752" s="18">
        <v>8010</v>
      </c>
      <c r="C752" s="17">
        <v>29</v>
      </c>
      <c r="D752" s="17" t="s">
        <v>2402</v>
      </c>
      <c r="E752" s="17">
        <v>30</v>
      </c>
      <c r="F752" s="19">
        <v>47175</v>
      </c>
      <c r="G752" s="19">
        <v>273799</v>
      </c>
      <c r="H752" s="8"/>
    </row>
    <row r="753" spans="2:8">
      <c r="B753" s="18">
        <v>8010</v>
      </c>
      <c r="C753" s="17">
        <v>30</v>
      </c>
      <c r="D753" s="17" t="s">
        <v>2403</v>
      </c>
      <c r="E753" s="17">
        <v>31</v>
      </c>
      <c r="F753" s="19">
        <v>56096</v>
      </c>
      <c r="G753" s="19">
        <v>329895</v>
      </c>
      <c r="H753" s="8"/>
    </row>
    <row r="754" spans="2:8">
      <c r="B754" s="18">
        <v>8010</v>
      </c>
      <c r="C754" s="17">
        <v>31</v>
      </c>
      <c r="D754" s="17" t="s">
        <v>2075</v>
      </c>
      <c r="E754" s="17">
        <v>32</v>
      </c>
      <c r="F754" s="19">
        <v>66438</v>
      </c>
      <c r="G754" s="19">
        <v>396333</v>
      </c>
      <c r="H754" s="8"/>
    </row>
    <row r="755" spans="2:8">
      <c r="B755" s="18">
        <v>8010</v>
      </c>
      <c r="C755" s="17">
        <v>32</v>
      </c>
      <c r="D755" s="17" t="s">
        <v>2404</v>
      </c>
      <c r="E755" s="17">
        <v>33</v>
      </c>
      <c r="F755" s="19">
        <v>78375</v>
      </c>
      <c r="G755" s="19">
        <v>474708</v>
      </c>
      <c r="H755" s="8"/>
    </row>
    <row r="756" spans="2:8">
      <c r="B756" s="18">
        <v>8010</v>
      </c>
      <c r="C756" s="17">
        <v>33</v>
      </c>
      <c r="D756" s="17" t="s">
        <v>2405</v>
      </c>
      <c r="E756" s="17">
        <v>34</v>
      </c>
      <c r="F756" s="19">
        <v>92099</v>
      </c>
      <c r="G756" s="19">
        <v>566807</v>
      </c>
      <c r="H756" s="8"/>
    </row>
    <row r="757" spans="2:8">
      <c r="B757" s="18">
        <v>8010</v>
      </c>
      <c r="C757" s="17">
        <v>34</v>
      </c>
      <c r="D757" s="17" t="s">
        <v>2406</v>
      </c>
      <c r="E757" s="17">
        <v>35</v>
      </c>
      <c r="F757" s="19">
        <v>107814</v>
      </c>
      <c r="G757" s="19">
        <v>674621</v>
      </c>
      <c r="H757" s="8"/>
    </row>
    <row r="758" spans="2:8">
      <c r="B758" s="18">
        <v>8010</v>
      </c>
      <c r="C758" s="17">
        <v>35</v>
      </c>
      <c r="D758" s="17" t="s">
        <v>2407</v>
      </c>
      <c r="E758" s="17">
        <v>36</v>
      </c>
      <c r="F758" s="19">
        <v>125742</v>
      </c>
      <c r="G758" s="19">
        <v>800363</v>
      </c>
      <c r="H758" s="8"/>
    </row>
    <row r="759" spans="2:8">
      <c r="B759" s="18">
        <v>8010</v>
      </c>
      <c r="C759" s="17">
        <v>36</v>
      </c>
      <c r="D759" s="17" t="s">
        <v>2408</v>
      </c>
      <c r="E759" s="17">
        <v>37</v>
      </c>
      <c r="F759" s="19">
        <v>146122</v>
      </c>
      <c r="G759" s="19">
        <v>946485</v>
      </c>
      <c r="H759" s="8"/>
    </row>
    <row r="760" spans="2:8">
      <c r="B760" s="18">
        <v>8010</v>
      </c>
      <c r="C760" s="17">
        <v>37</v>
      </c>
      <c r="D760" s="17" t="s">
        <v>2409</v>
      </c>
      <c r="E760" s="17">
        <v>38</v>
      </c>
      <c r="F760" s="19">
        <v>169210</v>
      </c>
      <c r="G760" s="19">
        <v>1115695</v>
      </c>
      <c r="H760" s="8"/>
    </row>
    <row r="761" spans="2:8">
      <c r="B761" s="18">
        <v>8010</v>
      </c>
      <c r="C761" s="17">
        <v>38</v>
      </c>
      <c r="D761" s="17" t="s">
        <v>2410</v>
      </c>
      <c r="E761" s="17">
        <v>39</v>
      </c>
      <c r="F761" s="19">
        <v>195283</v>
      </c>
      <c r="G761" s="19">
        <v>1310978</v>
      </c>
      <c r="H761" s="8"/>
    </row>
    <row r="762" spans="2:8">
      <c r="B762" s="18">
        <v>8010</v>
      </c>
      <c r="C762" s="17">
        <v>39</v>
      </c>
      <c r="D762" s="17" t="s">
        <v>2411</v>
      </c>
      <c r="E762" s="17">
        <v>40</v>
      </c>
      <c r="F762" s="19">
        <v>224636</v>
      </c>
      <c r="G762" s="19">
        <v>1535614</v>
      </c>
    </row>
    <row r="763" spans="2:8">
      <c r="B763" s="18">
        <v>8010</v>
      </c>
      <c r="C763" s="17">
        <v>40</v>
      </c>
      <c r="D763" s="17" t="s">
        <v>2412</v>
      </c>
      <c r="E763" s="17">
        <v>41</v>
      </c>
      <c r="F763" s="19">
        <v>257583</v>
      </c>
      <c r="G763" s="19">
        <v>1793197</v>
      </c>
      <c r="H763" s="8"/>
    </row>
    <row r="764" spans="2:8">
      <c r="B764" s="18">
        <v>8010</v>
      </c>
      <c r="C764" s="17">
        <v>41</v>
      </c>
      <c r="D764" s="17" t="s">
        <v>2413</v>
      </c>
      <c r="E764" s="17">
        <v>42</v>
      </c>
      <c r="F764" s="19">
        <v>294462</v>
      </c>
      <c r="G764" s="19">
        <v>2087659</v>
      </c>
      <c r="H764" s="8"/>
    </row>
    <row r="765" spans="2:8">
      <c r="B765" s="18">
        <v>8010</v>
      </c>
      <c r="C765" s="17">
        <v>42</v>
      </c>
      <c r="D765" s="17" t="s">
        <v>2414</v>
      </c>
      <c r="E765" s="17">
        <v>43</v>
      </c>
      <c r="F765" s="19">
        <v>335632</v>
      </c>
      <c r="G765" s="19">
        <v>2423291</v>
      </c>
      <c r="H765" s="8"/>
    </row>
    <row r="766" spans="2:8">
      <c r="B766" s="18">
        <v>8010</v>
      </c>
      <c r="C766" s="17">
        <v>43</v>
      </c>
      <c r="D766" s="17" t="s">
        <v>2415</v>
      </c>
      <c r="E766" s="17">
        <v>44</v>
      </c>
      <c r="F766" s="19">
        <v>381474</v>
      </c>
      <c r="G766" s="19">
        <v>2804765</v>
      </c>
      <c r="H766" s="8"/>
    </row>
    <row r="767" spans="2:8">
      <c r="B767" s="18">
        <v>8010</v>
      </c>
      <c r="C767" s="17">
        <v>44</v>
      </c>
      <c r="D767" s="17" t="s">
        <v>2416</v>
      </c>
      <c r="E767" s="17">
        <v>45</v>
      </c>
      <c r="F767" s="19">
        <v>432392</v>
      </c>
      <c r="G767" s="19">
        <v>3237157</v>
      </c>
      <c r="H767" s="8"/>
    </row>
    <row r="768" spans="2:8">
      <c r="B768" s="18">
        <v>8010</v>
      </c>
      <c r="C768" s="17">
        <v>45</v>
      </c>
      <c r="D768" s="17" t="s">
        <v>2417</v>
      </c>
      <c r="E768" s="17">
        <v>46</v>
      </c>
      <c r="F768" s="19">
        <v>488817</v>
      </c>
      <c r="G768" s="19">
        <v>3725974</v>
      </c>
      <c r="H768" s="8"/>
    </row>
    <row r="769" spans="2:8">
      <c r="B769" s="18">
        <v>8010</v>
      </c>
      <c r="C769" s="17">
        <v>46</v>
      </c>
      <c r="D769" s="17" t="s">
        <v>2418</v>
      </c>
      <c r="E769" s="17">
        <v>47</v>
      </c>
      <c r="F769" s="19">
        <v>551205</v>
      </c>
      <c r="G769" s="19">
        <v>4277179</v>
      </c>
      <c r="H769" s="8"/>
    </row>
    <row r="770" spans="2:8">
      <c r="B770" s="18">
        <v>8010</v>
      </c>
      <c r="C770" s="17">
        <v>47</v>
      </c>
      <c r="D770" s="17" t="s">
        <v>2419</v>
      </c>
      <c r="E770" s="17">
        <v>48</v>
      </c>
      <c r="F770" s="19">
        <v>620035</v>
      </c>
      <c r="G770" s="19">
        <v>4897214</v>
      </c>
      <c r="H770" s="8"/>
    </row>
    <row r="771" spans="2:8">
      <c r="B771" s="18">
        <v>8010</v>
      </c>
      <c r="C771" s="17">
        <v>48</v>
      </c>
      <c r="D771" s="17" t="s">
        <v>2420</v>
      </c>
      <c r="E771" s="17">
        <v>49</v>
      </c>
      <c r="F771" s="19">
        <v>695817</v>
      </c>
      <c r="G771" s="19">
        <v>5593031</v>
      </c>
      <c r="H771" s="8"/>
    </row>
    <row r="772" spans="2:8">
      <c r="B772" s="18">
        <v>8010</v>
      </c>
      <c r="C772" s="17">
        <v>49</v>
      </c>
      <c r="D772" s="17" t="s">
        <v>2421</v>
      </c>
      <c r="E772" s="17">
        <v>50</v>
      </c>
      <c r="F772" s="19">
        <v>779089</v>
      </c>
      <c r="G772" s="19">
        <v>6372120</v>
      </c>
      <c r="H772" s="8"/>
    </row>
    <row r="773" spans="2:8">
      <c r="B773" s="18">
        <v>8010</v>
      </c>
      <c r="C773" s="17">
        <v>50</v>
      </c>
      <c r="D773" s="17" t="s">
        <v>2422</v>
      </c>
      <c r="E773" s="17">
        <v>51</v>
      </c>
      <c r="F773" s="19">
        <v>870416</v>
      </c>
      <c r="G773" s="19">
        <v>7242536</v>
      </c>
      <c r="H773" s="8"/>
    </row>
    <row r="774" spans="2:8">
      <c r="B774" s="18">
        <v>8010</v>
      </c>
      <c r="C774" s="17">
        <v>51</v>
      </c>
      <c r="D774" s="17" t="s">
        <v>2423</v>
      </c>
      <c r="E774" s="17">
        <v>52</v>
      </c>
      <c r="F774" s="23">
        <v>970392</v>
      </c>
      <c r="G774" s="19">
        <v>8212928</v>
      </c>
      <c r="H774" s="8"/>
    </row>
    <row r="775" spans="2:8">
      <c r="B775" s="18">
        <v>8010</v>
      </c>
      <c r="C775" s="17">
        <v>52</v>
      </c>
      <c r="D775" s="17" t="s">
        <v>2424</v>
      </c>
      <c r="E775" s="17">
        <v>53</v>
      </c>
      <c r="F775" s="23">
        <v>1079645</v>
      </c>
      <c r="G775" s="19">
        <v>9292573</v>
      </c>
      <c r="H775" s="8"/>
    </row>
    <row r="776" spans="2:8">
      <c r="B776" s="18">
        <v>8010</v>
      </c>
      <c r="C776" s="17">
        <v>53</v>
      </c>
      <c r="D776" s="17" t="s">
        <v>2425</v>
      </c>
      <c r="E776" s="17">
        <v>54</v>
      </c>
      <c r="F776" s="23">
        <v>1198834</v>
      </c>
      <c r="G776" s="19">
        <v>10491407</v>
      </c>
      <c r="H776" s="8"/>
    </row>
    <row r="777" spans="2:8">
      <c r="B777" s="18">
        <v>8010</v>
      </c>
      <c r="C777" s="17">
        <v>54</v>
      </c>
      <c r="D777" s="17" t="s">
        <v>2426</v>
      </c>
      <c r="E777" s="17">
        <v>55</v>
      </c>
      <c r="F777" s="23">
        <v>1328648</v>
      </c>
      <c r="G777" s="19">
        <v>11820055</v>
      </c>
      <c r="H777" s="8"/>
    </row>
    <row r="778" spans="2:8">
      <c r="B778" s="18">
        <v>8010</v>
      </c>
      <c r="C778" s="17">
        <v>55</v>
      </c>
      <c r="D778" s="17" t="s">
        <v>2427</v>
      </c>
      <c r="E778" s="17">
        <v>56</v>
      </c>
      <c r="F778" s="23">
        <v>1469814</v>
      </c>
      <c r="G778" s="19">
        <v>13289869</v>
      </c>
      <c r="H778" s="8"/>
    </row>
    <row r="779" spans="2:8">
      <c r="B779" s="18">
        <v>8010</v>
      </c>
      <c r="C779" s="17">
        <v>56</v>
      </c>
      <c r="D779" s="17" t="s">
        <v>2428</v>
      </c>
      <c r="E779" s="17">
        <v>57</v>
      </c>
      <c r="F779" s="23">
        <v>1623090</v>
      </c>
      <c r="G779" s="19">
        <v>14912959</v>
      </c>
      <c r="H779" s="8"/>
    </row>
    <row r="780" spans="2:8">
      <c r="B780" s="18">
        <v>8010</v>
      </c>
      <c r="C780" s="17">
        <v>57</v>
      </c>
      <c r="D780" s="17" t="s">
        <v>2429</v>
      </c>
      <c r="E780" s="17">
        <v>58</v>
      </c>
      <c r="F780" s="23">
        <v>1789272</v>
      </c>
      <c r="G780" s="19">
        <v>16702231</v>
      </c>
      <c r="H780" s="8"/>
    </row>
    <row r="781" spans="2:8">
      <c r="B781" s="18">
        <v>8010</v>
      </c>
      <c r="C781" s="17">
        <v>58</v>
      </c>
      <c r="D781" s="17" t="s">
        <v>2430</v>
      </c>
      <c r="E781" s="17">
        <v>59</v>
      </c>
      <c r="F781" s="23">
        <v>1969191</v>
      </c>
      <c r="G781" s="19">
        <v>18671422</v>
      </c>
      <c r="H781" s="8"/>
    </row>
    <row r="782" spans="2:8">
      <c r="B782" s="18">
        <v>8010</v>
      </c>
      <c r="C782" s="17">
        <v>59</v>
      </c>
      <c r="D782" s="17" t="s">
        <v>2431</v>
      </c>
      <c r="E782" s="17">
        <v>60</v>
      </c>
      <c r="F782" s="23">
        <v>2163716</v>
      </c>
      <c r="G782" s="19">
        <v>20835138</v>
      </c>
      <c r="H782" s="8"/>
    </row>
    <row r="783" spans="2:8">
      <c r="B783" s="18">
        <v>8010</v>
      </c>
      <c r="C783" s="17">
        <v>60</v>
      </c>
      <c r="D783" s="17" t="s">
        <v>2432</v>
      </c>
      <c r="E783" s="17">
        <v>61</v>
      </c>
      <c r="F783" s="23">
        <v>2373756</v>
      </c>
      <c r="G783" s="19">
        <v>23208894</v>
      </c>
      <c r="H783" s="8"/>
    </row>
    <row r="784" spans="2:8">
      <c r="B784" s="18">
        <v>8010</v>
      </c>
      <c r="C784" s="17">
        <v>61</v>
      </c>
      <c r="D784" s="17" t="s">
        <v>2433</v>
      </c>
      <c r="E784" s="17">
        <v>62</v>
      </c>
      <c r="F784" s="23">
        <v>2600258</v>
      </c>
      <c r="G784" s="19">
        <v>25809152</v>
      </c>
      <c r="H784" s="8"/>
    </row>
    <row r="785" spans="2:8">
      <c r="B785" s="18">
        <v>8010</v>
      </c>
      <c r="C785" s="17">
        <v>62</v>
      </c>
      <c r="D785" s="17" t="s">
        <v>2434</v>
      </c>
      <c r="E785" s="17">
        <v>63</v>
      </c>
      <c r="F785" s="23">
        <v>2844210</v>
      </c>
      <c r="G785" s="19">
        <v>28653362</v>
      </c>
      <c r="H785" s="8"/>
    </row>
    <row r="786" spans="2:8">
      <c r="B786" s="18">
        <v>8010</v>
      </c>
      <c r="C786" s="17">
        <v>63</v>
      </c>
      <c r="D786" s="17" t="s">
        <v>2435</v>
      </c>
      <c r="E786" s="17">
        <v>64</v>
      </c>
      <c r="F786" s="23">
        <v>3106643</v>
      </c>
      <c r="G786" s="19">
        <v>31760005</v>
      </c>
      <c r="H786" s="8"/>
    </row>
    <row r="787" spans="2:8">
      <c r="B787" s="18">
        <v>8010</v>
      </c>
      <c r="C787" s="17">
        <v>64</v>
      </c>
      <c r="D787" s="17" t="s">
        <v>2436</v>
      </c>
      <c r="E787" s="17">
        <v>65</v>
      </c>
      <c r="F787" s="23">
        <v>3388629</v>
      </c>
      <c r="G787" s="19">
        <v>35148634</v>
      </c>
      <c r="H787" s="8"/>
    </row>
    <row r="788" spans="2:8">
      <c r="B788" s="18">
        <v>8010</v>
      </c>
      <c r="C788" s="17">
        <v>65</v>
      </c>
      <c r="D788" s="17" t="s">
        <v>2437</v>
      </c>
      <c r="E788" s="17">
        <v>66</v>
      </c>
      <c r="F788" s="23">
        <v>3691285</v>
      </c>
      <c r="G788" s="19">
        <v>38839919</v>
      </c>
      <c r="H788" s="8"/>
    </row>
    <row r="789" spans="2:8">
      <c r="B789" s="18">
        <v>8010</v>
      </c>
      <c r="C789" s="17">
        <v>66</v>
      </c>
      <c r="D789" s="17" t="s">
        <v>2438</v>
      </c>
      <c r="E789" s="17">
        <v>67</v>
      </c>
      <c r="F789" s="23">
        <v>4015771</v>
      </c>
      <c r="G789" s="19">
        <v>42855690</v>
      </c>
      <c r="H789" s="8"/>
    </row>
    <row r="790" spans="2:8">
      <c r="B790" s="18">
        <v>8010</v>
      </c>
      <c r="C790" s="17">
        <v>67</v>
      </c>
      <c r="D790" s="17" t="s">
        <v>2439</v>
      </c>
      <c r="E790" s="17">
        <v>68</v>
      </c>
      <c r="F790" s="23">
        <v>4363295</v>
      </c>
      <c r="G790" s="19">
        <v>47218985</v>
      </c>
      <c r="H790" s="8"/>
    </row>
    <row r="791" spans="2:8">
      <c r="B791" s="18">
        <v>8010</v>
      </c>
      <c r="C791" s="17">
        <v>68</v>
      </c>
      <c r="D791" s="17" t="s">
        <v>2440</v>
      </c>
      <c r="E791" s="17">
        <v>69</v>
      </c>
      <c r="F791" s="23">
        <v>4735112</v>
      </c>
      <c r="G791" s="19">
        <v>51954097</v>
      </c>
      <c r="H791" s="8"/>
    </row>
    <row r="792" spans="2:8">
      <c r="B792" s="18">
        <v>8010</v>
      </c>
      <c r="C792" s="17">
        <v>69</v>
      </c>
      <c r="D792" s="17" t="s">
        <v>2441</v>
      </c>
      <c r="E792" s="17">
        <v>70</v>
      </c>
      <c r="F792" s="23">
        <v>5132523</v>
      </c>
      <c r="G792" s="19">
        <v>57086620</v>
      </c>
      <c r="H792" s="8"/>
    </row>
    <row r="793" spans="2:8">
      <c r="B793" s="18">
        <v>8010</v>
      </c>
      <c r="C793" s="17">
        <v>70</v>
      </c>
      <c r="D793" s="17" t="s">
        <v>2442</v>
      </c>
      <c r="E793" s="17">
        <v>71</v>
      </c>
      <c r="F793" s="23">
        <v>5556880</v>
      </c>
      <c r="G793" s="19">
        <v>62643500</v>
      </c>
      <c r="H793" s="8"/>
    </row>
    <row r="794" spans="2:8">
      <c r="B794" s="18">
        <v>8010</v>
      </c>
      <c r="C794" s="17">
        <v>71</v>
      </c>
      <c r="D794" s="17" t="s">
        <v>2443</v>
      </c>
      <c r="E794" s="17">
        <v>72</v>
      </c>
      <c r="F794" s="23">
        <v>6009585</v>
      </c>
      <c r="G794" s="19">
        <v>68653085</v>
      </c>
      <c r="H794" s="8"/>
    </row>
    <row r="795" spans="2:8">
      <c r="B795" s="18">
        <v>8010</v>
      </c>
      <c r="C795" s="17">
        <v>72</v>
      </c>
      <c r="D795" s="17" t="s">
        <v>2444</v>
      </c>
      <c r="E795" s="17">
        <v>73</v>
      </c>
      <c r="F795" s="23">
        <v>6492089</v>
      </c>
      <c r="G795" s="19">
        <v>75145174</v>
      </c>
      <c r="H795" s="8"/>
    </row>
    <row r="796" spans="2:8">
      <c r="B796" s="18">
        <v>8010</v>
      </c>
      <c r="C796" s="17">
        <v>73</v>
      </c>
      <c r="D796" s="17" t="s">
        <v>2445</v>
      </c>
      <c r="E796" s="17">
        <v>74</v>
      </c>
      <c r="F796" s="23">
        <v>7005899</v>
      </c>
      <c r="G796" s="19">
        <v>82151073</v>
      </c>
      <c r="H796" s="8"/>
    </row>
    <row r="797" spans="2:8">
      <c r="B797" s="18">
        <v>8010</v>
      </c>
      <c r="C797" s="17">
        <v>74</v>
      </c>
      <c r="D797" s="17" t="s">
        <v>2446</v>
      </c>
      <c r="E797" s="17">
        <v>75</v>
      </c>
      <c r="F797" s="23">
        <v>7552574</v>
      </c>
      <c r="G797" s="19">
        <v>89703647</v>
      </c>
      <c r="H797" s="8"/>
    </row>
    <row r="798" spans="2:8">
      <c r="B798" s="18">
        <v>8010</v>
      </c>
      <c r="C798" s="17">
        <v>75</v>
      </c>
      <c r="D798" s="17" t="s">
        <v>2447</v>
      </c>
      <c r="E798" s="17">
        <v>76</v>
      </c>
      <c r="F798" s="23">
        <v>8133726</v>
      </c>
      <c r="G798" s="19">
        <v>97837373</v>
      </c>
      <c r="H798" s="8"/>
    </row>
    <row r="799" spans="2:8">
      <c r="B799" s="18">
        <v>8010</v>
      </c>
      <c r="C799" s="17">
        <v>76</v>
      </c>
      <c r="D799" s="17" t="s">
        <v>2448</v>
      </c>
      <c r="E799" s="17">
        <v>77</v>
      </c>
      <c r="F799" s="23">
        <v>8751026</v>
      </c>
      <c r="G799" s="19">
        <v>106588399</v>
      </c>
      <c r="H799" s="8"/>
    </row>
    <row r="800" spans="2:8">
      <c r="B800" s="18">
        <v>8010</v>
      </c>
      <c r="C800" s="17">
        <v>77</v>
      </c>
      <c r="D800" s="17" t="s">
        <v>2449</v>
      </c>
      <c r="E800" s="17">
        <v>78</v>
      </c>
      <c r="F800" s="23">
        <v>9406200</v>
      </c>
      <c r="G800" s="19">
        <v>115994599</v>
      </c>
      <c r="H800" s="8"/>
    </row>
    <row r="801" spans="2:8">
      <c r="B801" s="18">
        <v>8010</v>
      </c>
      <c r="C801" s="17">
        <v>78</v>
      </c>
      <c r="D801" s="17" t="s">
        <v>2450</v>
      </c>
      <c r="E801" s="17">
        <v>79</v>
      </c>
      <c r="F801" s="23">
        <v>10101033</v>
      </c>
      <c r="G801" s="19">
        <v>126095632</v>
      </c>
      <c r="H801" s="8"/>
    </row>
    <row r="802" spans="2:8">
      <c r="B802" s="18">
        <v>8010</v>
      </c>
      <c r="C802" s="17">
        <v>79</v>
      </c>
      <c r="D802" s="17" t="s">
        <v>2451</v>
      </c>
      <c r="E802" s="17">
        <v>80</v>
      </c>
      <c r="F802" s="23">
        <v>10837368</v>
      </c>
      <c r="G802" s="19">
        <v>136933000</v>
      </c>
      <c r="H802" s="8"/>
    </row>
    <row r="803" spans="2:8">
      <c r="B803" s="18">
        <v>8010</v>
      </c>
      <c r="C803" s="17">
        <v>80</v>
      </c>
      <c r="D803" s="17" t="s">
        <v>2452</v>
      </c>
      <c r="E803" s="17" t="s">
        <v>1762</v>
      </c>
      <c r="F803" s="23">
        <v>11617109</v>
      </c>
      <c r="G803" s="19">
        <v>148550109</v>
      </c>
      <c r="H803" s="8"/>
    </row>
    <row r="804" spans="2:8">
      <c r="B804" s="18">
        <v>8011</v>
      </c>
      <c r="C804" s="17">
        <v>1</v>
      </c>
      <c r="D804" s="17" t="s">
        <v>2453</v>
      </c>
      <c r="E804" s="17">
        <v>2</v>
      </c>
      <c r="F804" s="19">
        <v>0</v>
      </c>
      <c r="G804" s="19">
        <v>0</v>
      </c>
      <c r="H804" s="8"/>
    </row>
    <row r="805" spans="2:8">
      <c r="B805" s="18">
        <v>8011</v>
      </c>
      <c r="C805" s="17">
        <v>2</v>
      </c>
      <c r="D805" s="17" t="s">
        <v>2454</v>
      </c>
      <c r="E805" s="17">
        <v>3</v>
      </c>
      <c r="F805" s="19">
        <v>110</v>
      </c>
      <c r="G805" s="19">
        <v>110</v>
      </c>
      <c r="H805" s="8"/>
    </row>
    <row r="806" spans="2:8">
      <c r="B806" s="18">
        <v>8011</v>
      </c>
      <c r="C806" s="17">
        <v>3</v>
      </c>
      <c r="D806" s="17" t="s">
        <v>2455</v>
      </c>
      <c r="E806" s="17">
        <v>4</v>
      </c>
      <c r="F806" s="19">
        <v>230</v>
      </c>
      <c r="G806" s="19">
        <v>340</v>
      </c>
      <c r="H806" s="8"/>
    </row>
    <row r="807" spans="2:8">
      <c r="B807" s="18">
        <v>8011</v>
      </c>
      <c r="C807" s="17">
        <v>4</v>
      </c>
      <c r="D807" s="17" t="s">
        <v>2456</v>
      </c>
      <c r="E807" s="17">
        <v>5</v>
      </c>
      <c r="F807" s="19">
        <v>360</v>
      </c>
      <c r="G807" s="19">
        <v>700</v>
      </c>
      <c r="H807" s="8"/>
    </row>
    <row r="808" spans="2:8">
      <c r="B808" s="18">
        <v>8011</v>
      </c>
      <c r="C808" s="17">
        <v>5</v>
      </c>
      <c r="D808" s="17" t="s">
        <v>2457</v>
      </c>
      <c r="E808" s="17">
        <v>6</v>
      </c>
      <c r="F808" s="19">
        <v>501</v>
      </c>
      <c r="G808" s="19">
        <v>1201</v>
      </c>
      <c r="H808" s="8"/>
    </row>
    <row r="809" spans="2:8">
      <c r="B809" s="18">
        <v>8011</v>
      </c>
      <c r="C809" s="17">
        <v>6</v>
      </c>
      <c r="D809" s="17" t="s">
        <v>2458</v>
      </c>
      <c r="E809" s="17">
        <v>7</v>
      </c>
      <c r="F809" s="19">
        <v>654</v>
      </c>
      <c r="G809" s="19">
        <v>1855</v>
      </c>
      <c r="H809" s="8"/>
    </row>
    <row r="810" spans="2:8">
      <c r="B810" s="18">
        <v>8011</v>
      </c>
      <c r="C810" s="17">
        <v>7</v>
      </c>
      <c r="D810" s="17" t="s">
        <v>2098</v>
      </c>
      <c r="E810" s="17">
        <v>8</v>
      </c>
      <c r="F810" s="19">
        <v>821</v>
      </c>
      <c r="G810" s="19">
        <v>2676</v>
      </c>
      <c r="H810" s="8"/>
    </row>
    <row r="811" spans="2:8">
      <c r="B811" s="18">
        <v>8011</v>
      </c>
      <c r="C811" s="17">
        <v>8</v>
      </c>
      <c r="D811" s="17" t="s">
        <v>2459</v>
      </c>
      <c r="E811" s="17">
        <v>9</v>
      </c>
      <c r="F811" s="19">
        <v>1006</v>
      </c>
      <c r="G811" s="19">
        <v>3682</v>
      </c>
      <c r="H811" s="8"/>
    </row>
    <row r="812" spans="2:8">
      <c r="B812" s="18">
        <v>8011</v>
      </c>
      <c r="C812" s="17">
        <v>9</v>
      </c>
      <c r="D812" s="17" t="s">
        <v>2460</v>
      </c>
      <c r="E812" s="17">
        <v>10</v>
      </c>
      <c r="F812" s="19">
        <v>1214</v>
      </c>
      <c r="G812" s="19">
        <v>4896</v>
      </c>
      <c r="H812" s="8"/>
    </row>
    <row r="813" spans="2:8">
      <c r="B813" s="18">
        <v>8011</v>
      </c>
      <c r="C813" s="17">
        <v>10</v>
      </c>
      <c r="D813" s="17" t="s">
        <v>2461</v>
      </c>
      <c r="E813" s="17">
        <v>11</v>
      </c>
      <c r="F813" s="19">
        <v>1453</v>
      </c>
      <c r="G813" s="19">
        <v>6349</v>
      </c>
      <c r="H813" s="8"/>
    </row>
    <row r="814" spans="2:8">
      <c r="B814" s="18">
        <v>8011</v>
      </c>
      <c r="C814" s="17">
        <v>11</v>
      </c>
      <c r="D814" s="17" t="s">
        <v>2462</v>
      </c>
      <c r="E814" s="17">
        <v>12</v>
      </c>
      <c r="F814" s="19">
        <v>1732</v>
      </c>
      <c r="G814" s="19">
        <v>8081</v>
      </c>
      <c r="H814" s="8"/>
    </row>
    <row r="815" spans="2:8">
      <c r="B815" s="18">
        <v>8011</v>
      </c>
      <c r="C815" s="17">
        <v>12</v>
      </c>
      <c r="D815" s="17" t="s">
        <v>2463</v>
      </c>
      <c r="E815" s="17">
        <v>13</v>
      </c>
      <c r="F815" s="19">
        <v>2063</v>
      </c>
      <c r="G815" s="19">
        <v>10144</v>
      </c>
      <c r="H815" s="8"/>
    </row>
    <row r="816" spans="2:8">
      <c r="B816" s="18">
        <v>8011</v>
      </c>
      <c r="C816" s="17">
        <v>13</v>
      </c>
      <c r="D816" s="17" t="s">
        <v>2464</v>
      </c>
      <c r="E816" s="17">
        <v>14</v>
      </c>
      <c r="F816" s="19">
        <v>2462</v>
      </c>
      <c r="G816" s="19">
        <v>12606</v>
      </c>
      <c r="H816" s="8"/>
    </row>
    <row r="817" spans="2:8">
      <c r="B817" s="18">
        <v>8011</v>
      </c>
      <c r="C817" s="17">
        <v>14</v>
      </c>
      <c r="D817" s="17" t="s">
        <v>2465</v>
      </c>
      <c r="E817" s="17">
        <v>15</v>
      </c>
      <c r="F817" s="19">
        <v>2949</v>
      </c>
      <c r="G817" s="19">
        <v>15555</v>
      </c>
      <c r="H817" s="8"/>
    </row>
    <row r="818" spans="2:8">
      <c r="B818" s="18">
        <v>8011</v>
      </c>
      <c r="C818" s="17">
        <v>15</v>
      </c>
      <c r="D818" s="17" t="s">
        <v>2466</v>
      </c>
      <c r="E818" s="17">
        <v>16</v>
      </c>
      <c r="F818" s="19">
        <v>3548</v>
      </c>
      <c r="G818" s="19">
        <v>19103</v>
      </c>
      <c r="H818" s="8"/>
    </row>
    <row r="819" spans="2:8">
      <c r="B819" s="18">
        <v>8011</v>
      </c>
      <c r="C819" s="17">
        <v>16</v>
      </c>
      <c r="D819" s="17" t="s">
        <v>2467</v>
      </c>
      <c r="E819" s="17">
        <v>17</v>
      </c>
      <c r="F819" s="19">
        <v>4288</v>
      </c>
      <c r="G819" s="19">
        <v>23391</v>
      </c>
      <c r="H819" s="8"/>
    </row>
    <row r="820" spans="2:8">
      <c r="B820" s="18">
        <v>8011</v>
      </c>
      <c r="C820" s="17">
        <v>17</v>
      </c>
      <c r="D820" s="17" t="s">
        <v>2468</v>
      </c>
      <c r="E820" s="17">
        <v>18</v>
      </c>
      <c r="F820" s="19">
        <v>5203</v>
      </c>
      <c r="G820" s="19">
        <v>28594</v>
      </c>
      <c r="H820" s="8"/>
    </row>
    <row r="821" spans="2:8">
      <c r="B821" s="18">
        <v>8011</v>
      </c>
      <c r="C821" s="17">
        <v>18</v>
      </c>
      <c r="D821" s="17" t="s">
        <v>2112</v>
      </c>
      <c r="E821" s="17">
        <v>19</v>
      </c>
      <c r="F821" s="19">
        <v>6333</v>
      </c>
      <c r="G821" s="19">
        <v>34927</v>
      </c>
      <c r="H821" s="8"/>
    </row>
    <row r="822" spans="2:8">
      <c r="B822" s="18">
        <v>8011</v>
      </c>
      <c r="C822" s="17">
        <v>19</v>
      </c>
      <c r="D822" s="17" t="s">
        <v>2469</v>
      </c>
      <c r="E822" s="17">
        <v>20</v>
      </c>
      <c r="F822" s="19">
        <v>7726</v>
      </c>
      <c r="G822" s="19">
        <v>42653</v>
      </c>
      <c r="H822" s="8"/>
    </row>
    <row r="823" spans="2:8">
      <c r="B823" s="18">
        <v>8011</v>
      </c>
      <c r="C823" s="17">
        <v>20</v>
      </c>
      <c r="D823" s="17" t="s">
        <v>2470</v>
      </c>
      <c r="E823" s="17">
        <v>21</v>
      </c>
      <c r="F823" s="19">
        <v>9436</v>
      </c>
      <c r="G823" s="19">
        <v>52089</v>
      </c>
      <c r="H823" s="8"/>
    </row>
    <row r="824" spans="2:8">
      <c r="B824" s="18">
        <v>8011</v>
      </c>
      <c r="C824" s="17">
        <v>21</v>
      </c>
      <c r="D824" s="17" t="s">
        <v>2471</v>
      </c>
      <c r="E824" s="17">
        <v>22</v>
      </c>
      <c r="F824" s="19">
        <v>11524</v>
      </c>
      <c r="G824" s="19">
        <v>63613</v>
      </c>
      <c r="H824" s="8"/>
    </row>
    <row r="825" spans="2:8">
      <c r="B825" s="18">
        <v>8011</v>
      </c>
      <c r="C825" s="17">
        <v>22</v>
      </c>
      <c r="D825" s="17" t="s">
        <v>2472</v>
      </c>
      <c r="E825" s="17">
        <v>23</v>
      </c>
      <c r="F825" s="19">
        <v>14062</v>
      </c>
      <c r="G825" s="19">
        <v>77675</v>
      </c>
      <c r="H825" s="8"/>
    </row>
    <row r="826" spans="2:8">
      <c r="B826" s="18">
        <v>8011</v>
      </c>
      <c r="C826" s="17">
        <v>23</v>
      </c>
      <c r="D826" s="17" t="s">
        <v>2473</v>
      </c>
      <c r="E826" s="17">
        <v>24</v>
      </c>
      <c r="F826" s="19">
        <v>17128</v>
      </c>
      <c r="G826" s="19">
        <v>94803</v>
      </c>
      <c r="H826" s="8"/>
    </row>
    <row r="827" spans="2:8">
      <c r="B827" s="18">
        <v>8011</v>
      </c>
      <c r="C827" s="17">
        <v>24</v>
      </c>
      <c r="D827" s="17" t="s">
        <v>2474</v>
      </c>
      <c r="E827" s="17">
        <v>25</v>
      </c>
      <c r="F827" s="19">
        <v>20813</v>
      </c>
      <c r="G827" s="19">
        <v>115616</v>
      </c>
      <c r="H827" s="8"/>
    </row>
    <row r="828" spans="2:8">
      <c r="B828" s="18">
        <v>8011</v>
      </c>
      <c r="C828" s="17">
        <v>25</v>
      </c>
      <c r="D828" s="17" t="s">
        <v>2475</v>
      </c>
      <c r="E828" s="17">
        <v>26</v>
      </c>
      <c r="F828" s="19">
        <v>25216</v>
      </c>
      <c r="G828" s="19">
        <v>140832</v>
      </c>
      <c r="H828" s="8"/>
    </row>
    <row r="829" spans="2:8">
      <c r="B829" s="18">
        <v>8011</v>
      </c>
      <c r="C829" s="17">
        <v>26</v>
      </c>
      <c r="D829" s="17" t="s">
        <v>2476</v>
      </c>
      <c r="E829" s="17">
        <v>27</v>
      </c>
      <c r="F829" s="19">
        <v>30448</v>
      </c>
      <c r="G829" s="19">
        <v>171280</v>
      </c>
      <c r="H829" s="8"/>
    </row>
    <row r="830" spans="2:8">
      <c r="B830" s="18">
        <v>8011</v>
      </c>
      <c r="C830" s="17">
        <v>27</v>
      </c>
      <c r="D830" s="17" t="s">
        <v>2477</v>
      </c>
      <c r="E830" s="17">
        <v>28</v>
      </c>
      <c r="F830" s="19">
        <v>36633</v>
      </c>
      <c r="G830" s="19">
        <v>207913</v>
      </c>
      <c r="H830" s="8"/>
    </row>
    <row r="831" spans="2:8">
      <c r="B831" s="18">
        <v>8011</v>
      </c>
      <c r="C831" s="17">
        <v>28</v>
      </c>
      <c r="D831" s="17" t="s">
        <v>2478</v>
      </c>
      <c r="E831" s="17">
        <v>29</v>
      </c>
      <c r="F831" s="19">
        <v>43906</v>
      </c>
      <c r="G831" s="19">
        <v>251819</v>
      </c>
      <c r="H831" s="8"/>
    </row>
    <row r="832" spans="2:8">
      <c r="B832" s="18">
        <v>8011</v>
      </c>
      <c r="C832" s="17">
        <v>29</v>
      </c>
      <c r="D832" s="17" t="s">
        <v>2128</v>
      </c>
      <c r="E832" s="17">
        <v>30</v>
      </c>
      <c r="F832" s="19">
        <v>52417</v>
      </c>
      <c r="G832" s="19">
        <v>304236</v>
      </c>
      <c r="H832" s="8"/>
    </row>
    <row r="833" spans="2:8">
      <c r="B833" s="18">
        <v>8011</v>
      </c>
      <c r="C833" s="17">
        <v>30</v>
      </c>
      <c r="D833" s="17" t="s">
        <v>2479</v>
      </c>
      <c r="E833" s="17">
        <v>31</v>
      </c>
      <c r="F833" s="19">
        <v>62329</v>
      </c>
      <c r="G833" s="19">
        <v>366565</v>
      </c>
      <c r="H833" s="8"/>
    </row>
    <row r="834" spans="2:8">
      <c r="B834" s="18">
        <v>8011</v>
      </c>
      <c r="C834" s="17">
        <v>31</v>
      </c>
      <c r="D834" s="17" t="s">
        <v>2480</v>
      </c>
      <c r="E834" s="17">
        <v>32</v>
      </c>
      <c r="F834" s="19">
        <v>73820</v>
      </c>
      <c r="G834" s="19">
        <v>440385</v>
      </c>
      <c r="H834" s="8"/>
    </row>
    <row r="835" spans="2:8">
      <c r="B835" s="18">
        <v>8011</v>
      </c>
      <c r="C835" s="17">
        <v>32</v>
      </c>
      <c r="D835" s="17" t="s">
        <v>2481</v>
      </c>
      <c r="E835" s="17">
        <v>33</v>
      </c>
      <c r="F835" s="19">
        <v>87084</v>
      </c>
      <c r="G835" s="19">
        <v>527469</v>
      </c>
      <c r="H835" s="8"/>
    </row>
    <row r="836" spans="2:8">
      <c r="B836" s="18">
        <v>8011</v>
      </c>
      <c r="C836" s="17">
        <v>33</v>
      </c>
      <c r="D836" s="17" t="s">
        <v>2482</v>
      </c>
      <c r="E836" s="17">
        <v>34</v>
      </c>
      <c r="F836" s="19">
        <v>102333</v>
      </c>
      <c r="G836" s="19">
        <v>629802</v>
      </c>
      <c r="H836" s="8"/>
    </row>
    <row r="837" spans="2:8">
      <c r="B837" s="18">
        <v>8011</v>
      </c>
      <c r="C837" s="17">
        <v>34</v>
      </c>
      <c r="D837" s="17" t="s">
        <v>2483</v>
      </c>
      <c r="E837" s="17">
        <v>35</v>
      </c>
      <c r="F837" s="19">
        <v>119794</v>
      </c>
      <c r="G837" s="19">
        <v>749596</v>
      </c>
      <c r="H837" s="8"/>
    </row>
    <row r="838" spans="2:8">
      <c r="B838" s="18">
        <v>8011</v>
      </c>
      <c r="C838" s="17">
        <v>35</v>
      </c>
      <c r="D838" s="17" t="s">
        <v>2484</v>
      </c>
      <c r="E838" s="17">
        <v>36</v>
      </c>
      <c r="F838" s="19">
        <v>139714</v>
      </c>
      <c r="G838" s="19">
        <v>889310</v>
      </c>
      <c r="H838" s="8"/>
    </row>
    <row r="839" spans="2:8">
      <c r="B839" s="18">
        <v>8011</v>
      </c>
      <c r="C839" s="17">
        <v>36</v>
      </c>
      <c r="D839" s="17" t="s">
        <v>2485</v>
      </c>
      <c r="E839" s="17">
        <v>37</v>
      </c>
      <c r="F839" s="19">
        <v>162358</v>
      </c>
      <c r="G839" s="19">
        <v>1051668</v>
      </c>
      <c r="H839" s="8"/>
    </row>
    <row r="840" spans="2:8">
      <c r="B840" s="18">
        <v>8011</v>
      </c>
      <c r="C840" s="17">
        <v>37</v>
      </c>
      <c r="D840" s="17" t="s">
        <v>2486</v>
      </c>
      <c r="E840" s="17">
        <v>38</v>
      </c>
      <c r="F840" s="19">
        <v>188012</v>
      </c>
      <c r="G840" s="19">
        <v>1239680</v>
      </c>
      <c r="H840" s="8"/>
    </row>
    <row r="841" spans="2:8">
      <c r="B841" s="18">
        <v>8011</v>
      </c>
      <c r="C841" s="17">
        <v>38</v>
      </c>
      <c r="D841" s="17" t="s">
        <v>2487</v>
      </c>
      <c r="E841" s="17">
        <v>39</v>
      </c>
      <c r="F841" s="19">
        <v>216982</v>
      </c>
      <c r="G841" s="19">
        <v>1456662</v>
      </c>
      <c r="H841" s="8"/>
    </row>
    <row r="842" spans="2:8">
      <c r="B842" s="18">
        <v>8011</v>
      </c>
      <c r="C842" s="17">
        <v>39</v>
      </c>
      <c r="D842" s="17" t="s">
        <v>2488</v>
      </c>
      <c r="E842" s="17">
        <v>40</v>
      </c>
      <c r="F842" s="19">
        <v>249596</v>
      </c>
      <c r="G842" s="19">
        <v>1706258</v>
      </c>
      <c r="H842" s="8"/>
    </row>
    <row r="843" spans="2:8">
      <c r="B843" s="18">
        <v>8011</v>
      </c>
      <c r="C843" s="17">
        <v>40</v>
      </c>
      <c r="D843" s="17" t="s">
        <v>2144</v>
      </c>
      <c r="E843" s="17">
        <v>41</v>
      </c>
      <c r="F843" s="19">
        <v>286204</v>
      </c>
      <c r="G843" s="19">
        <v>1992462</v>
      </c>
    </row>
    <row r="844" spans="2:8">
      <c r="B844" s="18">
        <v>8011</v>
      </c>
      <c r="C844" s="17">
        <v>41</v>
      </c>
      <c r="D844" s="17" t="s">
        <v>2489</v>
      </c>
      <c r="E844" s="17">
        <v>42</v>
      </c>
      <c r="F844" s="19">
        <v>327181</v>
      </c>
      <c r="G844" s="19">
        <v>2319643</v>
      </c>
      <c r="H844" s="8"/>
    </row>
    <row r="845" spans="2:8">
      <c r="B845" s="18">
        <v>8011</v>
      </c>
      <c r="C845" s="17">
        <v>42</v>
      </c>
      <c r="D845" s="17" t="s">
        <v>2490</v>
      </c>
      <c r="E845" s="17">
        <v>43</v>
      </c>
      <c r="F845" s="19">
        <v>372925</v>
      </c>
      <c r="G845" s="19">
        <v>2692568</v>
      </c>
      <c r="H845" s="8"/>
    </row>
    <row r="846" spans="2:8">
      <c r="B846" s="18">
        <v>8011</v>
      </c>
      <c r="C846" s="17">
        <v>43</v>
      </c>
      <c r="D846" s="17" t="s">
        <v>2491</v>
      </c>
      <c r="E846" s="17">
        <v>44</v>
      </c>
      <c r="F846" s="19">
        <v>423860</v>
      </c>
      <c r="G846" s="19">
        <v>3116428</v>
      </c>
      <c r="H846" s="8"/>
    </row>
    <row r="847" spans="2:8">
      <c r="B847" s="18">
        <v>8011</v>
      </c>
      <c r="C847" s="17">
        <v>44</v>
      </c>
      <c r="D847" s="17" t="s">
        <v>2492</v>
      </c>
      <c r="E847" s="17">
        <v>45</v>
      </c>
      <c r="F847" s="19">
        <v>480436</v>
      </c>
      <c r="G847" s="19">
        <v>3596864</v>
      </c>
      <c r="H847" s="8"/>
    </row>
    <row r="848" spans="2:8">
      <c r="B848" s="18">
        <v>8011</v>
      </c>
      <c r="C848" s="17">
        <v>45</v>
      </c>
      <c r="D848" s="17" t="s">
        <v>2493</v>
      </c>
      <c r="E848" s="17">
        <v>46</v>
      </c>
      <c r="F848" s="19">
        <v>543131</v>
      </c>
      <c r="G848" s="19">
        <v>4139995</v>
      </c>
      <c r="H848" s="8"/>
    </row>
    <row r="849" spans="2:8">
      <c r="B849" s="18">
        <v>8011</v>
      </c>
      <c r="C849" s="17">
        <v>46</v>
      </c>
      <c r="D849" s="17" t="s">
        <v>2494</v>
      </c>
      <c r="E849" s="17">
        <v>47</v>
      </c>
      <c r="F849" s="19">
        <v>612450</v>
      </c>
      <c r="G849" s="19">
        <v>4752445</v>
      </c>
      <c r="H849" s="8"/>
    </row>
    <row r="850" spans="2:8">
      <c r="B850" s="18">
        <v>8011</v>
      </c>
      <c r="C850" s="17">
        <v>47</v>
      </c>
      <c r="D850" s="17" t="s">
        <v>2495</v>
      </c>
      <c r="E850" s="17">
        <v>48</v>
      </c>
      <c r="F850" s="19">
        <v>688928</v>
      </c>
      <c r="G850" s="19">
        <v>5441373</v>
      </c>
      <c r="H850" s="8"/>
    </row>
    <row r="851" spans="2:8">
      <c r="B851" s="18">
        <v>8011</v>
      </c>
      <c r="C851" s="17">
        <v>48</v>
      </c>
      <c r="D851" s="17" t="s">
        <v>2496</v>
      </c>
      <c r="E851" s="17">
        <v>49</v>
      </c>
      <c r="F851" s="19">
        <v>773131</v>
      </c>
      <c r="G851" s="19">
        <v>6214504</v>
      </c>
      <c r="H851" s="8"/>
    </row>
    <row r="852" spans="2:8">
      <c r="B852" s="18">
        <v>8011</v>
      </c>
      <c r="C852" s="17">
        <v>49</v>
      </c>
      <c r="D852" s="17" t="s">
        <v>2497</v>
      </c>
      <c r="E852" s="17">
        <v>50</v>
      </c>
      <c r="F852" s="19">
        <v>865655</v>
      </c>
      <c r="G852" s="19">
        <v>7080159</v>
      </c>
      <c r="H852" s="8"/>
    </row>
    <row r="853" spans="2:8">
      <c r="B853" s="18">
        <v>8011</v>
      </c>
      <c r="C853" s="17">
        <v>50</v>
      </c>
      <c r="D853" s="17" t="s">
        <v>2498</v>
      </c>
      <c r="E853" s="17">
        <v>51</v>
      </c>
      <c r="F853" s="19">
        <v>967129</v>
      </c>
      <c r="G853" s="19">
        <v>8047288</v>
      </c>
      <c r="H853" s="8"/>
    </row>
    <row r="854" spans="2:8">
      <c r="B854" s="18">
        <v>8011</v>
      </c>
      <c r="C854" s="17">
        <v>51</v>
      </c>
      <c r="D854" s="17" t="s">
        <v>2499</v>
      </c>
      <c r="E854" s="17">
        <v>52</v>
      </c>
      <c r="F854" s="19">
        <v>1078214</v>
      </c>
      <c r="G854" s="19">
        <v>9125502</v>
      </c>
      <c r="H854" s="8"/>
    </row>
    <row r="855" spans="2:8">
      <c r="B855" s="18">
        <v>8011</v>
      </c>
      <c r="C855" s="17">
        <v>52</v>
      </c>
      <c r="D855" s="17" t="s">
        <v>2500</v>
      </c>
      <c r="E855" s="17">
        <v>53</v>
      </c>
      <c r="F855" s="19">
        <v>1199606</v>
      </c>
      <c r="G855" s="19">
        <v>10325108</v>
      </c>
      <c r="H855" s="8"/>
    </row>
    <row r="856" spans="2:8">
      <c r="B856" s="18">
        <v>8011</v>
      </c>
      <c r="C856" s="17">
        <v>53</v>
      </c>
      <c r="D856" s="17" t="s">
        <v>2501</v>
      </c>
      <c r="E856" s="17">
        <v>54</v>
      </c>
      <c r="F856" s="19">
        <v>1332038</v>
      </c>
      <c r="G856" s="19">
        <v>11657146</v>
      </c>
      <c r="H856" s="8"/>
    </row>
    <row r="857" spans="2:8">
      <c r="B857" s="18">
        <v>8011</v>
      </c>
      <c r="C857" s="17">
        <v>54</v>
      </c>
      <c r="D857" s="17" t="s">
        <v>2502</v>
      </c>
      <c r="E857" s="17">
        <v>55</v>
      </c>
      <c r="F857" s="19">
        <v>1476276</v>
      </c>
      <c r="G857" s="19">
        <v>13133422</v>
      </c>
      <c r="H857" s="8"/>
    </row>
    <row r="858" spans="2:8">
      <c r="B858" s="18">
        <v>8011</v>
      </c>
      <c r="C858" s="17">
        <v>55</v>
      </c>
      <c r="D858" s="17" t="s">
        <v>2503</v>
      </c>
      <c r="E858" s="17">
        <v>56</v>
      </c>
      <c r="F858" s="19">
        <v>1633127</v>
      </c>
      <c r="G858" s="19">
        <v>14766549</v>
      </c>
      <c r="H858" s="8"/>
    </row>
    <row r="859" spans="2:8">
      <c r="B859" s="18">
        <v>8011</v>
      </c>
      <c r="C859" s="17">
        <v>56</v>
      </c>
      <c r="D859" s="17" t="s">
        <v>2504</v>
      </c>
      <c r="E859" s="17">
        <v>57</v>
      </c>
      <c r="F859" s="19">
        <v>1803434</v>
      </c>
      <c r="G859" s="19">
        <v>16569983</v>
      </c>
      <c r="H859" s="8"/>
    </row>
    <row r="860" spans="2:8">
      <c r="B860" s="18">
        <v>8011</v>
      </c>
      <c r="C860" s="17">
        <v>57</v>
      </c>
      <c r="D860" s="17" t="s">
        <v>2505</v>
      </c>
      <c r="E860" s="17">
        <v>58</v>
      </c>
      <c r="F860" s="19">
        <v>1988080</v>
      </c>
      <c r="G860" s="19">
        <v>18558063</v>
      </c>
      <c r="H860" s="8"/>
    </row>
    <row r="861" spans="2:8">
      <c r="B861" s="18">
        <v>8011</v>
      </c>
      <c r="C861" s="17">
        <v>58</v>
      </c>
      <c r="D861" s="17" t="s">
        <v>2506</v>
      </c>
      <c r="E861" s="17">
        <v>59</v>
      </c>
      <c r="F861" s="19">
        <v>2187990</v>
      </c>
      <c r="G861" s="19">
        <v>20746053</v>
      </c>
      <c r="H861" s="8"/>
    </row>
    <row r="862" spans="2:8">
      <c r="B862" s="18">
        <v>8011</v>
      </c>
      <c r="C862" s="17">
        <v>59</v>
      </c>
      <c r="D862" s="17" t="s">
        <v>2507</v>
      </c>
      <c r="E862" s="17">
        <v>60</v>
      </c>
      <c r="F862" s="19">
        <v>2404129</v>
      </c>
      <c r="G862" s="19">
        <v>23150182</v>
      </c>
      <c r="H862" s="8"/>
    </row>
    <row r="863" spans="2:8">
      <c r="B863" s="18">
        <v>8011</v>
      </c>
      <c r="C863" s="17">
        <v>60</v>
      </c>
      <c r="D863" s="17" t="s">
        <v>2508</v>
      </c>
      <c r="E863" s="17">
        <v>61</v>
      </c>
      <c r="F863" s="19">
        <v>2637507</v>
      </c>
      <c r="G863" s="19">
        <v>25787689</v>
      </c>
      <c r="H863" s="8"/>
    </row>
    <row r="864" spans="2:8">
      <c r="B864" s="18">
        <v>8011</v>
      </c>
      <c r="C864" s="17">
        <v>61</v>
      </c>
      <c r="D864" s="17" t="s">
        <v>2509</v>
      </c>
      <c r="E864" s="17">
        <v>62</v>
      </c>
      <c r="F864" s="19">
        <v>2889176</v>
      </c>
      <c r="G864" s="19">
        <v>28676865</v>
      </c>
      <c r="H864" s="8"/>
    </row>
    <row r="865" spans="2:8">
      <c r="B865" s="18">
        <v>8011</v>
      </c>
      <c r="C865" s="17">
        <v>62</v>
      </c>
      <c r="D865" s="17" t="s">
        <v>2510</v>
      </c>
      <c r="E865" s="17">
        <v>63</v>
      </c>
      <c r="F865" s="19">
        <v>3160234</v>
      </c>
      <c r="G865" s="19">
        <v>31837099</v>
      </c>
      <c r="H865" s="8"/>
    </row>
    <row r="866" spans="2:8">
      <c r="B866" s="18">
        <v>8011</v>
      </c>
      <c r="C866" s="17">
        <v>63</v>
      </c>
      <c r="D866" s="17" t="s">
        <v>2511</v>
      </c>
      <c r="E866" s="17">
        <v>64</v>
      </c>
      <c r="F866" s="19">
        <v>3451826</v>
      </c>
      <c r="G866" s="19">
        <v>35288925</v>
      </c>
      <c r="H866" s="8"/>
    </row>
    <row r="867" spans="2:8">
      <c r="B867" s="18">
        <v>8011</v>
      </c>
      <c r="C867" s="17">
        <v>64</v>
      </c>
      <c r="D867" s="17" t="s">
        <v>2512</v>
      </c>
      <c r="E867" s="17">
        <v>65</v>
      </c>
      <c r="F867" s="19">
        <v>3765144</v>
      </c>
      <c r="G867" s="19">
        <v>39054069</v>
      </c>
      <c r="H867" s="8"/>
    </row>
    <row r="868" spans="2:8">
      <c r="B868" s="18">
        <v>8011</v>
      </c>
      <c r="C868" s="17">
        <v>65</v>
      </c>
      <c r="D868" s="17" t="s">
        <v>2513</v>
      </c>
      <c r="E868" s="17">
        <v>66</v>
      </c>
      <c r="F868" s="19">
        <v>4101428</v>
      </c>
      <c r="G868" s="19">
        <v>43155497</v>
      </c>
      <c r="H868" s="8"/>
    </row>
    <row r="869" spans="2:8">
      <c r="B869" s="18">
        <v>8011</v>
      </c>
      <c r="C869" s="17">
        <v>66</v>
      </c>
      <c r="D869" s="17" t="s">
        <v>2514</v>
      </c>
      <c r="E869" s="17">
        <v>67</v>
      </c>
      <c r="F869" s="19">
        <v>4461968</v>
      </c>
      <c r="G869" s="19">
        <v>47617465</v>
      </c>
      <c r="H869" s="8"/>
    </row>
    <row r="870" spans="2:8">
      <c r="B870" s="18">
        <v>8011</v>
      </c>
      <c r="C870" s="17">
        <v>67</v>
      </c>
      <c r="D870" s="17" t="s">
        <v>2515</v>
      </c>
      <c r="E870" s="17">
        <v>68</v>
      </c>
      <c r="F870" s="19">
        <v>4848106</v>
      </c>
      <c r="G870" s="19">
        <v>52465571</v>
      </c>
      <c r="H870" s="8"/>
    </row>
    <row r="871" spans="2:8">
      <c r="B871" s="18">
        <v>8011</v>
      </c>
      <c r="C871" s="17">
        <v>68</v>
      </c>
      <c r="D871" s="17" t="s">
        <v>2516</v>
      </c>
      <c r="E871" s="17">
        <v>69</v>
      </c>
      <c r="F871" s="19">
        <v>5261236</v>
      </c>
      <c r="G871" s="19">
        <v>57726807</v>
      </c>
      <c r="H871" s="8"/>
    </row>
    <row r="872" spans="2:8">
      <c r="B872" s="18">
        <v>8011</v>
      </c>
      <c r="C872" s="17">
        <v>69</v>
      </c>
      <c r="D872" s="17" t="s">
        <v>2517</v>
      </c>
      <c r="E872" s="17">
        <v>70</v>
      </c>
      <c r="F872" s="19">
        <v>5702804</v>
      </c>
      <c r="G872" s="19">
        <v>63429611</v>
      </c>
      <c r="H872" s="8"/>
    </row>
    <row r="873" spans="2:8">
      <c r="B873" s="18">
        <v>8011</v>
      </c>
      <c r="C873" s="17">
        <v>70</v>
      </c>
      <c r="D873" s="17" t="s">
        <v>2518</v>
      </c>
      <c r="E873" s="17">
        <v>71</v>
      </c>
      <c r="F873" s="19">
        <v>6174312</v>
      </c>
      <c r="G873" s="19">
        <v>69603923</v>
      </c>
      <c r="H873" s="8"/>
    </row>
    <row r="874" spans="2:8">
      <c r="B874" s="18">
        <v>8011</v>
      </c>
      <c r="C874" s="17">
        <v>71</v>
      </c>
      <c r="D874" s="17" t="s">
        <v>2519</v>
      </c>
      <c r="E874" s="17">
        <v>72</v>
      </c>
      <c r="F874" s="19">
        <v>6677317</v>
      </c>
      <c r="G874" s="19">
        <v>76281240</v>
      </c>
      <c r="H874" s="8"/>
    </row>
    <row r="875" spans="2:8">
      <c r="B875" s="18">
        <v>8011</v>
      </c>
      <c r="C875" s="17">
        <v>72</v>
      </c>
      <c r="D875" s="17" t="s">
        <v>2520</v>
      </c>
      <c r="E875" s="17">
        <v>73</v>
      </c>
      <c r="F875" s="19">
        <v>7213433</v>
      </c>
      <c r="G875" s="19">
        <v>83494673</v>
      </c>
      <c r="H875" s="8"/>
    </row>
    <row r="876" spans="2:8">
      <c r="B876" s="18">
        <v>8011</v>
      </c>
      <c r="C876" s="17">
        <v>73</v>
      </c>
      <c r="D876" s="17" t="s">
        <v>2521</v>
      </c>
      <c r="E876" s="17">
        <v>74</v>
      </c>
      <c r="F876" s="19">
        <v>7784333</v>
      </c>
      <c r="G876" s="19">
        <v>91279006</v>
      </c>
      <c r="H876" s="8"/>
    </row>
    <row r="877" spans="2:8">
      <c r="B877" s="18">
        <v>8011</v>
      </c>
      <c r="C877" s="17">
        <v>74</v>
      </c>
      <c r="D877" s="17" t="s">
        <v>2522</v>
      </c>
      <c r="E877" s="17">
        <v>75</v>
      </c>
      <c r="F877" s="19">
        <v>8391749</v>
      </c>
      <c r="G877" s="19">
        <v>99670755</v>
      </c>
      <c r="H877" s="8"/>
    </row>
    <row r="878" spans="2:8">
      <c r="B878" s="18">
        <v>8011</v>
      </c>
      <c r="C878" s="17">
        <v>75</v>
      </c>
      <c r="D878" s="17" t="s">
        <v>2523</v>
      </c>
      <c r="E878" s="17">
        <v>76</v>
      </c>
      <c r="F878" s="19">
        <v>9037474</v>
      </c>
      <c r="G878" s="19">
        <v>108708229</v>
      </c>
      <c r="H878" s="8"/>
    </row>
    <row r="879" spans="2:8">
      <c r="B879" s="18">
        <v>8011</v>
      </c>
      <c r="C879" s="17">
        <v>76</v>
      </c>
      <c r="D879" s="17" t="s">
        <v>2524</v>
      </c>
      <c r="E879" s="17">
        <v>77</v>
      </c>
      <c r="F879" s="19">
        <v>9723363</v>
      </c>
      <c r="G879" s="19">
        <v>118431592</v>
      </c>
      <c r="H879" s="8"/>
    </row>
    <row r="880" spans="2:8">
      <c r="B880" s="18">
        <v>8011</v>
      </c>
      <c r="C880" s="17">
        <v>77</v>
      </c>
      <c r="D880" s="17" t="s">
        <v>2525</v>
      </c>
      <c r="E880" s="17">
        <v>78</v>
      </c>
      <c r="F880" s="19">
        <v>10451334</v>
      </c>
      <c r="G880" s="19">
        <v>128882926</v>
      </c>
      <c r="H880" s="8"/>
    </row>
    <row r="881" spans="2:8">
      <c r="B881" s="18">
        <v>8011</v>
      </c>
      <c r="C881" s="17">
        <v>78</v>
      </c>
      <c r="D881" s="17" t="s">
        <v>2526</v>
      </c>
      <c r="E881" s="17">
        <v>79</v>
      </c>
      <c r="F881" s="19">
        <v>11223370</v>
      </c>
      <c r="G881" s="19">
        <v>140106296</v>
      </c>
      <c r="H881" s="8"/>
    </row>
    <row r="882" spans="2:8">
      <c r="B882" s="18">
        <v>8011</v>
      </c>
      <c r="C882" s="17">
        <v>79</v>
      </c>
      <c r="D882" s="17" t="s">
        <v>2527</v>
      </c>
      <c r="E882" s="17">
        <v>80</v>
      </c>
      <c r="F882" s="19">
        <v>12041520</v>
      </c>
      <c r="G882" s="19">
        <v>152147816</v>
      </c>
      <c r="H882" s="8"/>
    </row>
    <row r="883" spans="2:8">
      <c r="B883" s="18">
        <v>8011</v>
      </c>
      <c r="C883" s="17">
        <v>80</v>
      </c>
      <c r="D883" s="17" t="s">
        <v>2528</v>
      </c>
      <c r="E883" s="17" t="s">
        <v>1762</v>
      </c>
      <c r="F883" s="19">
        <v>12907899</v>
      </c>
      <c r="G883" s="19">
        <v>165055715</v>
      </c>
      <c r="H883" s="8"/>
    </row>
    <row r="884" spans="2:8">
      <c r="B884" s="18">
        <v>8012</v>
      </c>
      <c r="C884" s="17">
        <v>1</v>
      </c>
      <c r="D884" s="17" t="s">
        <v>2529</v>
      </c>
      <c r="E884" s="17">
        <v>2</v>
      </c>
      <c r="F884" s="19">
        <v>0</v>
      </c>
      <c r="G884" s="19">
        <v>0</v>
      </c>
      <c r="H884" s="8"/>
    </row>
    <row r="885" spans="2:8">
      <c r="B885" s="18">
        <v>8012</v>
      </c>
      <c r="C885" s="17">
        <v>2</v>
      </c>
      <c r="D885" s="17" t="s">
        <v>2530</v>
      </c>
      <c r="E885" s="17">
        <v>3</v>
      </c>
      <c r="F885" s="19">
        <v>110</v>
      </c>
      <c r="G885" s="19">
        <v>110</v>
      </c>
      <c r="H885" s="8"/>
    </row>
    <row r="886" spans="2:8">
      <c r="B886" s="18">
        <v>8012</v>
      </c>
      <c r="C886" s="17">
        <v>3</v>
      </c>
      <c r="D886" s="17" t="s">
        <v>2531</v>
      </c>
      <c r="E886" s="17">
        <v>4</v>
      </c>
      <c r="F886" s="19">
        <v>230</v>
      </c>
      <c r="G886" s="19">
        <v>340</v>
      </c>
      <c r="H886" s="8"/>
    </row>
    <row r="887" spans="2:8">
      <c r="B887" s="18">
        <v>8012</v>
      </c>
      <c r="C887" s="17">
        <v>4</v>
      </c>
      <c r="D887" s="17" t="s">
        <v>2532</v>
      </c>
      <c r="E887" s="17">
        <v>5</v>
      </c>
      <c r="F887" s="19">
        <v>360</v>
      </c>
      <c r="G887" s="19">
        <v>700</v>
      </c>
      <c r="H887" s="8"/>
    </row>
    <row r="888" spans="2:8">
      <c r="B888" s="18">
        <v>8012</v>
      </c>
      <c r="C888" s="17">
        <v>5</v>
      </c>
      <c r="D888" s="17" t="s">
        <v>2533</v>
      </c>
      <c r="E888" s="17">
        <v>6</v>
      </c>
      <c r="F888" s="19">
        <v>501</v>
      </c>
      <c r="G888" s="19">
        <v>1201</v>
      </c>
      <c r="H888" s="8"/>
    </row>
    <row r="889" spans="2:8">
      <c r="B889" s="18">
        <v>8012</v>
      </c>
      <c r="C889" s="17">
        <v>6</v>
      </c>
      <c r="D889" s="17" t="s">
        <v>2534</v>
      </c>
      <c r="E889" s="17">
        <v>7</v>
      </c>
      <c r="F889" s="19">
        <v>654</v>
      </c>
      <c r="G889" s="19">
        <v>1855</v>
      </c>
      <c r="H889" s="8"/>
    </row>
    <row r="890" spans="2:8">
      <c r="B890" s="18">
        <v>8012</v>
      </c>
      <c r="C890" s="17">
        <v>7</v>
      </c>
      <c r="D890" s="17" t="s">
        <v>2172</v>
      </c>
      <c r="E890" s="17">
        <v>8</v>
      </c>
      <c r="F890" s="19">
        <v>821</v>
      </c>
      <c r="G890" s="19">
        <v>2676</v>
      </c>
      <c r="H890" s="8"/>
    </row>
    <row r="891" spans="2:8">
      <c r="B891" s="18">
        <v>8012</v>
      </c>
      <c r="C891" s="17">
        <v>8</v>
      </c>
      <c r="D891" s="17" t="s">
        <v>2535</v>
      </c>
      <c r="E891" s="17">
        <v>9</v>
      </c>
      <c r="F891" s="19">
        <v>1006</v>
      </c>
      <c r="G891" s="19">
        <v>3682</v>
      </c>
      <c r="H891" s="8"/>
    </row>
    <row r="892" spans="2:8">
      <c r="B892" s="18">
        <v>8012</v>
      </c>
      <c r="C892" s="17">
        <v>9</v>
      </c>
      <c r="D892" s="17" t="s">
        <v>2536</v>
      </c>
      <c r="E892" s="17">
        <v>10</v>
      </c>
      <c r="F892" s="19">
        <v>1214</v>
      </c>
      <c r="G892" s="19">
        <v>4896</v>
      </c>
      <c r="H892" s="8"/>
    </row>
    <row r="893" spans="2:8">
      <c r="B893" s="18">
        <v>8012</v>
      </c>
      <c r="C893" s="17">
        <v>10</v>
      </c>
      <c r="D893" s="17" t="s">
        <v>2537</v>
      </c>
      <c r="E893" s="17">
        <v>11</v>
      </c>
      <c r="F893" s="19">
        <v>1453</v>
      </c>
      <c r="G893" s="19">
        <v>6349</v>
      </c>
      <c r="H893" s="8"/>
    </row>
    <row r="894" spans="2:8">
      <c r="B894" s="18">
        <v>8012</v>
      </c>
      <c r="C894" s="17">
        <v>11</v>
      </c>
      <c r="D894" s="17" t="s">
        <v>2538</v>
      </c>
      <c r="E894" s="17">
        <v>12</v>
      </c>
      <c r="F894" s="19">
        <v>1732</v>
      </c>
      <c r="G894" s="19">
        <v>8081</v>
      </c>
      <c r="H894" s="8"/>
    </row>
    <row r="895" spans="2:8">
      <c r="B895" s="18">
        <v>8012</v>
      </c>
      <c r="C895" s="17">
        <v>12</v>
      </c>
      <c r="D895" s="17" t="s">
        <v>2539</v>
      </c>
      <c r="E895" s="17">
        <v>13</v>
      </c>
      <c r="F895" s="19">
        <v>2063</v>
      </c>
      <c r="G895" s="19">
        <v>10144</v>
      </c>
      <c r="H895" s="8"/>
    </row>
    <row r="896" spans="2:8">
      <c r="B896" s="18">
        <v>8012</v>
      </c>
      <c r="C896" s="17">
        <v>13</v>
      </c>
      <c r="D896" s="17" t="s">
        <v>2540</v>
      </c>
      <c r="E896" s="17">
        <v>14</v>
      </c>
      <c r="F896" s="19">
        <v>2462</v>
      </c>
      <c r="G896" s="19">
        <v>12606</v>
      </c>
      <c r="H896" s="8"/>
    </row>
    <row r="897" spans="2:8">
      <c r="B897" s="18">
        <v>8012</v>
      </c>
      <c r="C897" s="17">
        <v>14</v>
      </c>
      <c r="D897" s="17" t="s">
        <v>2541</v>
      </c>
      <c r="E897" s="17">
        <v>15</v>
      </c>
      <c r="F897" s="19">
        <v>2949</v>
      </c>
      <c r="G897" s="19">
        <v>15555</v>
      </c>
      <c r="H897" s="8"/>
    </row>
    <row r="898" spans="2:8">
      <c r="B898" s="18">
        <v>8012</v>
      </c>
      <c r="C898" s="17">
        <v>15</v>
      </c>
      <c r="D898" s="17" t="s">
        <v>2542</v>
      </c>
      <c r="E898" s="17">
        <v>16</v>
      </c>
      <c r="F898" s="19">
        <v>3548</v>
      </c>
      <c r="G898" s="19">
        <v>19103</v>
      </c>
      <c r="H898" s="8"/>
    </row>
    <row r="899" spans="2:8">
      <c r="B899" s="18">
        <v>8012</v>
      </c>
      <c r="C899" s="17">
        <v>16</v>
      </c>
      <c r="D899" s="17" t="s">
        <v>2543</v>
      </c>
      <c r="E899" s="17">
        <v>17</v>
      </c>
      <c r="F899" s="19">
        <v>4288</v>
      </c>
      <c r="G899" s="19">
        <v>23391</v>
      </c>
      <c r="H899" s="8"/>
    </row>
    <row r="900" spans="2:8">
      <c r="B900" s="18">
        <v>8012</v>
      </c>
      <c r="C900" s="17">
        <v>17</v>
      </c>
      <c r="D900" s="17" t="s">
        <v>2544</v>
      </c>
      <c r="E900" s="17">
        <v>18</v>
      </c>
      <c r="F900" s="19">
        <v>5203</v>
      </c>
      <c r="G900" s="19">
        <v>28594</v>
      </c>
      <c r="H900" s="8"/>
    </row>
    <row r="901" spans="2:8">
      <c r="B901" s="18">
        <v>8012</v>
      </c>
      <c r="C901" s="17">
        <v>18</v>
      </c>
      <c r="D901" s="17" t="s">
        <v>2186</v>
      </c>
      <c r="E901" s="17">
        <v>19</v>
      </c>
      <c r="F901" s="19">
        <v>6333</v>
      </c>
      <c r="G901" s="19">
        <v>34927</v>
      </c>
      <c r="H901" s="8"/>
    </row>
    <row r="902" spans="2:8">
      <c r="B902" s="18">
        <v>8012</v>
      </c>
      <c r="C902" s="17">
        <v>19</v>
      </c>
      <c r="D902" s="17" t="s">
        <v>2545</v>
      </c>
      <c r="E902" s="17">
        <v>20</v>
      </c>
      <c r="F902" s="19">
        <v>7726</v>
      </c>
      <c r="G902" s="19">
        <v>42653</v>
      </c>
      <c r="H902" s="8"/>
    </row>
    <row r="903" spans="2:8">
      <c r="B903" s="18">
        <v>8012</v>
      </c>
      <c r="C903" s="17">
        <v>20</v>
      </c>
      <c r="D903" s="17" t="s">
        <v>2546</v>
      </c>
      <c r="E903" s="17">
        <v>21</v>
      </c>
      <c r="F903" s="19">
        <v>9436</v>
      </c>
      <c r="G903" s="19">
        <v>52089</v>
      </c>
      <c r="H903" s="8"/>
    </row>
    <row r="904" spans="2:8">
      <c r="B904" s="18">
        <v>8012</v>
      </c>
      <c r="C904" s="17">
        <v>21</v>
      </c>
      <c r="D904" s="17" t="s">
        <v>2547</v>
      </c>
      <c r="E904" s="17">
        <v>22</v>
      </c>
      <c r="F904" s="19">
        <v>11524</v>
      </c>
      <c r="G904" s="19">
        <v>63613</v>
      </c>
      <c r="H904" s="8"/>
    </row>
    <row r="905" spans="2:8">
      <c r="B905" s="18">
        <v>8012</v>
      </c>
      <c r="C905" s="17">
        <v>22</v>
      </c>
      <c r="D905" s="17" t="s">
        <v>2548</v>
      </c>
      <c r="E905" s="17">
        <v>23</v>
      </c>
      <c r="F905" s="19">
        <v>14062</v>
      </c>
      <c r="G905" s="19">
        <v>77675</v>
      </c>
      <c r="H905" s="8"/>
    </row>
    <row r="906" spans="2:8">
      <c r="B906" s="18">
        <v>8012</v>
      </c>
      <c r="C906" s="17">
        <v>23</v>
      </c>
      <c r="D906" s="17" t="s">
        <v>2549</v>
      </c>
      <c r="E906" s="17">
        <v>24</v>
      </c>
      <c r="F906" s="19">
        <v>17128</v>
      </c>
      <c r="G906" s="19">
        <v>94803</v>
      </c>
      <c r="H906" s="8"/>
    </row>
    <row r="907" spans="2:8">
      <c r="B907" s="18">
        <v>8012</v>
      </c>
      <c r="C907" s="17">
        <v>24</v>
      </c>
      <c r="D907" s="17" t="s">
        <v>2550</v>
      </c>
      <c r="E907" s="17">
        <v>25</v>
      </c>
      <c r="F907" s="19">
        <v>20813</v>
      </c>
      <c r="G907" s="19">
        <v>115616</v>
      </c>
      <c r="H907" s="8"/>
    </row>
    <row r="908" spans="2:8">
      <c r="B908" s="18">
        <v>8012</v>
      </c>
      <c r="C908" s="17">
        <v>25</v>
      </c>
      <c r="D908" s="17" t="s">
        <v>2551</v>
      </c>
      <c r="E908" s="17">
        <v>26</v>
      </c>
      <c r="F908" s="19">
        <v>25216</v>
      </c>
      <c r="G908" s="19">
        <v>140832</v>
      </c>
      <c r="H908" s="8"/>
    </row>
    <row r="909" spans="2:8">
      <c r="B909" s="18">
        <v>8012</v>
      </c>
      <c r="C909" s="17">
        <v>26</v>
      </c>
      <c r="D909" s="17" t="s">
        <v>2552</v>
      </c>
      <c r="E909" s="17">
        <v>27</v>
      </c>
      <c r="F909" s="19">
        <v>30448</v>
      </c>
      <c r="G909" s="19">
        <v>171280</v>
      </c>
      <c r="H909" s="8"/>
    </row>
    <row r="910" spans="2:8">
      <c r="B910" s="18">
        <v>8012</v>
      </c>
      <c r="C910" s="17">
        <v>27</v>
      </c>
      <c r="D910" s="17" t="s">
        <v>2553</v>
      </c>
      <c r="E910" s="17">
        <v>28</v>
      </c>
      <c r="F910" s="19">
        <v>36633</v>
      </c>
      <c r="G910" s="19">
        <v>207913</v>
      </c>
      <c r="H910" s="8"/>
    </row>
    <row r="911" spans="2:8">
      <c r="B911" s="18">
        <v>8012</v>
      </c>
      <c r="C911" s="17">
        <v>28</v>
      </c>
      <c r="D911" s="17" t="s">
        <v>2554</v>
      </c>
      <c r="E911" s="17">
        <v>29</v>
      </c>
      <c r="F911" s="19">
        <v>43906</v>
      </c>
      <c r="G911" s="19">
        <v>251819</v>
      </c>
      <c r="H911" s="8"/>
    </row>
    <row r="912" spans="2:8">
      <c r="B912" s="18">
        <v>8012</v>
      </c>
      <c r="C912" s="17">
        <v>29</v>
      </c>
      <c r="D912" s="17" t="s">
        <v>2202</v>
      </c>
      <c r="E912" s="17">
        <v>30</v>
      </c>
      <c r="F912" s="19">
        <v>52417</v>
      </c>
      <c r="G912" s="19">
        <v>304236</v>
      </c>
      <c r="H912" s="8"/>
    </row>
    <row r="913" spans="2:8">
      <c r="B913" s="18">
        <v>8012</v>
      </c>
      <c r="C913" s="17">
        <v>30</v>
      </c>
      <c r="D913" s="17" t="s">
        <v>2555</v>
      </c>
      <c r="E913" s="17">
        <v>31</v>
      </c>
      <c r="F913" s="19">
        <v>62329</v>
      </c>
      <c r="G913" s="19">
        <v>366565</v>
      </c>
      <c r="H913" s="8"/>
    </row>
    <row r="914" spans="2:8">
      <c r="B914" s="18">
        <v>8012</v>
      </c>
      <c r="C914" s="17">
        <v>31</v>
      </c>
      <c r="D914" s="17" t="s">
        <v>2556</v>
      </c>
      <c r="E914" s="17">
        <v>32</v>
      </c>
      <c r="F914" s="19">
        <v>73820</v>
      </c>
      <c r="G914" s="19">
        <v>440385</v>
      </c>
      <c r="H914" s="8"/>
    </row>
    <row r="915" spans="2:8">
      <c r="B915" s="18">
        <v>8012</v>
      </c>
      <c r="C915" s="17">
        <v>32</v>
      </c>
      <c r="D915" s="17" t="s">
        <v>2557</v>
      </c>
      <c r="E915" s="17">
        <v>33</v>
      </c>
      <c r="F915" s="19">
        <v>87084</v>
      </c>
      <c r="G915" s="19">
        <v>527469</v>
      </c>
      <c r="H915" s="8"/>
    </row>
    <row r="916" spans="2:8">
      <c r="B916" s="18">
        <v>8012</v>
      </c>
      <c r="C916" s="17">
        <v>33</v>
      </c>
      <c r="D916" s="17" t="s">
        <v>2558</v>
      </c>
      <c r="E916" s="17">
        <v>34</v>
      </c>
      <c r="F916" s="19">
        <v>102333</v>
      </c>
      <c r="G916" s="19">
        <v>629802</v>
      </c>
      <c r="H916" s="8"/>
    </row>
    <row r="917" spans="2:8">
      <c r="B917" s="18">
        <v>8012</v>
      </c>
      <c r="C917" s="17">
        <v>34</v>
      </c>
      <c r="D917" s="17" t="s">
        <v>2559</v>
      </c>
      <c r="E917" s="17">
        <v>35</v>
      </c>
      <c r="F917" s="19">
        <v>119794</v>
      </c>
      <c r="G917" s="19">
        <v>749596</v>
      </c>
      <c r="H917" s="8"/>
    </row>
    <row r="918" spans="2:8">
      <c r="B918" s="18">
        <v>8012</v>
      </c>
      <c r="C918" s="17">
        <v>35</v>
      </c>
      <c r="D918" s="17" t="s">
        <v>2560</v>
      </c>
      <c r="E918" s="17">
        <v>36</v>
      </c>
      <c r="F918" s="19">
        <v>139714</v>
      </c>
      <c r="G918" s="19">
        <v>889310</v>
      </c>
      <c r="H918" s="8"/>
    </row>
    <row r="919" spans="2:8">
      <c r="B919" s="18">
        <v>8012</v>
      </c>
      <c r="C919" s="17">
        <v>36</v>
      </c>
      <c r="D919" s="17" t="s">
        <v>2561</v>
      </c>
      <c r="E919" s="17">
        <v>37</v>
      </c>
      <c r="F919" s="19">
        <v>162358</v>
      </c>
      <c r="G919" s="19">
        <v>1051668</v>
      </c>
      <c r="H919" s="8"/>
    </row>
    <row r="920" spans="2:8">
      <c r="B920" s="18">
        <v>8012</v>
      </c>
      <c r="C920" s="17">
        <v>37</v>
      </c>
      <c r="D920" s="17" t="s">
        <v>2562</v>
      </c>
      <c r="E920" s="17">
        <v>38</v>
      </c>
      <c r="F920" s="19">
        <v>188012</v>
      </c>
      <c r="G920" s="19">
        <v>1239680</v>
      </c>
      <c r="H920" s="8"/>
    </row>
    <row r="921" spans="2:8">
      <c r="B921" s="18">
        <v>8012</v>
      </c>
      <c r="C921" s="17">
        <v>38</v>
      </c>
      <c r="D921" s="17" t="s">
        <v>2563</v>
      </c>
      <c r="E921" s="17">
        <v>39</v>
      </c>
      <c r="F921" s="19">
        <v>216982</v>
      </c>
      <c r="G921" s="19">
        <v>1456662</v>
      </c>
      <c r="H921" s="8"/>
    </row>
    <row r="922" spans="2:8">
      <c r="B922" s="18">
        <v>8012</v>
      </c>
      <c r="C922" s="17">
        <v>39</v>
      </c>
      <c r="D922" s="17" t="s">
        <v>2564</v>
      </c>
      <c r="E922" s="17">
        <v>40</v>
      </c>
      <c r="F922" s="19">
        <v>249596</v>
      </c>
      <c r="G922" s="19">
        <v>1706258</v>
      </c>
      <c r="H922" s="8"/>
    </row>
    <row r="923" spans="2:8">
      <c r="B923" s="18">
        <v>8012</v>
      </c>
      <c r="C923" s="17">
        <v>40</v>
      </c>
      <c r="D923" s="17" t="s">
        <v>2218</v>
      </c>
      <c r="E923" s="17">
        <v>41</v>
      </c>
      <c r="F923" s="19">
        <v>286204</v>
      </c>
      <c r="G923" s="19">
        <v>1992462</v>
      </c>
      <c r="H923" s="8"/>
    </row>
    <row r="924" spans="2:8">
      <c r="B924" s="18">
        <v>8012</v>
      </c>
      <c r="C924" s="17">
        <v>41</v>
      </c>
      <c r="D924" s="17" t="s">
        <v>2565</v>
      </c>
      <c r="E924" s="17">
        <v>42</v>
      </c>
      <c r="F924" s="19">
        <v>327181</v>
      </c>
      <c r="G924" s="19">
        <v>2319643</v>
      </c>
      <c r="H924" s="8"/>
    </row>
    <row r="925" spans="2:8">
      <c r="B925" s="18">
        <v>8012</v>
      </c>
      <c r="C925" s="17">
        <v>42</v>
      </c>
      <c r="D925" s="17" t="s">
        <v>2566</v>
      </c>
      <c r="E925" s="17">
        <v>43</v>
      </c>
      <c r="F925" s="19">
        <v>372925</v>
      </c>
      <c r="G925" s="19">
        <v>2692568</v>
      </c>
      <c r="H925" s="8"/>
    </row>
    <row r="926" spans="2:8">
      <c r="B926" s="18">
        <v>8012</v>
      </c>
      <c r="C926" s="17">
        <v>43</v>
      </c>
      <c r="D926" s="17" t="s">
        <v>2567</v>
      </c>
      <c r="E926" s="17">
        <v>44</v>
      </c>
      <c r="F926" s="19">
        <v>423860</v>
      </c>
      <c r="G926" s="19">
        <v>3116428</v>
      </c>
      <c r="H926" s="8"/>
    </row>
    <row r="927" spans="2:8">
      <c r="B927" s="18">
        <v>8012</v>
      </c>
      <c r="C927" s="17">
        <v>44</v>
      </c>
      <c r="D927" s="17" t="s">
        <v>2568</v>
      </c>
      <c r="E927" s="17">
        <v>45</v>
      </c>
      <c r="F927" s="19">
        <v>480436</v>
      </c>
      <c r="G927" s="19">
        <v>3596864</v>
      </c>
      <c r="H927" s="8"/>
    </row>
    <row r="928" spans="2:8">
      <c r="B928" s="18">
        <v>8012</v>
      </c>
      <c r="C928" s="17">
        <v>45</v>
      </c>
      <c r="D928" s="17" t="s">
        <v>2569</v>
      </c>
      <c r="E928" s="17">
        <v>46</v>
      </c>
      <c r="F928" s="19">
        <v>543131</v>
      </c>
      <c r="G928" s="19">
        <v>4139995</v>
      </c>
      <c r="H928" s="8"/>
    </row>
    <row r="929" spans="2:8">
      <c r="B929" s="18">
        <v>8012</v>
      </c>
      <c r="C929" s="17">
        <v>46</v>
      </c>
      <c r="D929" s="17" t="s">
        <v>2570</v>
      </c>
      <c r="E929" s="17">
        <v>47</v>
      </c>
      <c r="F929" s="19">
        <v>612450</v>
      </c>
      <c r="G929" s="19">
        <v>4752445</v>
      </c>
      <c r="H929" s="8"/>
    </row>
    <row r="930" spans="2:8">
      <c r="B930" s="18">
        <v>8012</v>
      </c>
      <c r="C930" s="17">
        <v>47</v>
      </c>
      <c r="D930" s="17" t="s">
        <v>2571</v>
      </c>
      <c r="E930" s="17">
        <v>48</v>
      </c>
      <c r="F930" s="19">
        <v>688928</v>
      </c>
      <c r="G930" s="19">
        <v>5441373</v>
      </c>
      <c r="H930" s="8"/>
    </row>
    <row r="931" spans="2:8">
      <c r="B931" s="18">
        <v>8012</v>
      </c>
      <c r="C931" s="17">
        <v>48</v>
      </c>
      <c r="D931" s="17" t="s">
        <v>2572</v>
      </c>
      <c r="E931" s="17">
        <v>49</v>
      </c>
      <c r="F931" s="19">
        <v>773131</v>
      </c>
      <c r="G931" s="19">
        <v>6214504</v>
      </c>
      <c r="H931" s="8"/>
    </row>
    <row r="932" spans="2:8">
      <c r="B932" s="18">
        <v>8012</v>
      </c>
      <c r="C932" s="17">
        <v>49</v>
      </c>
      <c r="D932" s="17" t="s">
        <v>2573</v>
      </c>
      <c r="E932" s="17">
        <v>50</v>
      </c>
      <c r="F932" s="19">
        <v>865655</v>
      </c>
      <c r="G932" s="19">
        <v>7080159</v>
      </c>
      <c r="H932" s="8"/>
    </row>
    <row r="933" spans="2:8">
      <c r="B933" s="18">
        <v>8012</v>
      </c>
      <c r="C933" s="17">
        <v>50</v>
      </c>
      <c r="D933" s="17" t="s">
        <v>2574</v>
      </c>
      <c r="E933" s="17">
        <v>51</v>
      </c>
      <c r="F933" s="19">
        <v>967129</v>
      </c>
      <c r="G933" s="19">
        <v>8047288</v>
      </c>
      <c r="H933" s="8"/>
    </row>
    <row r="934" spans="2:8">
      <c r="B934" s="18">
        <v>8012</v>
      </c>
      <c r="C934" s="17">
        <v>51</v>
      </c>
      <c r="D934" s="17" t="s">
        <v>2575</v>
      </c>
      <c r="E934" s="17">
        <v>52</v>
      </c>
      <c r="F934" s="19">
        <v>1078214</v>
      </c>
      <c r="G934" s="19">
        <v>9125502</v>
      </c>
      <c r="H934" s="8"/>
    </row>
    <row r="935" spans="2:8">
      <c r="B935" s="18">
        <v>8012</v>
      </c>
      <c r="C935" s="17">
        <v>52</v>
      </c>
      <c r="D935" s="17" t="s">
        <v>2576</v>
      </c>
      <c r="E935" s="17">
        <v>53</v>
      </c>
      <c r="F935" s="19">
        <v>1199606</v>
      </c>
      <c r="G935" s="19">
        <v>10325108</v>
      </c>
      <c r="H935" s="8"/>
    </row>
    <row r="936" spans="2:8">
      <c r="B936" s="18">
        <v>8012</v>
      </c>
      <c r="C936" s="17">
        <v>53</v>
      </c>
      <c r="D936" s="17" t="s">
        <v>2577</v>
      </c>
      <c r="E936" s="17">
        <v>54</v>
      </c>
      <c r="F936" s="19">
        <v>1332038</v>
      </c>
      <c r="G936" s="19">
        <v>11657146</v>
      </c>
      <c r="H936" s="8"/>
    </row>
    <row r="937" spans="2:8">
      <c r="B937" s="18">
        <v>8012</v>
      </c>
      <c r="C937" s="17">
        <v>54</v>
      </c>
      <c r="D937" s="17" t="s">
        <v>2578</v>
      </c>
      <c r="E937" s="17">
        <v>55</v>
      </c>
      <c r="F937" s="19">
        <v>1476276</v>
      </c>
      <c r="G937" s="19">
        <v>13133422</v>
      </c>
      <c r="H937" s="8"/>
    </row>
    <row r="938" spans="2:8">
      <c r="B938" s="18">
        <v>8012</v>
      </c>
      <c r="C938" s="17">
        <v>55</v>
      </c>
      <c r="D938" s="17" t="s">
        <v>2579</v>
      </c>
      <c r="E938" s="17">
        <v>56</v>
      </c>
      <c r="F938" s="19">
        <v>1633127</v>
      </c>
      <c r="G938" s="19">
        <v>14766549</v>
      </c>
      <c r="H938" s="8"/>
    </row>
    <row r="939" spans="2:8">
      <c r="B939" s="18">
        <v>8012</v>
      </c>
      <c r="C939" s="17">
        <v>56</v>
      </c>
      <c r="D939" s="17" t="s">
        <v>2580</v>
      </c>
      <c r="E939" s="17">
        <v>57</v>
      </c>
      <c r="F939" s="19">
        <v>1803434</v>
      </c>
      <c r="G939" s="19">
        <v>16569983</v>
      </c>
      <c r="H939" s="8"/>
    </row>
    <row r="940" spans="2:8">
      <c r="B940" s="18">
        <v>8012</v>
      </c>
      <c r="C940" s="17">
        <v>57</v>
      </c>
      <c r="D940" s="17" t="s">
        <v>2581</v>
      </c>
      <c r="E940" s="17">
        <v>58</v>
      </c>
      <c r="F940" s="19">
        <v>1988080</v>
      </c>
      <c r="G940" s="19">
        <v>18558063</v>
      </c>
      <c r="H940" s="8"/>
    </row>
    <row r="941" spans="2:8">
      <c r="B941" s="18">
        <v>8012</v>
      </c>
      <c r="C941" s="17">
        <v>58</v>
      </c>
      <c r="D941" s="17" t="s">
        <v>2582</v>
      </c>
      <c r="E941" s="17">
        <v>59</v>
      </c>
      <c r="F941" s="19">
        <v>2187990</v>
      </c>
      <c r="G941" s="19">
        <v>20746053</v>
      </c>
      <c r="H941" s="8"/>
    </row>
    <row r="942" spans="2:8">
      <c r="B942" s="18">
        <v>8012</v>
      </c>
      <c r="C942" s="17">
        <v>59</v>
      </c>
      <c r="D942" s="17" t="s">
        <v>2583</v>
      </c>
      <c r="E942" s="17">
        <v>60</v>
      </c>
      <c r="F942" s="19">
        <v>2404129</v>
      </c>
      <c r="G942" s="19">
        <v>23150182</v>
      </c>
      <c r="H942" s="8"/>
    </row>
    <row r="943" spans="2:8">
      <c r="B943" s="18">
        <v>8012</v>
      </c>
      <c r="C943" s="17">
        <v>60</v>
      </c>
      <c r="D943" s="17" t="s">
        <v>2584</v>
      </c>
      <c r="E943" s="17">
        <v>61</v>
      </c>
      <c r="F943" s="19">
        <v>2637507</v>
      </c>
      <c r="G943" s="19">
        <v>25787689</v>
      </c>
      <c r="H943" s="8"/>
    </row>
    <row r="944" spans="2:8">
      <c r="B944" s="18">
        <v>8012</v>
      </c>
      <c r="C944" s="17">
        <v>61</v>
      </c>
      <c r="D944" s="17" t="s">
        <v>2585</v>
      </c>
      <c r="E944" s="17">
        <v>62</v>
      </c>
      <c r="F944" s="19">
        <v>2889176</v>
      </c>
      <c r="G944" s="19">
        <v>28676865</v>
      </c>
    </row>
    <row r="945" spans="2:8">
      <c r="B945" s="18">
        <v>8012</v>
      </c>
      <c r="C945" s="17">
        <v>62</v>
      </c>
      <c r="D945" s="17" t="s">
        <v>2586</v>
      </c>
      <c r="E945" s="17">
        <v>63</v>
      </c>
      <c r="F945" s="19">
        <v>3160234</v>
      </c>
      <c r="G945" s="19">
        <v>31837099</v>
      </c>
      <c r="H945" s="8"/>
    </row>
    <row r="946" spans="2:8">
      <c r="B946" s="18">
        <v>8012</v>
      </c>
      <c r="C946" s="17">
        <v>63</v>
      </c>
      <c r="D946" s="17" t="s">
        <v>2587</v>
      </c>
      <c r="E946" s="17">
        <v>64</v>
      </c>
      <c r="F946" s="19">
        <v>3451826</v>
      </c>
      <c r="G946" s="19">
        <v>35288925</v>
      </c>
      <c r="H946" s="8"/>
    </row>
    <row r="947" spans="2:8">
      <c r="B947" s="18">
        <v>8012</v>
      </c>
      <c r="C947" s="17">
        <v>64</v>
      </c>
      <c r="D947" s="17" t="s">
        <v>2588</v>
      </c>
      <c r="E947" s="17">
        <v>65</v>
      </c>
      <c r="F947" s="19">
        <v>3765144</v>
      </c>
      <c r="G947" s="19">
        <v>39054069</v>
      </c>
      <c r="H947" s="8"/>
    </row>
    <row r="948" spans="2:8">
      <c r="B948" s="18">
        <v>8012</v>
      </c>
      <c r="C948" s="17">
        <v>65</v>
      </c>
      <c r="D948" s="17" t="s">
        <v>2589</v>
      </c>
      <c r="E948" s="17">
        <v>66</v>
      </c>
      <c r="F948" s="19">
        <v>4101428</v>
      </c>
      <c r="G948" s="19">
        <v>43155497</v>
      </c>
      <c r="H948" s="8"/>
    </row>
    <row r="949" spans="2:8">
      <c r="B949" s="18">
        <v>8012</v>
      </c>
      <c r="C949" s="17">
        <v>66</v>
      </c>
      <c r="D949" s="17" t="s">
        <v>2590</v>
      </c>
      <c r="E949" s="17">
        <v>67</v>
      </c>
      <c r="F949" s="19">
        <v>4461968</v>
      </c>
      <c r="G949" s="19">
        <v>47617465</v>
      </c>
      <c r="H949" s="8"/>
    </row>
    <row r="950" spans="2:8">
      <c r="B950" s="18">
        <v>8012</v>
      </c>
      <c r="C950" s="17">
        <v>67</v>
      </c>
      <c r="D950" s="17" t="s">
        <v>2591</v>
      </c>
      <c r="E950" s="17">
        <v>68</v>
      </c>
      <c r="F950" s="19">
        <v>4848106</v>
      </c>
      <c r="G950" s="19">
        <v>52465571</v>
      </c>
      <c r="H950" s="8"/>
    </row>
    <row r="951" spans="2:8">
      <c r="B951" s="18">
        <v>8012</v>
      </c>
      <c r="C951" s="17">
        <v>68</v>
      </c>
      <c r="D951" s="17" t="s">
        <v>2592</v>
      </c>
      <c r="E951" s="17">
        <v>69</v>
      </c>
      <c r="F951" s="19">
        <v>5261236</v>
      </c>
      <c r="G951" s="19">
        <v>57726807</v>
      </c>
      <c r="H951" s="8"/>
    </row>
    <row r="952" spans="2:8">
      <c r="B952" s="18">
        <v>8012</v>
      </c>
      <c r="C952" s="17">
        <v>69</v>
      </c>
      <c r="D952" s="17" t="s">
        <v>2593</v>
      </c>
      <c r="E952" s="17">
        <v>70</v>
      </c>
      <c r="F952" s="19">
        <v>5702804</v>
      </c>
      <c r="G952" s="19">
        <v>63429611</v>
      </c>
      <c r="H952" s="8"/>
    </row>
    <row r="953" spans="2:8">
      <c r="B953" s="18">
        <v>8012</v>
      </c>
      <c r="C953" s="17">
        <v>70</v>
      </c>
      <c r="D953" s="17" t="s">
        <v>2594</v>
      </c>
      <c r="E953" s="17">
        <v>71</v>
      </c>
      <c r="F953" s="19">
        <v>6174312</v>
      </c>
      <c r="G953" s="19">
        <v>69603923</v>
      </c>
      <c r="H953" s="8"/>
    </row>
    <row r="954" spans="2:8">
      <c r="B954" s="18">
        <v>8012</v>
      </c>
      <c r="C954" s="17">
        <v>71</v>
      </c>
      <c r="D954" s="17" t="s">
        <v>2595</v>
      </c>
      <c r="E954" s="17">
        <v>72</v>
      </c>
      <c r="F954" s="19">
        <v>6677317</v>
      </c>
      <c r="G954" s="19">
        <v>76281240</v>
      </c>
      <c r="H954" s="8"/>
    </row>
    <row r="955" spans="2:8">
      <c r="B955" s="18">
        <v>8012</v>
      </c>
      <c r="C955" s="17">
        <v>72</v>
      </c>
      <c r="D955" s="17" t="s">
        <v>2596</v>
      </c>
      <c r="E955" s="17">
        <v>73</v>
      </c>
      <c r="F955" s="19">
        <v>7213433</v>
      </c>
      <c r="G955" s="19">
        <v>83494673</v>
      </c>
      <c r="H955" s="8"/>
    </row>
    <row r="956" spans="2:8">
      <c r="B956" s="18">
        <v>8012</v>
      </c>
      <c r="C956" s="17">
        <v>73</v>
      </c>
      <c r="D956" s="17" t="s">
        <v>2597</v>
      </c>
      <c r="E956" s="17">
        <v>74</v>
      </c>
      <c r="F956" s="19">
        <v>7784333</v>
      </c>
      <c r="G956" s="19">
        <v>91279006</v>
      </c>
      <c r="H956" s="8"/>
    </row>
    <row r="957" spans="2:8">
      <c r="B957" s="18">
        <v>8012</v>
      </c>
      <c r="C957" s="17">
        <v>74</v>
      </c>
      <c r="D957" s="17" t="s">
        <v>2598</v>
      </c>
      <c r="E957" s="17">
        <v>75</v>
      </c>
      <c r="F957" s="19">
        <v>8391749</v>
      </c>
      <c r="G957" s="19">
        <v>99670755</v>
      </c>
      <c r="H957" s="8"/>
    </row>
    <row r="958" spans="2:8">
      <c r="B958" s="18">
        <v>8012</v>
      </c>
      <c r="C958" s="17">
        <v>75</v>
      </c>
      <c r="D958" s="17" t="s">
        <v>2599</v>
      </c>
      <c r="E958" s="17">
        <v>76</v>
      </c>
      <c r="F958" s="19">
        <v>9037474</v>
      </c>
      <c r="G958" s="19">
        <v>108708229</v>
      </c>
      <c r="H958" s="8"/>
    </row>
    <row r="959" spans="2:8">
      <c r="B959" s="18">
        <v>8012</v>
      </c>
      <c r="C959" s="17">
        <v>76</v>
      </c>
      <c r="D959" s="17" t="s">
        <v>2600</v>
      </c>
      <c r="E959" s="17">
        <v>77</v>
      </c>
      <c r="F959" s="19">
        <v>9723363</v>
      </c>
      <c r="G959" s="19">
        <v>118431592</v>
      </c>
      <c r="H959" s="8"/>
    </row>
    <row r="960" spans="2:8">
      <c r="B960" s="18">
        <v>8012</v>
      </c>
      <c r="C960" s="17">
        <v>77</v>
      </c>
      <c r="D960" s="17" t="s">
        <v>2601</v>
      </c>
      <c r="E960" s="17">
        <v>78</v>
      </c>
      <c r="F960" s="19">
        <v>10451334</v>
      </c>
      <c r="G960" s="19">
        <v>128882926</v>
      </c>
      <c r="H960" s="8"/>
    </row>
    <row r="961" spans="2:8">
      <c r="B961" s="18">
        <v>8012</v>
      </c>
      <c r="C961" s="17">
        <v>78</v>
      </c>
      <c r="D961" s="17" t="s">
        <v>2602</v>
      </c>
      <c r="E961" s="17">
        <v>79</v>
      </c>
      <c r="F961" s="19">
        <v>11223370</v>
      </c>
      <c r="G961" s="19">
        <v>140106296</v>
      </c>
      <c r="H961" s="8"/>
    </row>
    <row r="962" spans="2:8">
      <c r="B962" s="18">
        <v>8012</v>
      </c>
      <c r="C962" s="17">
        <v>79</v>
      </c>
      <c r="D962" s="17" t="s">
        <v>2603</v>
      </c>
      <c r="E962" s="17">
        <v>80</v>
      </c>
      <c r="F962" s="19">
        <v>12041520</v>
      </c>
      <c r="G962" s="19">
        <v>152147816</v>
      </c>
      <c r="H962" s="8"/>
    </row>
    <row r="963" spans="2:8">
      <c r="B963" s="18">
        <v>8012</v>
      </c>
      <c r="C963" s="17">
        <v>80</v>
      </c>
      <c r="D963" s="17" t="s">
        <v>2604</v>
      </c>
      <c r="E963" s="17" t="s">
        <v>1762</v>
      </c>
      <c r="F963" s="19">
        <v>12907899</v>
      </c>
      <c r="G963" s="19">
        <v>165055715</v>
      </c>
      <c r="H963" s="8"/>
    </row>
    <row r="964" spans="2:8">
      <c r="B964" s="18">
        <v>8013</v>
      </c>
      <c r="C964" s="17">
        <v>1</v>
      </c>
      <c r="D964" s="17" t="s">
        <v>2605</v>
      </c>
      <c r="E964" s="17">
        <v>2</v>
      </c>
      <c r="F964" s="19">
        <v>0</v>
      </c>
      <c r="G964" s="19">
        <v>0</v>
      </c>
      <c r="H964" s="8"/>
    </row>
    <row r="965" spans="2:8">
      <c r="B965" s="18">
        <v>8013</v>
      </c>
      <c r="C965" s="17">
        <v>2</v>
      </c>
      <c r="D965" s="17" t="s">
        <v>2606</v>
      </c>
      <c r="E965" s="17">
        <v>3</v>
      </c>
      <c r="F965" s="19">
        <v>110</v>
      </c>
      <c r="G965" s="19">
        <v>110</v>
      </c>
      <c r="H965" s="8"/>
    </row>
    <row r="966" spans="2:8">
      <c r="B966" s="18">
        <v>8013</v>
      </c>
      <c r="C966" s="17">
        <v>3</v>
      </c>
      <c r="D966" s="17" t="s">
        <v>2607</v>
      </c>
      <c r="E966" s="17">
        <v>4</v>
      </c>
      <c r="F966" s="19">
        <v>230</v>
      </c>
      <c r="G966" s="19">
        <v>340</v>
      </c>
      <c r="H966" s="8"/>
    </row>
    <row r="967" spans="2:8">
      <c r="B967" s="18">
        <v>8013</v>
      </c>
      <c r="C967" s="17">
        <v>4</v>
      </c>
      <c r="D967" s="17" t="s">
        <v>2608</v>
      </c>
      <c r="E967" s="17">
        <v>5</v>
      </c>
      <c r="F967" s="19">
        <v>360</v>
      </c>
      <c r="G967" s="19">
        <v>700</v>
      </c>
      <c r="H967" s="8"/>
    </row>
    <row r="968" spans="2:8">
      <c r="B968" s="18">
        <v>8013</v>
      </c>
      <c r="C968" s="17">
        <v>5</v>
      </c>
      <c r="D968" s="17" t="s">
        <v>2609</v>
      </c>
      <c r="E968" s="17">
        <v>6</v>
      </c>
      <c r="F968" s="19">
        <v>501</v>
      </c>
      <c r="G968" s="19">
        <v>1201</v>
      </c>
      <c r="H968" s="8"/>
    </row>
    <row r="969" spans="2:8">
      <c r="B969" s="18">
        <v>8013</v>
      </c>
      <c r="C969" s="17">
        <v>6</v>
      </c>
      <c r="D969" s="17" t="s">
        <v>2610</v>
      </c>
      <c r="E969" s="17">
        <v>7</v>
      </c>
      <c r="F969" s="19">
        <v>654</v>
      </c>
      <c r="G969" s="19">
        <v>1855</v>
      </c>
      <c r="H969" s="8"/>
    </row>
    <row r="970" spans="2:8">
      <c r="B970" s="18">
        <v>8013</v>
      </c>
      <c r="C970" s="17">
        <v>7</v>
      </c>
      <c r="D970" s="17" t="s">
        <v>2246</v>
      </c>
      <c r="E970" s="17">
        <v>8</v>
      </c>
      <c r="F970" s="19">
        <v>821</v>
      </c>
      <c r="G970" s="19">
        <v>2676</v>
      </c>
      <c r="H970" s="8"/>
    </row>
    <row r="971" spans="2:8">
      <c r="B971" s="18">
        <v>8013</v>
      </c>
      <c r="C971" s="17">
        <v>8</v>
      </c>
      <c r="D971" s="17" t="s">
        <v>2611</v>
      </c>
      <c r="E971" s="17">
        <v>9</v>
      </c>
      <c r="F971" s="19">
        <v>1006</v>
      </c>
      <c r="G971" s="19">
        <v>3682</v>
      </c>
      <c r="H971" s="8"/>
    </row>
    <row r="972" spans="2:8">
      <c r="B972" s="18">
        <v>8013</v>
      </c>
      <c r="C972" s="17">
        <v>9</v>
      </c>
      <c r="D972" s="17" t="s">
        <v>2612</v>
      </c>
      <c r="E972" s="17">
        <v>10</v>
      </c>
      <c r="F972" s="19">
        <v>1214</v>
      </c>
      <c r="G972" s="19">
        <v>4896</v>
      </c>
      <c r="H972" s="8"/>
    </row>
    <row r="973" spans="2:8">
      <c r="B973" s="18">
        <v>8013</v>
      </c>
      <c r="C973" s="17">
        <v>10</v>
      </c>
      <c r="D973" s="17" t="s">
        <v>2613</v>
      </c>
      <c r="E973" s="17">
        <v>11</v>
      </c>
      <c r="F973" s="19">
        <v>1453</v>
      </c>
      <c r="G973" s="19">
        <v>6349</v>
      </c>
      <c r="H973" s="8"/>
    </row>
    <row r="974" spans="2:8">
      <c r="B974" s="18">
        <v>8013</v>
      </c>
      <c r="C974" s="17">
        <v>11</v>
      </c>
      <c r="D974" s="17" t="s">
        <v>2614</v>
      </c>
      <c r="E974" s="17">
        <v>12</v>
      </c>
      <c r="F974" s="19">
        <v>1732</v>
      </c>
      <c r="G974" s="19">
        <v>8081</v>
      </c>
      <c r="H974" s="8"/>
    </row>
    <row r="975" spans="2:8">
      <c r="B975" s="18">
        <v>8013</v>
      </c>
      <c r="C975" s="17">
        <v>12</v>
      </c>
      <c r="D975" s="17" t="s">
        <v>2615</v>
      </c>
      <c r="E975" s="17">
        <v>13</v>
      </c>
      <c r="F975" s="19">
        <v>2063</v>
      </c>
      <c r="G975" s="19">
        <v>10144</v>
      </c>
      <c r="H975" s="8"/>
    </row>
    <row r="976" spans="2:8">
      <c r="B976" s="18">
        <v>8013</v>
      </c>
      <c r="C976" s="17">
        <v>13</v>
      </c>
      <c r="D976" s="17" t="s">
        <v>2616</v>
      </c>
      <c r="E976" s="17">
        <v>14</v>
      </c>
      <c r="F976" s="19">
        <v>2462</v>
      </c>
      <c r="G976" s="19">
        <v>12606</v>
      </c>
      <c r="H976" s="8"/>
    </row>
    <row r="977" spans="2:8">
      <c r="B977" s="18">
        <v>8013</v>
      </c>
      <c r="C977" s="17">
        <v>14</v>
      </c>
      <c r="D977" s="17" t="s">
        <v>2617</v>
      </c>
      <c r="E977" s="17">
        <v>15</v>
      </c>
      <c r="F977" s="19">
        <v>2949</v>
      </c>
      <c r="G977" s="19">
        <v>15555</v>
      </c>
      <c r="H977" s="8"/>
    </row>
    <row r="978" spans="2:8">
      <c r="B978" s="18">
        <v>8013</v>
      </c>
      <c r="C978" s="17">
        <v>15</v>
      </c>
      <c r="D978" s="17" t="s">
        <v>2618</v>
      </c>
      <c r="E978" s="17">
        <v>16</v>
      </c>
      <c r="F978" s="19">
        <v>3548</v>
      </c>
      <c r="G978" s="19">
        <v>19103</v>
      </c>
      <c r="H978" s="8"/>
    </row>
    <row r="979" spans="2:8">
      <c r="B979" s="18">
        <v>8013</v>
      </c>
      <c r="C979" s="17">
        <v>16</v>
      </c>
      <c r="D979" s="17" t="s">
        <v>2619</v>
      </c>
      <c r="E979" s="17">
        <v>17</v>
      </c>
      <c r="F979" s="19">
        <v>4288</v>
      </c>
      <c r="G979" s="19">
        <v>23391</v>
      </c>
      <c r="H979" s="8"/>
    </row>
    <row r="980" spans="2:8">
      <c r="B980" s="18">
        <v>8013</v>
      </c>
      <c r="C980" s="17">
        <v>17</v>
      </c>
      <c r="D980" s="17" t="s">
        <v>2620</v>
      </c>
      <c r="E980" s="17">
        <v>18</v>
      </c>
      <c r="F980" s="19">
        <v>5203</v>
      </c>
      <c r="G980" s="19">
        <v>28594</v>
      </c>
      <c r="H980" s="8"/>
    </row>
    <row r="981" spans="2:8">
      <c r="B981" s="18">
        <v>8013</v>
      </c>
      <c r="C981" s="17">
        <v>18</v>
      </c>
      <c r="D981" s="17" t="s">
        <v>2260</v>
      </c>
      <c r="E981" s="17">
        <v>19</v>
      </c>
      <c r="F981" s="19">
        <v>6333</v>
      </c>
      <c r="G981" s="19">
        <v>34927</v>
      </c>
      <c r="H981" s="8"/>
    </row>
    <row r="982" spans="2:8">
      <c r="B982" s="18">
        <v>8013</v>
      </c>
      <c r="C982" s="17">
        <v>19</v>
      </c>
      <c r="D982" s="17" t="s">
        <v>2621</v>
      </c>
      <c r="E982" s="17">
        <v>20</v>
      </c>
      <c r="F982" s="19">
        <v>7726</v>
      </c>
      <c r="G982" s="19">
        <v>42653</v>
      </c>
      <c r="H982" s="8"/>
    </row>
    <row r="983" spans="2:8">
      <c r="B983" s="18">
        <v>8013</v>
      </c>
      <c r="C983" s="17">
        <v>20</v>
      </c>
      <c r="D983" s="17" t="s">
        <v>2622</v>
      </c>
      <c r="E983" s="17">
        <v>21</v>
      </c>
      <c r="F983" s="19">
        <v>9436</v>
      </c>
      <c r="G983" s="19">
        <v>52089</v>
      </c>
      <c r="H983" s="8"/>
    </row>
    <row r="984" spans="2:8">
      <c r="B984" s="18">
        <v>8013</v>
      </c>
      <c r="C984" s="17">
        <v>21</v>
      </c>
      <c r="D984" s="17" t="s">
        <v>2623</v>
      </c>
      <c r="E984" s="17">
        <v>22</v>
      </c>
      <c r="F984" s="19">
        <v>11524</v>
      </c>
      <c r="G984" s="19">
        <v>63613</v>
      </c>
      <c r="H984" s="8"/>
    </row>
    <row r="985" spans="2:8">
      <c r="B985" s="18">
        <v>8013</v>
      </c>
      <c r="C985" s="17">
        <v>22</v>
      </c>
      <c r="D985" s="17" t="s">
        <v>2624</v>
      </c>
      <c r="E985" s="17">
        <v>23</v>
      </c>
      <c r="F985" s="19">
        <v>14062</v>
      </c>
      <c r="G985" s="19">
        <v>77675</v>
      </c>
      <c r="H985" s="8"/>
    </row>
    <row r="986" spans="2:8">
      <c r="B986" s="18">
        <v>8013</v>
      </c>
      <c r="C986" s="17">
        <v>23</v>
      </c>
      <c r="D986" s="17" t="s">
        <v>2625</v>
      </c>
      <c r="E986" s="17">
        <v>24</v>
      </c>
      <c r="F986" s="19">
        <v>17128</v>
      </c>
      <c r="G986" s="19">
        <v>94803</v>
      </c>
      <c r="H986" s="8"/>
    </row>
    <row r="987" spans="2:8">
      <c r="B987" s="18">
        <v>8013</v>
      </c>
      <c r="C987" s="17">
        <v>24</v>
      </c>
      <c r="D987" s="17" t="s">
        <v>2626</v>
      </c>
      <c r="E987" s="17">
        <v>25</v>
      </c>
      <c r="F987" s="19">
        <v>20813</v>
      </c>
      <c r="G987" s="19">
        <v>115616</v>
      </c>
      <c r="H987" s="8"/>
    </row>
    <row r="988" spans="2:8">
      <c r="B988" s="18">
        <v>8013</v>
      </c>
      <c r="C988" s="17">
        <v>25</v>
      </c>
      <c r="D988" s="17" t="s">
        <v>2627</v>
      </c>
      <c r="E988" s="17">
        <v>26</v>
      </c>
      <c r="F988" s="19">
        <v>25216</v>
      </c>
      <c r="G988" s="19">
        <v>140832</v>
      </c>
      <c r="H988" s="8"/>
    </row>
    <row r="989" spans="2:8">
      <c r="B989" s="18">
        <v>8013</v>
      </c>
      <c r="C989" s="17">
        <v>26</v>
      </c>
      <c r="D989" s="17" t="s">
        <v>2628</v>
      </c>
      <c r="E989" s="17">
        <v>27</v>
      </c>
      <c r="F989" s="19">
        <v>30448</v>
      </c>
      <c r="G989" s="19">
        <v>171280</v>
      </c>
      <c r="H989" s="8"/>
    </row>
    <row r="990" spans="2:8">
      <c r="B990" s="18">
        <v>8013</v>
      </c>
      <c r="C990" s="17">
        <v>27</v>
      </c>
      <c r="D990" s="17" t="s">
        <v>2629</v>
      </c>
      <c r="E990" s="17">
        <v>28</v>
      </c>
      <c r="F990" s="19">
        <v>36633</v>
      </c>
      <c r="G990" s="19">
        <v>207913</v>
      </c>
      <c r="H990" s="8"/>
    </row>
    <row r="991" spans="2:8">
      <c r="B991" s="18">
        <v>8013</v>
      </c>
      <c r="C991" s="17">
        <v>28</v>
      </c>
      <c r="D991" s="17" t="s">
        <v>2630</v>
      </c>
      <c r="E991" s="17">
        <v>29</v>
      </c>
      <c r="F991" s="19">
        <v>43906</v>
      </c>
      <c r="G991" s="19">
        <v>251819</v>
      </c>
      <c r="H991" s="8"/>
    </row>
    <row r="992" spans="2:8">
      <c r="B992" s="18">
        <v>8013</v>
      </c>
      <c r="C992" s="17">
        <v>29</v>
      </c>
      <c r="D992" s="17" t="s">
        <v>2276</v>
      </c>
      <c r="E992" s="17">
        <v>30</v>
      </c>
      <c r="F992" s="19">
        <v>52417</v>
      </c>
      <c r="G992" s="19">
        <v>304236</v>
      </c>
      <c r="H992" s="8"/>
    </row>
    <row r="993" spans="2:8">
      <c r="B993" s="18">
        <v>8013</v>
      </c>
      <c r="C993" s="17">
        <v>30</v>
      </c>
      <c r="D993" s="17" t="s">
        <v>2631</v>
      </c>
      <c r="E993" s="17">
        <v>31</v>
      </c>
      <c r="F993" s="19">
        <v>62329</v>
      </c>
      <c r="G993" s="19">
        <v>366565</v>
      </c>
      <c r="H993" s="8"/>
    </row>
    <row r="994" spans="2:8">
      <c r="B994" s="18">
        <v>8013</v>
      </c>
      <c r="C994" s="17">
        <v>31</v>
      </c>
      <c r="D994" s="17" t="s">
        <v>2632</v>
      </c>
      <c r="E994" s="17">
        <v>32</v>
      </c>
      <c r="F994" s="19">
        <v>73820</v>
      </c>
      <c r="G994" s="19">
        <v>440385</v>
      </c>
      <c r="H994" s="8"/>
    </row>
    <row r="995" spans="2:8">
      <c r="B995" s="18">
        <v>8013</v>
      </c>
      <c r="C995" s="17">
        <v>32</v>
      </c>
      <c r="D995" s="17" t="s">
        <v>2633</v>
      </c>
      <c r="E995" s="17">
        <v>33</v>
      </c>
      <c r="F995" s="19">
        <v>87084</v>
      </c>
      <c r="G995" s="19">
        <v>527469</v>
      </c>
      <c r="H995" s="8"/>
    </row>
    <row r="996" spans="2:8">
      <c r="B996" s="18">
        <v>8013</v>
      </c>
      <c r="C996" s="17">
        <v>33</v>
      </c>
      <c r="D996" s="17" t="s">
        <v>2634</v>
      </c>
      <c r="E996" s="17">
        <v>34</v>
      </c>
      <c r="F996" s="19">
        <v>102333</v>
      </c>
      <c r="G996" s="19">
        <v>629802</v>
      </c>
      <c r="H996" s="8"/>
    </row>
    <row r="997" spans="2:8">
      <c r="B997" s="18">
        <v>8013</v>
      </c>
      <c r="C997" s="17">
        <v>34</v>
      </c>
      <c r="D997" s="17" t="s">
        <v>2635</v>
      </c>
      <c r="E997" s="17">
        <v>35</v>
      </c>
      <c r="F997" s="19">
        <v>119794</v>
      </c>
      <c r="G997" s="19">
        <v>749596</v>
      </c>
      <c r="H997" s="8"/>
    </row>
    <row r="998" spans="2:8">
      <c r="B998" s="18">
        <v>8013</v>
      </c>
      <c r="C998" s="17">
        <v>35</v>
      </c>
      <c r="D998" s="17" t="s">
        <v>2636</v>
      </c>
      <c r="E998" s="17">
        <v>36</v>
      </c>
      <c r="F998" s="19">
        <v>139714</v>
      </c>
      <c r="G998" s="19">
        <v>889310</v>
      </c>
      <c r="H998" s="8"/>
    </row>
    <row r="999" spans="2:8">
      <c r="B999" s="18">
        <v>8013</v>
      </c>
      <c r="C999" s="17">
        <v>36</v>
      </c>
      <c r="D999" s="17" t="s">
        <v>2637</v>
      </c>
      <c r="E999" s="17">
        <v>37</v>
      </c>
      <c r="F999" s="19">
        <v>162358</v>
      </c>
      <c r="G999" s="19">
        <v>1051668</v>
      </c>
      <c r="H999" s="8"/>
    </row>
    <row r="1000" spans="2:8">
      <c r="B1000" s="18">
        <v>8013</v>
      </c>
      <c r="C1000" s="17">
        <v>37</v>
      </c>
      <c r="D1000" s="17" t="s">
        <v>2638</v>
      </c>
      <c r="E1000" s="17">
        <v>38</v>
      </c>
      <c r="F1000" s="19">
        <v>188012</v>
      </c>
      <c r="G1000" s="19">
        <v>1239680</v>
      </c>
      <c r="H1000" s="8"/>
    </row>
    <row r="1001" spans="2:8">
      <c r="B1001" s="18">
        <v>8013</v>
      </c>
      <c r="C1001" s="17">
        <v>38</v>
      </c>
      <c r="D1001" s="17" t="s">
        <v>2639</v>
      </c>
      <c r="E1001" s="17">
        <v>39</v>
      </c>
      <c r="F1001" s="19">
        <v>216982</v>
      </c>
      <c r="G1001" s="19">
        <v>1456662</v>
      </c>
      <c r="H1001" s="8"/>
    </row>
    <row r="1002" spans="2:8">
      <c r="B1002" s="18">
        <v>8013</v>
      </c>
      <c r="C1002" s="17">
        <v>39</v>
      </c>
      <c r="D1002" s="17" t="s">
        <v>2640</v>
      </c>
      <c r="E1002" s="17">
        <v>40</v>
      </c>
      <c r="F1002" s="19">
        <v>249596</v>
      </c>
      <c r="G1002" s="19">
        <v>1706258</v>
      </c>
      <c r="H1002" s="8"/>
    </row>
    <row r="1003" spans="2:8">
      <c r="B1003" s="18">
        <v>8013</v>
      </c>
      <c r="C1003" s="17">
        <v>40</v>
      </c>
      <c r="D1003" s="17" t="s">
        <v>2292</v>
      </c>
      <c r="E1003" s="17">
        <v>41</v>
      </c>
      <c r="F1003" s="19">
        <v>286204</v>
      </c>
      <c r="G1003" s="19">
        <v>1992462</v>
      </c>
      <c r="H1003" s="8"/>
    </row>
    <row r="1004" spans="2:8">
      <c r="B1004" s="18">
        <v>8013</v>
      </c>
      <c r="C1004" s="17">
        <v>41</v>
      </c>
      <c r="D1004" s="17" t="s">
        <v>2641</v>
      </c>
      <c r="E1004" s="17">
        <v>42</v>
      </c>
      <c r="F1004" s="19">
        <v>327181</v>
      </c>
      <c r="G1004" s="19">
        <v>2319643</v>
      </c>
      <c r="H1004" s="8"/>
    </row>
    <row r="1005" spans="2:8">
      <c r="B1005" s="18">
        <v>8013</v>
      </c>
      <c r="C1005" s="17">
        <v>42</v>
      </c>
      <c r="D1005" s="17" t="s">
        <v>2642</v>
      </c>
      <c r="E1005" s="17">
        <v>43</v>
      </c>
      <c r="F1005" s="19">
        <v>372925</v>
      </c>
      <c r="G1005" s="19">
        <v>2692568</v>
      </c>
      <c r="H1005" s="8"/>
    </row>
    <row r="1006" spans="2:8">
      <c r="B1006" s="18">
        <v>8013</v>
      </c>
      <c r="C1006" s="17">
        <v>43</v>
      </c>
      <c r="D1006" s="17" t="s">
        <v>2643</v>
      </c>
      <c r="E1006" s="17">
        <v>44</v>
      </c>
      <c r="F1006" s="19">
        <v>423860</v>
      </c>
      <c r="G1006" s="19">
        <v>3116428</v>
      </c>
      <c r="H1006" s="8"/>
    </row>
    <row r="1007" spans="2:8">
      <c r="B1007" s="18">
        <v>8013</v>
      </c>
      <c r="C1007" s="17">
        <v>44</v>
      </c>
      <c r="D1007" s="17" t="s">
        <v>2644</v>
      </c>
      <c r="E1007" s="17">
        <v>45</v>
      </c>
      <c r="F1007" s="19">
        <v>480436</v>
      </c>
      <c r="G1007" s="19">
        <v>3596864</v>
      </c>
      <c r="H1007" s="8"/>
    </row>
    <row r="1008" spans="2:8">
      <c r="B1008" s="18">
        <v>8013</v>
      </c>
      <c r="C1008" s="17">
        <v>45</v>
      </c>
      <c r="D1008" s="17" t="s">
        <v>2645</v>
      </c>
      <c r="E1008" s="17">
        <v>46</v>
      </c>
      <c r="F1008" s="19">
        <v>543131</v>
      </c>
      <c r="G1008" s="19">
        <v>4139995</v>
      </c>
      <c r="H1008" s="8"/>
    </row>
    <row r="1009" spans="2:8">
      <c r="B1009" s="18">
        <v>8013</v>
      </c>
      <c r="C1009" s="17">
        <v>46</v>
      </c>
      <c r="D1009" s="17" t="s">
        <v>2646</v>
      </c>
      <c r="E1009" s="17">
        <v>47</v>
      </c>
      <c r="F1009" s="19">
        <v>612450</v>
      </c>
      <c r="G1009" s="19">
        <v>4752445</v>
      </c>
      <c r="H1009" s="8"/>
    </row>
    <row r="1010" spans="2:8">
      <c r="B1010" s="18">
        <v>8013</v>
      </c>
      <c r="C1010" s="17">
        <v>47</v>
      </c>
      <c r="D1010" s="17" t="s">
        <v>2647</v>
      </c>
      <c r="E1010" s="17">
        <v>48</v>
      </c>
      <c r="F1010" s="19">
        <v>688928</v>
      </c>
      <c r="G1010" s="19">
        <v>5441373</v>
      </c>
      <c r="H1010" s="8"/>
    </row>
    <row r="1011" spans="2:8">
      <c r="B1011" s="18">
        <v>8013</v>
      </c>
      <c r="C1011" s="17">
        <v>48</v>
      </c>
      <c r="D1011" s="17" t="s">
        <v>2648</v>
      </c>
      <c r="E1011" s="17">
        <v>49</v>
      </c>
      <c r="F1011" s="19">
        <v>773131</v>
      </c>
      <c r="G1011" s="19">
        <v>6214504</v>
      </c>
      <c r="H1011" s="8"/>
    </row>
    <row r="1012" spans="2:8">
      <c r="B1012" s="18">
        <v>8013</v>
      </c>
      <c r="C1012" s="17">
        <v>49</v>
      </c>
      <c r="D1012" s="17" t="s">
        <v>2649</v>
      </c>
      <c r="E1012" s="17">
        <v>50</v>
      </c>
      <c r="F1012" s="19">
        <v>865655</v>
      </c>
      <c r="G1012" s="19">
        <v>7080159</v>
      </c>
      <c r="H1012" s="8"/>
    </row>
    <row r="1013" spans="2:8">
      <c r="B1013" s="18">
        <v>8013</v>
      </c>
      <c r="C1013" s="17">
        <v>50</v>
      </c>
      <c r="D1013" s="17" t="s">
        <v>2650</v>
      </c>
      <c r="E1013" s="17">
        <v>51</v>
      </c>
      <c r="F1013" s="19">
        <v>967129</v>
      </c>
      <c r="G1013" s="19">
        <v>8047288</v>
      </c>
      <c r="H1013" s="8"/>
    </row>
    <row r="1014" spans="2:8">
      <c r="B1014" s="18">
        <v>8013</v>
      </c>
      <c r="C1014" s="17">
        <v>51</v>
      </c>
      <c r="D1014" s="17" t="s">
        <v>2651</v>
      </c>
      <c r="E1014" s="17">
        <v>52</v>
      </c>
      <c r="F1014" s="19">
        <v>1078214</v>
      </c>
      <c r="G1014" s="19">
        <v>9125502</v>
      </c>
      <c r="H1014" s="8"/>
    </row>
    <row r="1015" spans="2:8">
      <c r="B1015" s="18">
        <v>8013</v>
      </c>
      <c r="C1015" s="17">
        <v>52</v>
      </c>
      <c r="D1015" s="17" t="s">
        <v>2652</v>
      </c>
      <c r="E1015" s="17">
        <v>53</v>
      </c>
      <c r="F1015" s="19">
        <v>1199606</v>
      </c>
      <c r="G1015" s="19">
        <v>10325108</v>
      </c>
      <c r="H1015" s="8"/>
    </row>
    <row r="1016" spans="2:8">
      <c r="B1016" s="18">
        <v>8013</v>
      </c>
      <c r="C1016" s="17">
        <v>53</v>
      </c>
      <c r="D1016" s="17" t="s">
        <v>2653</v>
      </c>
      <c r="E1016" s="17">
        <v>54</v>
      </c>
      <c r="F1016" s="19">
        <v>1332038</v>
      </c>
      <c r="G1016" s="19">
        <v>11657146</v>
      </c>
      <c r="H1016" s="8"/>
    </row>
    <row r="1017" spans="2:8">
      <c r="B1017" s="18">
        <v>8013</v>
      </c>
      <c r="C1017" s="17">
        <v>54</v>
      </c>
      <c r="D1017" s="17" t="s">
        <v>2654</v>
      </c>
      <c r="E1017" s="17">
        <v>55</v>
      </c>
      <c r="F1017" s="19">
        <v>1476276</v>
      </c>
      <c r="G1017" s="19">
        <v>13133422</v>
      </c>
      <c r="H1017" s="8"/>
    </row>
    <row r="1018" spans="2:8">
      <c r="B1018" s="18">
        <v>8013</v>
      </c>
      <c r="C1018" s="17">
        <v>55</v>
      </c>
      <c r="D1018" s="17" t="s">
        <v>2655</v>
      </c>
      <c r="E1018" s="17">
        <v>56</v>
      </c>
      <c r="F1018" s="19">
        <v>1633127</v>
      </c>
      <c r="G1018" s="19">
        <v>14766549</v>
      </c>
      <c r="H1018" s="8"/>
    </row>
    <row r="1019" spans="2:8">
      <c r="B1019" s="18">
        <v>8013</v>
      </c>
      <c r="C1019" s="17">
        <v>56</v>
      </c>
      <c r="D1019" s="17" t="s">
        <v>2656</v>
      </c>
      <c r="E1019" s="17">
        <v>57</v>
      </c>
      <c r="F1019" s="19">
        <v>1803434</v>
      </c>
      <c r="G1019" s="19">
        <v>16569983</v>
      </c>
      <c r="H1019" s="8"/>
    </row>
    <row r="1020" spans="2:8">
      <c r="B1020" s="18">
        <v>8013</v>
      </c>
      <c r="C1020" s="17">
        <v>57</v>
      </c>
      <c r="D1020" s="17" t="s">
        <v>2657</v>
      </c>
      <c r="E1020" s="17">
        <v>58</v>
      </c>
      <c r="F1020" s="19">
        <v>1988080</v>
      </c>
      <c r="G1020" s="19">
        <v>18558063</v>
      </c>
      <c r="H1020" s="8"/>
    </row>
    <row r="1021" spans="2:8">
      <c r="B1021" s="18">
        <v>8013</v>
      </c>
      <c r="C1021" s="17">
        <v>58</v>
      </c>
      <c r="D1021" s="17" t="s">
        <v>2658</v>
      </c>
      <c r="E1021" s="17">
        <v>59</v>
      </c>
      <c r="F1021" s="19">
        <v>2187990</v>
      </c>
      <c r="G1021" s="19">
        <v>20746053</v>
      </c>
      <c r="H1021" s="8"/>
    </row>
    <row r="1022" spans="2:8">
      <c r="B1022" s="18">
        <v>8013</v>
      </c>
      <c r="C1022" s="17">
        <v>59</v>
      </c>
      <c r="D1022" s="17" t="s">
        <v>2659</v>
      </c>
      <c r="E1022" s="17">
        <v>60</v>
      </c>
      <c r="F1022" s="19">
        <v>2404129</v>
      </c>
      <c r="G1022" s="19">
        <v>23150182</v>
      </c>
      <c r="H1022" s="8"/>
    </row>
    <row r="1023" spans="2:8">
      <c r="B1023" s="18">
        <v>8013</v>
      </c>
      <c r="C1023" s="17">
        <v>60</v>
      </c>
      <c r="D1023" s="17" t="s">
        <v>2660</v>
      </c>
      <c r="E1023" s="17">
        <v>61</v>
      </c>
      <c r="F1023" s="19">
        <v>2637507</v>
      </c>
      <c r="G1023" s="19">
        <v>25787689</v>
      </c>
      <c r="H1023" s="8"/>
    </row>
    <row r="1024" spans="2:8">
      <c r="B1024" s="18">
        <v>8013</v>
      </c>
      <c r="C1024" s="17">
        <v>61</v>
      </c>
      <c r="D1024" s="17" t="s">
        <v>2661</v>
      </c>
      <c r="E1024" s="17">
        <v>62</v>
      </c>
      <c r="F1024" s="19">
        <v>2889176</v>
      </c>
      <c r="G1024" s="19">
        <v>28676865</v>
      </c>
      <c r="H1024" s="8"/>
    </row>
    <row r="1025" spans="2:8">
      <c r="B1025" s="18">
        <v>8013</v>
      </c>
      <c r="C1025" s="17">
        <v>62</v>
      </c>
      <c r="D1025" s="17" t="s">
        <v>2662</v>
      </c>
      <c r="E1025" s="17">
        <v>63</v>
      </c>
      <c r="F1025" s="19">
        <v>3160234</v>
      </c>
      <c r="G1025" s="19">
        <v>31837099</v>
      </c>
      <c r="H1025" s="8"/>
    </row>
    <row r="1026" spans="2:8">
      <c r="B1026" s="18">
        <v>8013</v>
      </c>
      <c r="C1026" s="17">
        <v>63</v>
      </c>
      <c r="D1026" s="17" t="s">
        <v>2663</v>
      </c>
      <c r="E1026" s="17">
        <v>64</v>
      </c>
      <c r="F1026" s="19">
        <v>3451826</v>
      </c>
      <c r="G1026" s="19">
        <v>35288925</v>
      </c>
      <c r="H1026" s="8"/>
    </row>
    <row r="1027" spans="2:8">
      <c r="B1027" s="18">
        <v>8013</v>
      </c>
      <c r="C1027" s="17">
        <v>64</v>
      </c>
      <c r="D1027" s="17" t="s">
        <v>2664</v>
      </c>
      <c r="E1027" s="17">
        <v>65</v>
      </c>
      <c r="F1027" s="19">
        <v>3765144</v>
      </c>
      <c r="G1027" s="19">
        <v>39054069</v>
      </c>
      <c r="H1027" s="8"/>
    </row>
    <row r="1028" spans="2:8">
      <c r="B1028" s="18">
        <v>8013</v>
      </c>
      <c r="C1028" s="17">
        <v>65</v>
      </c>
      <c r="D1028" s="17" t="s">
        <v>2665</v>
      </c>
      <c r="E1028" s="17">
        <v>66</v>
      </c>
      <c r="F1028" s="19">
        <v>4101428</v>
      </c>
      <c r="G1028" s="19">
        <v>43155497</v>
      </c>
      <c r="H1028" s="8"/>
    </row>
    <row r="1029" spans="2:8">
      <c r="B1029" s="18">
        <v>8013</v>
      </c>
      <c r="C1029" s="17">
        <v>66</v>
      </c>
      <c r="D1029" s="17" t="s">
        <v>2666</v>
      </c>
      <c r="E1029" s="17">
        <v>67</v>
      </c>
      <c r="F1029" s="19">
        <v>4461968</v>
      </c>
      <c r="G1029" s="19">
        <v>47617465</v>
      </c>
      <c r="H1029" s="8"/>
    </row>
    <row r="1030" spans="2:8">
      <c r="B1030" s="18">
        <v>8013</v>
      </c>
      <c r="C1030" s="17">
        <v>67</v>
      </c>
      <c r="D1030" s="17" t="s">
        <v>2667</v>
      </c>
      <c r="E1030" s="17">
        <v>68</v>
      </c>
      <c r="F1030" s="19">
        <v>4848106</v>
      </c>
      <c r="G1030" s="19">
        <v>52465571</v>
      </c>
      <c r="H1030" s="8"/>
    </row>
    <row r="1031" spans="2:8">
      <c r="B1031" s="18">
        <v>8013</v>
      </c>
      <c r="C1031" s="17">
        <v>68</v>
      </c>
      <c r="D1031" s="17" t="s">
        <v>2668</v>
      </c>
      <c r="E1031" s="17">
        <v>69</v>
      </c>
      <c r="F1031" s="19">
        <v>5261236</v>
      </c>
      <c r="G1031" s="19">
        <v>57726807</v>
      </c>
      <c r="H1031" s="8"/>
    </row>
    <row r="1032" spans="2:8">
      <c r="B1032" s="18">
        <v>8013</v>
      </c>
      <c r="C1032" s="17">
        <v>69</v>
      </c>
      <c r="D1032" s="17" t="s">
        <v>2669</v>
      </c>
      <c r="E1032" s="17">
        <v>70</v>
      </c>
      <c r="F1032" s="19">
        <v>5702804</v>
      </c>
      <c r="G1032" s="19">
        <v>63429611</v>
      </c>
      <c r="H1032" s="8"/>
    </row>
    <row r="1033" spans="2:8">
      <c r="B1033" s="18">
        <v>8013</v>
      </c>
      <c r="C1033" s="17">
        <v>70</v>
      </c>
      <c r="D1033" s="17" t="s">
        <v>2670</v>
      </c>
      <c r="E1033" s="17">
        <v>71</v>
      </c>
      <c r="F1033" s="19">
        <v>6174312</v>
      </c>
      <c r="G1033" s="19">
        <v>69603923</v>
      </c>
      <c r="H1033" s="8"/>
    </row>
    <row r="1034" spans="2:8">
      <c r="B1034" s="18">
        <v>8013</v>
      </c>
      <c r="C1034" s="17">
        <v>71</v>
      </c>
      <c r="D1034" s="17" t="s">
        <v>2671</v>
      </c>
      <c r="E1034" s="17">
        <v>72</v>
      </c>
      <c r="F1034" s="19">
        <v>6677317</v>
      </c>
      <c r="G1034" s="19">
        <v>76281240</v>
      </c>
      <c r="H1034" s="8"/>
    </row>
    <row r="1035" spans="2:8">
      <c r="B1035" s="18">
        <v>8013</v>
      </c>
      <c r="C1035" s="17">
        <v>72</v>
      </c>
      <c r="D1035" s="17" t="s">
        <v>2672</v>
      </c>
      <c r="E1035" s="17">
        <v>73</v>
      </c>
      <c r="F1035" s="19">
        <v>7213433</v>
      </c>
      <c r="G1035" s="19">
        <v>83494673</v>
      </c>
      <c r="H1035" s="8"/>
    </row>
    <row r="1036" spans="2:8">
      <c r="B1036" s="18">
        <v>8013</v>
      </c>
      <c r="C1036" s="17">
        <v>73</v>
      </c>
      <c r="D1036" s="17" t="s">
        <v>2673</v>
      </c>
      <c r="E1036" s="17">
        <v>74</v>
      </c>
      <c r="F1036" s="19">
        <v>7784333</v>
      </c>
      <c r="G1036" s="19">
        <v>91279006</v>
      </c>
      <c r="H1036" s="8"/>
    </row>
    <row r="1037" spans="2:8">
      <c r="B1037" s="18">
        <v>8013</v>
      </c>
      <c r="C1037" s="17">
        <v>74</v>
      </c>
      <c r="D1037" s="17" t="s">
        <v>2674</v>
      </c>
      <c r="E1037" s="17">
        <v>75</v>
      </c>
      <c r="F1037" s="19">
        <v>8391749</v>
      </c>
      <c r="G1037" s="19">
        <v>99670755</v>
      </c>
      <c r="H1037" s="8"/>
    </row>
    <row r="1038" spans="2:8">
      <c r="B1038" s="18">
        <v>8013</v>
      </c>
      <c r="C1038" s="17">
        <v>75</v>
      </c>
      <c r="D1038" s="17" t="s">
        <v>2675</v>
      </c>
      <c r="E1038" s="17">
        <v>76</v>
      </c>
      <c r="F1038" s="19">
        <v>9037474</v>
      </c>
      <c r="G1038" s="19">
        <v>108708229</v>
      </c>
      <c r="H1038" s="8"/>
    </row>
    <row r="1039" spans="2:8">
      <c r="B1039" s="18">
        <v>8013</v>
      </c>
      <c r="C1039" s="17">
        <v>76</v>
      </c>
      <c r="D1039" s="17" t="s">
        <v>2676</v>
      </c>
      <c r="E1039" s="17">
        <v>77</v>
      </c>
      <c r="F1039" s="19">
        <v>9723363</v>
      </c>
      <c r="G1039" s="19">
        <v>118431592</v>
      </c>
      <c r="H1039" s="8"/>
    </row>
    <row r="1040" spans="2:8">
      <c r="B1040" s="18">
        <v>8013</v>
      </c>
      <c r="C1040" s="17">
        <v>77</v>
      </c>
      <c r="D1040" s="17" t="s">
        <v>2677</v>
      </c>
      <c r="E1040" s="17">
        <v>78</v>
      </c>
      <c r="F1040" s="19">
        <v>10451334</v>
      </c>
      <c r="G1040" s="19">
        <v>128882926</v>
      </c>
      <c r="H1040" s="8"/>
    </row>
    <row r="1041" spans="2:8">
      <c r="B1041" s="18">
        <v>8013</v>
      </c>
      <c r="C1041" s="17">
        <v>78</v>
      </c>
      <c r="D1041" s="17" t="s">
        <v>2678</v>
      </c>
      <c r="E1041" s="17">
        <v>79</v>
      </c>
      <c r="F1041" s="19">
        <v>11223370</v>
      </c>
      <c r="G1041" s="19">
        <v>140106296</v>
      </c>
      <c r="H1041" s="8"/>
    </row>
    <row r="1042" spans="2:8">
      <c r="B1042" s="18">
        <v>8013</v>
      </c>
      <c r="C1042" s="17">
        <v>79</v>
      </c>
      <c r="D1042" s="17" t="s">
        <v>2679</v>
      </c>
      <c r="E1042" s="17">
        <v>80</v>
      </c>
      <c r="F1042" s="19">
        <v>12041520</v>
      </c>
      <c r="G1042" s="19">
        <v>152147816</v>
      </c>
      <c r="H1042" s="8"/>
    </row>
    <row r="1043" spans="2:8">
      <c r="B1043" s="18">
        <v>8013</v>
      </c>
      <c r="C1043" s="17">
        <v>80</v>
      </c>
      <c r="D1043" s="17" t="s">
        <v>2680</v>
      </c>
      <c r="E1043" s="17" t="s">
        <v>1762</v>
      </c>
      <c r="F1043" s="19">
        <v>12907899</v>
      </c>
      <c r="G1043" s="19">
        <v>165055715</v>
      </c>
      <c r="H1043" s="8"/>
    </row>
    <row r="1044" spans="2:8">
      <c r="B1044" s="18">
        <v>8014</v>
      </c>
      <c r="C1044" s="17">
        <v>1</v>
      </c>
      <c r="D1044" s="17" t="s">
        <v>2681</v>
      </c>
      <c r="E1044" s="17">
        <v>2</v>
      </c>
      <c r="F1044" s="19">
        <v>0</v>
      </c>
      <c r="G1044" s="19">
        <v>0</v>
      </c>
      <c r="H1044" s="8"/>
    </row>
    <row r="1045" spans="2:8">
      <c r="B1045" s="18">
        <v>8014</v>
      </c>
      <c r="C1045" s="17">
        <v>2</v>
      </c>
      <c r="D1045" s="17" t="s">
        <v>2682</v>
      </c>
      <c r="E1045" s="17">
        <v>3</v>
      </c>
      <c r="F1045" s="19">
        <v>110</v>
      </c>
      <c r="G1045" s="19">
        <v>110</v>
      </c>
      <c r="H1045" s="8"/>
    </row>
    <row r="1046" spans="2:8">
      <c r="B1046" s="18">
        <v>8014</v>
      </c>
      <c r="C1046" s="17">
        <v>3</v>
      </c>
      <c r="D1046" s="17" t="s">
        <v>2683</v>
      </c>
      <c r="E1046" s="17">
        <v>4</v>
      </c>
      <c r="F1046" s="19">
        <v>230</v>
      </c>
      <c r="G1046" s="19">
        <v>340</v>
      </c>
      <c r="H1046" s="8"/>
    </row>
    <row r="1047" spans="2:8">
      <c r="B1047" s="18">
        <v>8014</v>
      </c>
      <c r="C1047" s="17">
        <v>4</v>
      </c>
      <c r="D1047" s="17" t="s">
        <v>2684</v>
      </c>
      <c r="E1047" s="17">
        <v>5</v>
      </c>
      <c r="F1047" s="19">
        <v>360</v>
      </c>
      <c r="G1047" s="19">
        <v>700</v>
      </c>
      <c r="H1047" s="8"/>
    </row>
    <row r="1048" spans="2:8">
      <c r="B1048" s="18">
        <v>8014</v>
      </c>
      <c r="C1048" s="17">
        <v>5</v>
      </c>
      <c r="D1048" s="17" t="s">
        <v>2685</v>
      </c>
      <c r="E1048" s="17">
        <v>6</v>
      </c>
      <c r="F1048" s="19">
        <v>501</v>
      </c>
      <c r="G1048" s="19">
        <v>1201</v>
      </c>
      <c r="H1048" s="8"/>
    </row>
    <row r="1049" spans="2:8">
      <c r="B1049" s="18">
        <v>8014</v>
      </c>
      <c r="C1049" s="17">
        <v>6</v>
      </c>
      <c r="D1049" s="17" t="s">
        <v>2686</v>
      </c>
      <c r="E1049" s="17">
        <v>7</v>
      </c>
      <c r="F1049" s="19">
        <v>654</v>
      </c>
      <c r="G1049" s="19">
        <v>1855</v>
      </c>
      <c r="H1049" s="8"/>
    </row>
    <row r="1050" spans="2:8">
      <c r="B1050" s="18">
        <v>8014</v>
      </c>
      <c r="C1050" s="17">
        <v>7</v>
      </c>
      <c r="D1050" s="17" t="s">
        <v>2320</v>
      </c>
      <c r="E1050" s="17">
        <v>8</v>
      </c>
      <c r="F1050" s="19">
        <v>821</v>
      </c>
      <c r="G1050" s="19">
        <v>2676</v>
      </c>
      <c r="H1050" s="8"/>
    </row>
    <row r="1051" spans="2:8">
      <c r="B1051" s="18">
        <v>8014</v>
      </c>
      <c r="C1051" s="17">
        <v>8</v>
      </c>
      <c r="D1051" s="17" t="s">
        <v>2687</v>
      </c>
      <c r="E1051" s="17">
        <v>9</v>
      </c>
      <c r="F1051" s="19">
        <v>1006</v>
      </c>
      <c r="G1051" s="19">
        <v>3682</v>
      </c>
      <c r="H1051" s="8"/>
    </row>
    <row r="1052" spans="2:8">
      <c r="B1052" s="18">
        <v>8014</v>
      </c>
      <c r="C1052" s="17">
        <v>9</v>
      </c>
      <c r="D1052" s="17" t="s">
        <v>2688</v>
      </c>
      <c r="E1052" s="17">
        <v>10</v>
      </c>
      <c r="F1052" s="19">
        <v>1214</v>
      </c>
      <c r="G1052" s="19">
        <v>4896</v>
      </c>
      <c r="H1052" s="8"/>
    </row>
    <row r="1053" spans="2:8">
      <c r="B1053" s="18">
        <v>8014</v>
      </c>
      <c r="C1053" s="17">
        <v>10</v>
      </c>
      <c r="D1053" s="17" t="s">
        <v>2689</v>
      </c>
      <c r="E1053" s="17">
        <v>11</v>
      </c>
      <c r="F1053" s="19">
        <v>1453</v>
      </c>
      <c r="G1053" s="19">
        <v>6349</v>
      </c>
      <c r="H1053" s="8"/>
    </row>
    <row r="1054" spans="2:8">
      <c r="B1054" s="18">
        <v>8014</v>
      </c>
      <c r="C1054" s="17">
        <v>11</v>
      </c>
      <c r="D1054" s="17" t="s">
        <v>2690</v>
      </c>
      <c r="E1054" s="17">
        <v>12</v>
      </c>
      <c r="F1054" s="19">
        <v>1732</v>
      </c>
      <c r="G1054" s="19">
        <v>8081</v>
      </c>
      <c r="H1054" s="8"/>
    </row>
    <row r="1055" spans="2:8">
      <c r="B1055" s="18">
        <v>8014</v>
      </c>
      <c r="C1055" s="17">
        <v>12</v>
      </c>
      <c r="D1055" s="17" t="s">
        <v>2691</v>
      </c>
      <c r="E1055" s="17">
        <v>13</v>
      </c>
      <c r="F1055" s="19">
        <v>2063</v>
      </c>
      <c r="G1055" s="19">
        <v>10144</v>
      </c>
      <c r="H1055" s="8"/>
    </row>
    <row r="1056" spans="2:8">
      <c r="B1056" s="18">
        <v>8014</v>
      </c>
      <c r="C1056" s="17">
        <v>13</v>
      </c>
      <c r="D1056" s="17" t="s">
        <v>2692</v>
      </c>
      <c r="E1056" s="17">
        <v>14</v>
      </c>
      <c r="F1056" s="19">
        <v>2462</v>
      </c>
      <c r="G1056" s="19">
        <v>12606</v>
      </c>
      <c r="H1056" s="8"/>
    </row>
    <row r="1057" spans="2:8">
      <c r="B1057" s="18">
        <v>8014</v>
      </c>
      <c r="C1057" s="17">
        <v>14</v>
      </c>
      <c r="D1057" s="17" t="s">
        <v>2693</v>
      </c>
      <c r="E1057" s="17">
        <v>15</v>
      </c>
      <c r="F1057" s="19">
        <v>2949</v>
      </c>
      <c r="G1057" s="19">
        <v>15555</v>
      </c>
      <c r="H1057" s="8"/>
    </row>
    <row r="1058" spans="2:8">
      <c r="B1058" s="18">
        <v>8014</v>
      </c>
      <c r="C1058" s="17">
        <v>15</v>
      </c>
      <c r="D1058" s="17" t="s">
        <v>2694</v>
      </c>
      <c r="E1058" s="17">
        <v>16</v>
      </c>
      <c r="F1058" s="19">
        <v>3548</v>
      </c>
      <c r="G1058" s="19">
        <v>19103</v>
      </c>
      <c r="H1058" s="8"/>
    </row>
    <row r="1059" spans="2:8">
      <c r="B1059" s="18">
        <v>8014</v>
      </c>
      <c r="C1059" s="17">
        <v>16</v>
      </c>
      <c r="D1059" s="17" t="s">
        <v>2695</v>
      </c>
      <c r="E1059" s="17">
        <v>17</v>
      </c>
      <c r="F1059" s="19">
        <v>4288</v>
      </c>
      <c r="G1059" s="19">
        <v>23391</v>
      </c>
      <c r="H1059" s="8"/>
    </row>
    <row r="1060" spans="2:8">
      <c r="B1060" s="18">
        <v>8014</v>
      </c>
      <c r="C1060" s="17">
        <v>17</v>
      </c>
      <c r="D1060" s="17" t="s">
        <v>2696</v>
      </c>
      <c r="E1060" s="17">
        <v>18</v>
      </c>
      <c r="F1060" s="19">
        <v>5203</v>
      </c>
      <c r="G1060" s="19">
        <v>28594</v>
      </c>
      <c r="H1060" s="8"/>
    </row>
    <row r="1061" spans="2:8">
      <c r="B1061" s="18">
        <v>8014</v>
      </c>
      <c r="C1061" s="17">
        <v>18</v>
      </c>
      <c r="D1061" s="17" t="s">
        <v>2334</v>
      </c>
      <c r="E1061" s="17">
        <v>19</v>
      </c>
      <c r="F1061" s="19">
        <v>6333</v>
      </c>
      <c r="G1061" s="19">
        <v>34927</v>
      </c>
      <c r="H1061" s="8"/>
    </row>
    <row r="1062" spans="2:8">
      <c r="B1062" s="18">
        <v>8014</v>
      </c>
      <c r="C1062" s="17">
        <v>19</v>
      </c>
      <c r="D1062" s="17" t="s">
        <v>2697</v>
      </c>
      <c r="E1062" s="17">
        <v>20</v>
      </c>
      <c r="F1062" s="19">
        <v>7726</v>
      </c>
      <c r="G1062" s="19">
        <v>42653</v>
      </c>
      <c r="H1062" s="8"/>
    </row>
    <row r="1063" spans="2:8">
      <c r="B1063" s="18">
        <v>8014</v>
      </c>
      <c r="C1063" s="17">
        <v>20</v>
      </c>
      <c r="D1063" s="17" t="s">
        <v>2698</v>
      </c>
      <c r="E1063" s="17">
        <v>21</v>
      </c>
      <c r="F1063" s="19">
        <v>9436</v>
      </c>
      <c r="G1063" s="19">
        <v>52089</v>
      </c>
      <c r="H1063" s="8"/>
    </row>
    <row r="1064" spans="2:8">
      <c r="B1064" s="18">
        <v>8014</v>
      </c>
      <c r="C1064" s="17">
        <v>21</v>
      </c>
      <c r="D1064" s="17" t="s">
        <v>2699</v>
      </c>
      <c r="E1064" s="17">
        <v>22</v>
      </c>
      <c r="F1064" s="19">
        <v>11524</v>
      </c>
      <c r="G1064" s="19">
        <v>63613</v>
      </c>
      <c r="H1064" s="8"/>
    </row>
    <row r="1065" spans="2:8">
      <c r="B1065" s="18">
        <v>8014</v>
      </c>
      <c r="C1065" s="17">
        <v>22</v>
      </c>
      <c r="D1065" s="17" t="s">
        <v>2700</v>
      </c>
      <c r="E1065" s="17">
        <v>23</v>
      </c>
      <c r="F1065" s="19">
        <v>14062</v>
      </c>
      <c r="G1065" s="19">
        <v>77675</v>
      </c>
    </row>
    <row r="1066" spans="2:8">
      <c r="B1066" s="18">
        <v>8014</v>
      </c>
      <c r="C1066" s="17">
        <v>23</v>
      </c>
      <c r="D1066" s="17" t="s">
        <v>2701</v>
      </c>
      <c r="E1066" s="17">
        <v>24</v>
      </c>
      <c r="F1066" s="19">
        <v>17128</v>
      </c>
      <c r="G1066" s="19">
        <v>94803</v>
      </c>
      <c r="H1066" s="8"/>
    </row>
    <row r="1067" spans="2:8">
      <c r="B1067" s="18">
        <v>8014</v>
      </c>
      <c r="C1067" s="17">
        <v>24</v>
      </c>
      <c r="D1067" s="17" t="s">
        <v>2702</v>
      </c>
      <c r="E1067" s="17">
        <v>25</v>
      </c>
      <c r="F1067" s="19">
        <v>20813</v>
      </c>
      <c r="G1067" s="19">
        <v>115616</v>
      </c>
      <c r="H1067" s="8"/>
    </row>
    <row r="1068" spans="2:8">
      <c r="B1068" s="18">
        <v>8014</v>
      </c>
      <c r="C1068" s="17">
        <v>25</v>
      </c>
      <c r="D1068" s="17" t="s">
        <v>2703</v>
      </c>
      <c r="E1068" s="17">
        <v>26</v>
      </c>
      <c r="F1068" s="19">
        <v>25216</v>
      </c>
      <c r="G1068" s="19">
        <v>140832</v>
      </c>
      <c r="H1068" s="8"/>
    </row>
    <row r="1069" spans="2:8">
      <c r="B1069" s="18">
        <v>8014</v>
      </c>
      <c r="C1069" s="17">
        <v>26</v>
      </c>
      <c r="D1069" s="17" t="s">
        <v>2704</v>
      </c>
      <c r="E1069" s="17">
        <v>27</v>
      </c>
      <c r="F1069" s="19">
        <v>30448</v>
      </c>
      <c r="G1069" s="19">
        <v>171280</v>
      </c>
      <c r="H1069" s="8"/>
    </row>
    <row r="1070" spans="2:8">
      <c r="B1070" s="18">
        <v>8014</v>
      </c>
      <c r="C1070" s="17">
        <v>27</v>
      </c>
      <c r="D1070" s="17" t="s">
        <v>2705</v>
      </c>
      <c r="E1070" s="17">
        <v>28</v>
      </c>
      <c r="F1070" s="19">
        <v>36633</v>
      </c>
      <c r="G1070" s="19">
        <v>207913</v>
      </c>
      <c r="H1070" s="8"/>
    </row>
    <row r="1071" spans="2:8">
      <c r="B1071" s="18">
        <v>8014</v>
      </c>
      <c r="C1071" s="17">
        <v>28</v>
      </c>
      <c r="D1071" s="17" t="s">
        <v>2706</v>
      </c>
      <c r="E1071" s="17">
        <v>29</v>
      </c>
      <c r="F1071" s="19">
        <v>43906</v>
      </c>
      <c r="G1071" s="19">
        <v>251819</v>
      </c>
      <c r="H1071" s="8"/>
    </row>
    <row r="1072" spans="2:8">
      <c r="B1072" s="18">
        <v>8014</v>
      </c>
      <c r="C1072" s="17">
        <v>29</v>
      </c>
      <c r="D1072" s="17" t="s">
        <v>2350</v>
      </c>
      <c r="E1072" s="17">
        <v>30</v>
      </c>
      <c r="F1072" s="19">
        <v>52417</v>
      </c>
      <c r="G1072" s="19">
        <v>304236</v>
      </c>
      <c r="H1072" s="8"/>
    </row>
    <row r="1073" spans="2:8">
      <c r="B1073" s="18">
        <v>8014</v>
      </c>
      <c r="C1073" s="17">
        <v>30</v>
      </c>
      <c r="D1073" s="17" t="s">
        <v>2707</v>
      </c>
      <c r="E1073" s="17">
        <v>31</v>
      </c>
      <c r="F1073" s="19">
        <v>62329</v>
      </c>
      <c r="G1073" s="19">
        <v>366565</v>
      </c>
      <c r="H1073" s="8"/>
    </row>
    <row r="1074" spans="2:8">
      <c r="B1074" s="18">
        <v>8014</v>
      </c>
      <c r="C1074" s="17">
        <v>31</v>
      </c>
      <c r="D1074" s="17" t="s">
        <v>2708</v>
      </c>
      <c r="E1074" s="17">
        <v>32</v>
      </c>
      <c r="F1074" s="19">
        <v>73820</v>
      </c>
      <c r="G1074" s="19">
        <v>440385</v>
      </c>
      <c r="H1074" s="8"/>
    </row>
    <row r="1075" spans="2:8">
      <c r="B1075" s="18">
        <v>8014</v>
      </c>
      <c r="C1075" s="17">
        <v>32</v>
      </c>
      <c r="D1075" s="17" t="s">
        <v>2709</v>
      </c>
      <c r="E1075" s="17">
        <v>33</v>
      </c>
      <c r="F1075" s="19">
        <v>87084</v>
      </c>
      <c r="G1075" s="19">
        <v>527469</v>
      </c>
      <c r="H1075" s="8"/>
    </row>
    <row r="1076" spans="2:8">
      <c r="B1076" s="18">
        <v>8014</v>
      </c>
      <c r="C1076" s="17">
        <v>33</v>
      </c>
      <c r="D1076" s="17" t="s">
        <v>2710</v>
      </c>
      <c r="E1076" s="17">
        <v>34</v>
      </c>
      <c r="F1076" s="19">
        <v>102333</v>
      </c>
      <c r="G1076" s="19">
        <v>629802</v>
      </c>
      <c r="H1076" s="8"/>
    </row>
    <row r="1077" spans="2:8">
      <c r="B1077" s="18">
        <v>8014</v>
      </c>
      <c r="C1077" s="17">
        <v>34</v>
      </c>
      <c r="D1077" s="17" t="s">
        <v>2711</v>
      </c>
      <c r="E1077" s="17">
        <v>35</v>
      </c>
      <c r="F1077" s="19">
        <v>119794</v>
      </c>
      <c r="G1077" s="19">
        <v>749596</v>
      </c>
      <c r="H1077" s="8"/>
    </row>
    <row r="1078" spans="2:8">
      <c r="B1078" s="18">
        <v>8014</v>
      </c>
      <c r="C1078" s="17">
        <v>35</v>
      </c>
      <c r="D1078" s="17" t="s">
        <v>2712</v>
      </c>
      <c r="E1078" s="17">
        <v>36</v>
      </c>
      <c r="F1078" s="19">
        <v>139714</v>
      </c>
      <c r="G1078" s="19">
        <v>889310</v>
      </c>
      <c r="H1078" s="8"/>
    </row>
    <row r="1079" spans="2:8">
      <c r="B1079" s="18">
        <v>8014</v>
      </c>
      <c r="C1079" s="17">
        <v>36</v>
      </c>
      <c r="D1079" s="17" t="s">
        <v>2713</v>
      </c>
      <c r="E1079" s="17">
        <v>37</v>
      </c>
      <c r="F1079" s="19">
        <v>162358</v>
      </c>
      <c r="G1079" s="19">
        <v>1051668</v>
      </c>
      <c r="H1079" s="8"/>
    </row>
    <row r="1080" spans="2:8">
      <c r="B1080" s="18">
        <v>8014</v>
      </c>
      <c r="C1080" s="17">
        <v>37</v>
      </c>
      <c r="D1080" s="17" t="s">
        <v>2714</v>
      </c>
      <c r="E1080" s="17">
        <v>38</v>
      </c>
      <c r="F1080" s="19">
        <v>188012</v>
      </c>
      <c r="G1080" s="19">
        <v>1239680</v>
      </c>
      <c r="H1080" s="8"/>
    </row>
    <row r="1081" spans="2:8">
      <c r="B1081" s="18">
        <v>8014</v>
      </c>
      <c r="C1081" s="17">
        <v>38</v>
      </c>
      <c r="D1081" s="17" t="s">
        <v>2715</v>
      </c>
      <c r="E1081" s="17">
        <v>39</v>
      </c>
      <c r="F1081" s="19">
        <v>216982</v>
      </c>
      <c r="G1081" s="19">
        <v>1456662</v>
      </c>
      <c r="H1081" s="8"/>
    </row>
    <row r="1082" spans="2:8">
      <c r="B1082" s="18">
        <v>8014</v>
      </c>
      <c r="C1082" s="17">
        <v>39</v>
      </c>
      <c r="D1082" s="17" t="s">
        <v>2716</v>
      </c>
      <c r="E1082" s="17">
        <v>40</v>
      </c>
      <c r="F1082" s="19">
        <v>249596</v>
      </c>
      <c r="G1082" s="19">
        <v>1706258</v>
      </c>
      <c r="H1082" s="8"/>
    </row>
    <row r="1083" spans="2:8">
      <c r="B1083" s="18">
        <v>8014</v>
      </c>
      <c r="C1083" s="17">
        <v>40</v>
      </c>
      <c r="D1083" s="17" t="s">
        <v>2366</v>
      </c>
      <c r="E1083" s="17">
        <v>41</v>
      </c>
      <c r="F1083" s="19">
        <v>286204</v>
      </c>
      <c r="G1083" s="19">
        <v>1992462</v>
      </c>
      <c r="H1083" s="8"/>
    </row>
    <row r="1084" spans="2:8">
      <c r="B1084" s="18">
        <v>8014</v>
      </c>
      <c r="C1084" s="17">
        <v>41</v>
      </c>
      <c r="D1084" s="17" t="s">
        <v>2717</v>
      </c>
      <c r="E1084" s="17">
        <v>42</v>
      </c>
      <c r="F1084" s="19">
        <v>327181</v>
      </c>
      <c r="G1084" s="19">
        <v>2319643</v>
      </c>
      <c r="H1084" s="8"/>
    </row>
    <row r="1085" spans="2:8">
      <c r="B1085" s="18">
        <v>8014</v>
      </c>
      <c r="C1085" s="17">
        <v>42</v>
      </c>
      <c r="D1085" s="17" t="s">
        <v>2718</v>
      </c>
      <c r="E1085" s="17">
        <v>43</v>
      </c>
      <c r="F1085" s="19">
        <v>372925</v>
      </c>
      <c r="G1085" s="19">
        <v>2692568</v>
      </c>
      <c r="H1085" s="8"/>
    </row>
    <row r="1086" spans="2:8">
      <c r="B1086" s="18">
        <v>8014</v>
      </c>
      <c r="C1086" s="17">
        <v>43</v>
      </c>
      <c r="D1086" s="17" t="s">
        <v>2719</v>
      </c>
      <c r="E1086" s="17">
        <v>44</v>
      </c>
      <c r="F1086" s="19">
        <v>423860</v>
      </c>
      <c r="G1086" s="19">
        <v>3116428</v>
      </c>
      <c r="H1086" s="8"/>
    </row>
    <row r="1087" spans="2:8">
      <c r="B1087" s="18">
        <v>8014</v>
      </c>
      <c r="C1087" s="17">
        <v>44</v>
      </c>
      <c r="D1087" s="17" t="s">
        <v>2720</v>
      </c>
      <c r="E1087" s="17">
        <v>45</v>
      </c>
      <c r="F1087" s="19">
        <v>480436</v>
      </c>
      <c r="G1087" s="19">
        <v>3596864</v>
      </c>
      <c r="H1087" s="8"/>
    </row>
    <row r="1088" spans="2:8">
      <c r="B1088" s="18">
        <v>8014</v>
      </c>
      <c r="C1088" s="17">
        <v>45</v>
      </c>
      <c r="D1088" s="17" t="s">
        <v>2721</v>
      </c>
      <c r="E1088" s="17">
        <v>46</v>
      </c>
      <c r="F1088" s="19">
        <v>543131</v>
      </c>
      <c r="G1088" s="19">
        <v>4139995</v>
      </c>
      <c r="H1088" s="8"/>
    </row>
    <row r="1089" spans="2:8">
      <c r="B1089" s="18">
        <v>8014</v>
      </c>
      <c r="C1089" s="17">
        <v>46</v>
      </c>
      <c r="D1089" s="17" t="s">
        <v>2722</v>
      </c>
      <c r="E1089" s="17">
        <v>47</v>
      </c>
      <c r="F1089" s="19">
        <v>612450</v>
      </c>
      <c r="G1089" s="19">
        <v>4752445</v>
      </c>
      <c r="H1089" s="8"/>
    </row>
    <row r="1090" spans="2:8">
      <c r="B1090" s="18">
        <v>8014</v>
      </c>
      <c r="C1090" s="17">
        <v>47</v>
      </c>
      <c r="D1090" s="17" t="s">
        <v>2723</v>
      </c>
      <c r="E1090" s="17">
        <v>48</v>
      </c>
      <c r="F1090" s="19">
        <v>688928</v>
      </c>
      <c r="G1090" s="19">
        <v>5441373</v>
      </c>
      <c r="H1090" s="8"/>
    </row>
    <row r="1091" spans="2:8">
      <c r="B1091" s="18">
        <v>8014</v>
      </c>
      <c r="C1091" s="17">
        <v>48</v>
      </c>
      <c r="D1091" s="17" t="s">
        <v>2724</v>
      </c>
      <c r="E1091" s="17">
        <v>49</v>
      </c>
      <c r="F1091" s="19">
        <v>773131</v>
      </c>
      <c r="G1091" s="19">
        <v>6214504</v>
      </c>
      <c r="H1091" s="8"/>
    </row>
    <row r="1092" spans="2:8">
      <c r="B1092" s="18">
        <v>8014</v>
      </c>
      <c r="C1092" s="17">
        <v>49</v>
      </c>
      <c r="D1092" s="17" t="s">
        <v>2725</v>
      </c>
      <c r="E1092" s="17">
        <v>50</v>
      </c>
      <c r="F1092" s="19">
        <v>865655</v>
      </c>
      <c r="G1092" s="19">
        <v>7080159</v>
      </c>
      <c r="H1092" s="8"/>
    </row>
    <row r="1093" spans="2:8">
      <c r="B1093" s="18">
        <v>8014</v>
      </c>
      <c r="C1093" s="17">
        <v>50</v>
      </c>
      <c r="D1093" s="17" t="s">
        <v>2726</v>
      </c>
      <c r="E1093" s="17">
        <v>51</v>
      </c>
      <c r="F1093" s="19">
        <v>967129</v>
      </c>
      <c r="G1093" s="19">
        <v>8047288</v>
      </c>
      <c r="H1093" s="8"/>
    </row>
    <row r="1094" spans="2:8">
      <c r="B1094" s="18">
        <v>8014</v>
      </c>
      <c r="C1094" s="17">
        <v>51</v>
      </c>
      <c r="D1094" s="17" t="s">
        <v>2727</v>
      </c>
      <c r="E1094" s="17">
        <v>52</v>
      </c>
      <c r="F1094" s="19">
        <v>1078214</v>
      </c>
      <c r="G1094" s="19">
        <v>9125502</v>
      </c>
      <c r="H1094" s="8"/>
    </row>
    <row r="1095" spans="2:8">
      <c r="B1095" s="18">
        <v>8014</v>
      </c>
      <c r="C1095" s="17">
        <v>52</v>
      </c>
      <c r="D1095" s="17" t="s">
        <v>2728</v>
      </c>
      <c r="E1095" s="17">
        <v>53</v>
      </c>
      <c r="F1095" s="19">
        <v>1199606</v>
      </c>
      <c r="G1095" s="19">
        <v>10325108</v>
      </c>
      <c r="H1095" s="8"/>
    </row>
    <row r="1096" spans="2:8">
      <c r="B1096" s="18">
        <v>8014</v>
      </c>
      <c r="C1096" s="17">
        <v>53</v>
      </c>
      <c r="D1096" s="17" t="s">
        <v>2729</v>
      </c>
      <c r="E1096" s="17">
        <v>54</v>
      </c>
      <c r="F1096" s="19">
        <v>1332038</v>
      </c>
      <c r="G1096" s="19">
        <v>11657146</v>
      </c>
      <c r="H1096" s="8"/>
    </row>
    <row r="1097" spans="2:8">
      <c r="B1097" s="18">
        <v>8014</v>
      </c>
      <c r="C1097" s="17">
        <v>54</v>
      </c>
      <c r="D1097" s="17" t="s">
        <v>2730</v>
      </c>
      <c r="E1097" s="17">
        <v>55</v>
      </c>
      <c r="F1097" s="19">
        <v>1476276</v>
      </c>
      <c r="G1097" s="19">
        <v>13133422</v>
      </c>
      <c r="H1097" s="8"/>
    </row>
    <row r="1098" spans="2:8">
      <c r="B1098" s="18">
        <v>8014</v>
      </c>
      <c r="C1098" s="17">
        <v>55</v>
      </c>
      <c r="D1098" s="17" t="s">
        <v>2731</v>
      </c>
      <c r="E1098" s="17">
        <v>56</v>
      </c>
      <c r="F1098" s="19">
        <v>1633127</v>
      </c>
      <c r="G1098" s="19">
        <v>14766549</v>
      </c>
      <c r="H1098" s="8"/>
    </row>
    <row r="1099" spans="2:8">
      <c r="B1099" s="18">
        <v>8014</v>
      </c>
      <c r="C1099" s="17">
        <v>56</v>
      </c>
      <c r="D1099" s="17" t="s">
        <v>2732</v>
      </c>
      <c r="E1099" s="17">
        <v>57</v>
      </c>
      <c r="F1099" s="19">
        <v>1803434</v>
      </c>
      <c r="G1099" s="19">
        <v>16569983</v>
      </c>
      <c r="H1099" s="8"/>
    </row>
    <row r="1100" spans="2:8">
      <c r="B1100" s="18">
        <v>8014</v>
      </c>
      <c r="C1100" s="17">
        <v>57</v>
      </c>
      <c r="D1100" s="17" t="s">
        <v>2733</v>
      </c>
      <c r="E1100" s="17">
        <v>58</v>
      </c>
      <c r="F1100" s="19">
        <v>1988080</v>
      </c>
      <c r="G1100" s="19">
        <v>18558063</v>
      </c>
      <c r="H1100" s="8"/>
    </row>
    <row r="1101" spans="2:8">
      <c r="B1101" s="18">
        <v>8014</v>
      </c>
      <c r="C1101" s="17">
        <v>58</v>
      </c>
      <c r="D1101" s="17" t="s">
        <v>2734</v>
      </c>
      <c r="E1101" s="17">
        <v>59</v>
      </c>
      <c r="F1101" s="19">
        <v>2187990</v>
      </c>
      <c r="G1101" s="19">
        <v>20746053</v>
      </c>
      <c r="H1101" s="8"/>
    </row>
    <row r="1102" spans="2:8">
      <c r="B1102" s="18">
        <v>8014</v>
      </c>
      <c r="C1102" s="17">
        <v>59</v>
      </c>
      <c r="D1102" s="17" t="s">
        <v>2735</v>
      </c>
      <c r="E1102" s="17">
        <v>60</v>
      </c>
      <c r="F1102" s="19">
        <v>2404129</v>
      </c>
      <c r="G1102" s="19">
        <v>23150182</v>
      </c>
      <c r="H1102" s="8"/>
    </row>
    <row r="1103" spans="2:8">
      <c r="B1103" s="18">
        <v>8014</v>
      </c>
      <c r="C1103" s="17">
        <v>60</v>
      </c>
      <c r="D1103" s="17" t="s">
        <v>2736</v>
      </c>
      <c r="E1103" s="17">
        <v>61</v>
      </c>
      <c r="F1103" s="19">
        <v>2637507</v>
      </c>
      <c r="G1103" s="19">
        <v>25787689</v>
      </c>
      <c r="H1103" s="8"/>
    </row>
    <row r="1104" spans="2:8">
      <c r="B1104" s="18">
        <v>8014</v>
      </c>
      <c r="C1104" s="17">
        <v>61</v>
      </c>
      <c r="D1104" s="17" t="s">
        <v>2737</v>
      </c>
      <c r="E1104" s="17">
        <v>62</v>
      </c>
      <c r="F1104" s="19">
        <v>2889176</v>
      </c>
      <c r="G1104" s="19">
        <v>28676865</v>
      </c>
      <c r="H1104" s="8"/>
    </row>
    <row r="1105" spans="2:8">
      <c r="B1105" s="18">
        <v>8014</v>
      </c>
      <c r="C1105" s="17">
        <v>62</v>
      </c>
      <c r="D1105" s="17" t="s">
        <v>2738</v>
      </c>
      <c r="E1105" s="17">
        <v>63</v>
      </c>
      <c r="F1105" s="19">
        <v>3160234</v>
      </c>
      <c r="G1105" s="19">
        <v>31837099</v>
      </c>
      <c r="H1105" s="8"/>
    </row>
    <row r="1106" spans="2:8">
      <c r="B1106" s="18">
        <v>8014</v>
      </c>
      <c r="C1106" s="17">
        <v>63</v>
      </c>
      <c r="D1106" s="17" t="s">
        <v>2739</v>
      </c>
      <c r="E1106" s="17">
        <v>64</v>
      </c>
      <c r="F1106" s="19">
        <v>3451826</v>
      </c>
      <c r="G1106" s="19">
        <v>35288925</v>
      </c>
      <c r="H1106" s="8"/>
    </row>
    <row r="1107" spans="2:8">
      <c r="B1107" s="18">
        <v>8014</v>
      </c>
      <c r="C1107" s="17">
        <v>64</v>
      </c>
      <c r="D1107" s="17" t="s">
        <v>2740</v>
      </c>
      <c r="E1107" s="17">
        <v>65</v>
      </c>
      <c r="F1107" s="19">
        <v>3765144</v>
      </c>
      <c r="G1107" s="19">
        <v>39054069</v>
      </c>
      <c r="H1107" s="8"/>
    </row>
    <row r="1108" spans="2:8">
      <c r="B1108" s="18">
        <v>8014</v>
      </c>
      <c r="C1108" s="17">
        <v>65</v>
      </c>
      <c r="D1108" s="17" t="s">
        <v>2741</v>
      </c>
      <c r="E1108" s="17">
        <v>66</v>
      </c>
      <c r="F1108" s="19">
        <v>4101428</v>
      </c>
      <c r="G1108" s="19">
        <v>43155497</v>
      </c>
      <c r="H1108" s="8"/>
    </row>
    <row r="1109" spans="2:8">
      <c r="B1109" s="18">
        <v>8014</v>
      </c>
      <c r="C1109" s="17">
        <v>66</v>
      </c>
      <c r="D1109" s="17" t="s">
        <v>2742</v>
      </c>
      <c r="E1109" s="17">
        <v>67</v>
      </c>
      <c r="F1109" s="19">
        <v>4461968</v>
      </c>
      <c r="G1109" s="19">
        <v>47617465</v>
      </c>
      <c r="H1109" s="8"/>
    </row>
    <row r="1110" spans="2:8">
      <c r="B1110" s="18">
        <v>8014</v>
      </c>
      <c r="C1110" s="17">
        <v>67</v>
      </c>
      <c r="D1110" s="17" t="s">
        <v>2743</v>
      </c>
      <c r="E1110" s="17">
        <v>68</v>
      </c>
      <c r="F1110" s="19">
        <v>4848106</v>
      </c>
      <c r="G1110" s="19">
        <v>52465571</v>
      </c>
      <c r="H1110" s="8"/>
    </row>
    <row r="1111" spans="2:8">
      <c r="B1111" s="18">
        <v>8014</v>
      </c>
      <c r="C1111" s="17">
        <v>68</v>
      </c>
      <c r="D1111" s="17" t="s">
        <v>2744</v>
      </c>
      <c r="E1111" s="17">
        <v>69</v>
      </c>
      <c r="F1111" s="19">
        <v>5261236</v>
      </c>
      <c r="G1111" s="19">
        <v>57726807</v>
      </c>
      <c r="H1111" s="8"/>
    </row>
    <row r="1112" spans="2:8">
      <c r="B1112" s="18">
        <v>8014</v>
      </c>
      <c r="C1112" s="17">
        <v>69</v>
      </c>
      <c r="D1112" s="17" t="s">
        <v>2745</v>
      </c>
      <c r="E1112" s="17">
        <v>70</v>
      </c>
      <c r="F1112" s="19">
        <v>5702804</v>
      </c>
      <c r="G1112" s="19">
        <v>63429611</v>
      </c>
      <c r="H1112" s="8"/>
    </row>
    <row r="1113" spans="2:8">
      <c r="B1113" s="18">
        <v>8014</v>
      </c>
      <c r="C1113" s="17">
        <v>70</v>
      </c>
      <c r="D1113" s="17" t="s">
        <v>2746</v>
      </c>
      <c r="E1113" s="17">
        <v>71</v>
      </c>
      <c r="F1113" s="19">
        <v>6174312</v>
      </c>
      <c r="G1113" s="19">
        <v>69603923</v>
      </c>
      <c r="H1113" s="8"/>
    </row>
    <row r="1114" spans="2:8">
      <c r="B1114" s="18">
        <v>8014</v>
      </c>
      <c r="C1114" s="17">
        <v>71</v>
      </c>
      <c r="D1114" s="17" t="s">
        <v>2747</v>
      </c>
      <c r="E1114" s="17">
        <v>72</v>
      </c>
      <c r="F1114" s="19">
        <v>6677317</v>
      </c>
      <c r="G1114" s="19">
        <v>76281240</v>
      </c>
      <c r="H1114" s="8"/>
    </row>
    <row r="1115" spans="2:8">
      <c r="B1115" s="18">
        <v>8014</v>
      </c>
      <c r="C1115" s="17">
        <v>72</v>
      </c>
      <c r="D1115" s="17" t="s">
        <v>2748</v>
      </c>
      <c r="E1115" s="17">
        <v>73</v>
      </c>
      <c r="F1115" s="19">
        <v>7213433</v>
      </c>
      <c r="G1115" s="19">
        <v>83494673</v>
      </c>
      <c r="H1115" s="8"/>
    </row>
    <row r="1116" spans="2:8">
      <c r="B1116" s="18">
        <v>8014</v>
      </c>
      <c r="C1116" s="17">
        <v>73</v>
      </c>
      <c r="D1116" s="17" t="s">
        <v>2749</v>
      </c>
      <c r="E1116" s="17">
        <v>74</v>
      </c>
      <c r="F1116" s="19">
        <v>7784333</v>
      </c>
      <c r="G1116" s="19">
        <v>91279006</v>
      </c>
      <c r="H1116" s="8"/>
    </row>
    <row r="1117" spans="2:8">
      <c r="B1117" s="18">
        <v>8014</v>
      </c>
      <c r="C1117" s="17">
        <v>74</v>
      </c>
      <c r="D1117" s="17" t="s">
        <v>2750</v>
      </c>
      <c r="E1117" s="17">
        <v>75</v>
      </c>
      <c r="F1117" s="19">
        <v>8391749</v>
      </c>
      <c r="G1117" s="19">
        <v>99670755</v>
      </c>
      <c r="H1117" s="8"/>
    </row>
    <row r="1118" spans="2:8">
      <c r="B1118" s="18">
        <v>8014</v>
      </c>
      <c r="C1118" s="17">
        <v>75</v>
      </c>
      <c r="D1118" s="17" t="s">
        <v>2751</v>
      </c>
      <c r="E1118" s="17">
        <v>76</v>
      </c>
      <c r="F1118" s="19">
        <v>9037474</v>
      </c>
      <c r="G1118" s="19">
        <v>108708229</v>
      </c>
      <c r="H1118" s="8"/>
    </row>
    <row r="1119" spans="2:8">
      <c r="B1119" s="18">
        <v>8014</v>
      </c>
      <c r="C1119" s="17">
        <v>76</v>
      </c>
      <c r="D1119" s="17" t="s">
        <v>2752</v>
      </c>
      <c r="E1119" s="17">
        <v>77</v>
      </c>
      <c r="F1119" s="19">
        <v>9723363</v>
      </c>
      <c r="G1119" s="19">
        <v>118431592</v>
      </c>
      <c r="H1119" s="8"/>
    </row>
    <row r="1120" spans="2:8">
      <c r="B1120" s="18">
        <v>8014</v>
      </c>
      <c r="C1120" s="17">
        <v>77</v>
      </c>
      <c r="D1120" s="17" t="s">
        <v>2753</v>
      </c>
      <c r="E1120" s="17">
        <v>78</v>
      </c>
      <c r="F1120" s="19">
        <v>10451334</v>
      </c>
      <c r="G1120" s="19">
        <v>128882926</v>
      </c>
      <c r="H1120" s="8"/>
    </row>
    <row r="1121" spans="2:8">
      <c r="B1121" s="18">
        <v>8014</v>
      </c>
      <c r="C1121" s="17">
        <v>78</v>
      </c>
      <c r="D1121" s="17" t="s">
        <v>2754</v>
      </c>
      <c r="E1121" s="17">
        <v>79</v>
      </c>
      <c r="F1121" s="19">
        <v>11223370</v>
      </c>
      <c r="G1121" s="19">
        <v>140106296</v>
      </c>
      <c r="H1121" s="8"/>
    </row>
    <row r="1122" spans="2:8">
      <c r="B1122" s="18">
        <v>8014</v>
      </c>
      <c r="C1122" s="17">
        <v>79</v>
      </c>
      <c r="D1122" s="17" t="s">
        <v>2755</v>
      </c>
      <c r="E1122" s="17">
        <v>80</v>
      </c>
      <c r="F1122" s="19">
        <v>12041520</v>
      </c>
      <c r="G1122" s="19">
        <v>152147816</v>
      </c>
      <c r="H1122" s="8"/>
    </row>
    <row r="1123" spans="2:8">
      <c r="B1123" s="18">
        <v>8014</v>
      </c>
      <c r="C1123" s="17">
        <v>80</v>
      </c>
      <c r="D1123" s="17" t="s">
        <v>2756</v>
      </c>
      <c r="E1123" s="17" t="s">
        <v>1762</v>
      </c>
      <c r="F1123" s="19">
        <v>12907899</v>
      </c>
      <c r="G1123" s="19">
        <v>165055715</v>
      </c>
      <c r="H1123" s="8"/>
    </row>
    <row r="1124" spans="2:8">
      <c r="B1124" s="18">
        <v>8015</v>
      </c>
      <c r="C1124" s="17">
        <v>1</v>
      </c>
      <c r="D1124" s="17" t="s">
        <v>2757</v>
      </c>
      <c r="E1124" s="17">
        <v>2</v>
      </c>
      <c r="F1124" s="19">
        <v>0</v>
      </c>
      <c r="G1124" s="19">
        <v>0</v>
      </c>
      <c r="H1124" s="8"/>
    </row>
    <row r="1125" spans="2:8">
      <c r="B1125" s="18">
        <v>8015</v>
      </c>
      <c r="C1125" s="17">
        <v>2</v>
      </c>
      <c r="D1125" s="17" t="s">
        <v>2758</v>
      </c>
      <c r="E1125" s="17">
        <v>3</v>
      </c>
      <c r="F1125" s="19">
        <v>110</v>
      </c>
      <c r="G1125" s="19">
        <v>110</v>
      </c>
      <c r="H1125" s="8"/>
    </row>
    <row r="1126" spans="2:8">
      <c r="B1126" s="18">
        <v>8015</v>
      </c>
      <c r="C1126" s="17">
        <v>3</v>
      </c>
      <c r="D1126" s="17" t="s">
        <v>2759</v>
      </c>
      <c r="E1126" s="17">
        <v>4</v>
      </c>
      <c r="F1126" s="19">
        <v>230</v>
      </c>
      <c r="G1126" s="19">
        <v>340</v>
      </c>
    </row>
    <row r="1127" spans="2:8">
      <c r="B1127" s="18">
        <v>8015</v>
      </c>
      <c r="C1127" s="17">
        <v>4</v>
      </c>
      <c r="D1127" s="17" t="s">
        <v>2760</v>
      </c>
      <c r="E1127" s="17">
        <v>5</v>
      </c>
      <c r="F1127" s="19">
        <v>360</v>
      </c>
      <c r="G1127" s="19">
        <v>700</v>
      </c>
      <c r="H1127" s="8"/>
    </row>
    <row r="1128" spans="2:8">
      <c r="B1128" s="18">
        <v>8015</v>
      </c>
      <c r="C1128" s="17">
        <v>5</v>
      </c>
      <c r="D1128" s="17" t="s">
        <v>2761</v>
      </c>
      <c r="E1128" s="17">
        <v>6</v>
      </c>
      <c r="F1128" s="19">
        <v>501</v>
      </c>
      <c r="G1128" s="19">
        <v>1201</v>
      </c>
      <c r="H1128" s="8"/>
    </row>
    <row r="1129" spans="2:8">
      <c r="B1129" s="18">
        <v>8015</v>
      </c>
      <c r="C1129" s="17">
        <v>6</v>
      </c>
      <c r="D1129" s="17" t="s">
        <v>2762</v>
      </c>
      <c r="E1129" s="17">
        <v>7</v>
      </c>
      <c r="F1129" s="19">
        <v>654</v>
      </c>
      <c r="G1129" s="19">
        <v>1855</v>
      </c>
      <c r="H1129" s="8"/>
    </row>
    <row r="1130" spans="2:8">
      <c r="B1130" s="18">
        <v>8015</v>
      </c>
      <c r="C1130" s="17">
        <v>7</v>
      </c>
      <c r="D1130" s="17" t="s">
        <v>2394</v>
      </c>
      <c r="E1130" s="17">
        <v>8</v>
      </c>
      <c r="F1130" s="19">
        <v>821</v>
      </c>
      <c r="G1130" s="19">
        <v>2676</v>
      </c>
      <c r="H1130" s="8"/>
    </row>
    <row r="1131" spans="2:8">
      <c r="B1131" s="18">
        <v>8015</v>
      </c>
      <c r="C1131" s="17">
        <v>8</v>
      </c>
      <c r="D1131" s="17" t="s">
        <v>2763</v>
      </c>
      <c r="E1131" s="17">
        <v>9</v>
      </c>
      <c r="F1131" s="19">
        <v>1006</v>
      </c>
      <c r="G1131" s="19">
        <v>3682</v>
      </c>
      <c r="H1131" s="8"/>
    </row>
    <row r="1132" spans="2:8">
      <c r="B1132" s="18">
        <v>8015</v>
      </c>
      <c r="C1132" s="17">
        <v>9</v>
      </c>
      <c r="D1132" s="17" t="s">
        <v>2764</v>
      </c>
      <c r="E1132" s="17">
        <v>10</v>
      </c>
      <c r="F1132" s="19">
        <v>1214</v>
      </c>
      <c r="G1132" s="19">
        <v>4896</v>
      </c>
      <c r="H1132" s="8"/>
    </row>
    <row r="1133" spans="2:8">
      <c r="B1133" s="18">
        <v>8015</v>
      </c>
      <c r="C1133" s="17">
        <v>10</v>
      </c>
      <c r="D1133" s="17" t="s">
        <v>2765</v>
      </c>
      <c r="E1133" s="17">
        <v>11</v>
      </c>
      <c r="F1133" s="19">
        <v>1453</v>
      </c>
      <c r="G1133" s="19">
        <v>6349</v>
      </c>
      <c r="H1133" s="8"/>
    </row>
    <row r="1134" spans="2:8">
      <c r="B1134" s="18">
        <v>8015</v>
      </c>
      <c r="C1134" s="17">
        <v>11</v>
      </c>
      <c r="D1134" s="17" t="s">
        <v>2766</v>
      </c>
      <c r="E1134" s="17">
        <v>12</v>
      </c>
      <c r="F1134" s="19">
        <v>1732</v>
      </c>
      <c r="G1134" s="19">
        <v>8081</v>
      </c>
      <c r="H1134" s="8"/>
    </row>
    <row r="1135" spans="2:8">
      <c r="B1135" s="18">
        <v>8015</v>
      </c>
      <c r="C1135" s="17">
        <v>12</v>
      </c>
      <c r="D1135" s="17" t="s">
        <v>2767</v>
      </c>
      <c r="E1135" s="17">
        <v>13</v>
      </c>
      <c r="F1135" s="19">
        <v>2063</v>
      </c>
      <c r="G1135" s="19">
        <v>10144</v>
      </c>
      <c r="H1135" s="8"/>
    </row>
    <row r="1136" spans="2:8">
      <c r="B1136" s="18">
        <v>8015</v>
      </c>
      <c r="C1136" s="17">
        <v>13</v>
      </c>
      <c r="D1136" s="17" t="s">
        <v>2768</v>
      </c>
      <c r="E1136" s="17">
        <v>14</v>
      </c>
      <c r="F1136" s="19">
        <v>2462</v>
      </c>
      <c r="G1136" s="19">
        <v>12606</v>
      </c>
      <c r="H1136" s="8"/>
    </row>
    <row r="1137" spans="2:8">
      <c r="B1137" s="18">
        <v>8015</v>
      </c>
      <c r="C1137" s="17">
        <v>14</v>
      </c>
      <c r="D1137" s="17" t="s">
        <v>2769</v>
      </c>
      <c r="E1137" s="17">
        <v>15</v>
      </c>
      <c r="F1137" s="19">
        <v>2949</v>
      </c>
      <c r="G1137" s="19">
        <v>15555</v>
      </c>
      <c r="H1137" s="8"/>
    </row>
    <row r="1138" spans="2:8">
      <c r="B1138" s="18">
        <v>8015</v>
      </c>
      <c r="C1138" s="17">
        <v>15</v>
      </c>
      <c r="D1138" s="17" t="s">
        <v>2770</v>
      </c>
      <c r="E1138" s="17">
        <v>16</v>
      </c>
      <c r="F1138" s="19">
        <v>3548</v>
      </c>
      <c r="G1138" s="19">
        <v>19103</v>
      </c>
      <c r="H1138" s="8"/>
    </row>
    <row r="1139" spans="2:8">
      <c r="B1139" s="18">
        <v>8015</v>
      </c>
      <c r="C1139" s="17">
        <v>16</v>
      </c>
      <c r="D1139" s="17" t="s">
        <v>2771</v>
      </c>
      <c r="E1139" s="17">
        <v>17</v>
      </c>
      <c r="F1139" s="19">
        <v>4288</v>
      </c>
      <c r="G1139" s="19">
        <v>23391</v>
      </c>
      <c r="H1139" s="8"/>
    </row>
    <row r="1140" spans="2:8">
      <c r="B1140" s="18">
        <v>8015</v>
      </c>
      <c r="C1140" s="17">
        <v>17</v>
      </c>
      <c r="D1140" s="17" t="s">
        <v>2772</v>
      </c>
      <c r="E1140" s="17">
        <v>18</v>
      </c>
      <c r="F1140" s="19">
        <v>5203</v>
      </c>
      <c r="G1140" s="19">
        <v>28594</v>
      </c>
      <c r="H1140" s="8"/>
    </row>
    <row r="1141" spans="2:8">
      <c r="B1141" s="18">
        <v>8015</v>
      </c>
      <c r="C1141" s="17">
        <v>18</v>
      </c>
      <c r="D1141" s="17" t="s">
        <v>2408</v>
      </c>
      <c r="E1141" s="17">
        <v>19</v>
      </c>
      <c r="F1141" s="19">
        <v>6333</v>
      </c>
      <c r="G1141" s="19">
        <v>34927</v>
      </c>
      <c r="H1141" s="8"/>
    </row>
    <row r="1142" spans="2:8">
      <c r="B1142" s="18">
        <v>8015</v>
      </c>
      <c r="C1142" s="17">
        <v>19</v>
      </c>
      <c r="D1142" s="17" t="s">
        <v>2773</v>
      </c>
      <c r="E1142" s="17">
        <v>20</v>
      </c>
      <c r="F1142" s="19">
        <v>7726</v>
      </c>
      <c r="G1142" s="19">
        <v>42653</v>
      </c>
      <c r="H1142" s="8"/>
    </row>
    <row r="1143" spans="2:8">
      <c r="B1143" s="18">
        <v>8015</v>
      </c>
      <c r="C1143" s="17">
        <v>20</v>
      </c>
      <c r="D1143" s="17" t="s">
        <v>2774</v>
      </c>
      <c r="E1143" s="17">
        <v>21</v>
      </c>
      <c r="F1143" s="19">
        <v>9436</v>
      </c>
      <c r="G1143" s="19">
        <v>52089</v>
      </c>
      <c r="H1143" s="8"/>
    </row>
    <row r="1144" spans="2:8">
      <c r="B1144" s="18">
        <v>8015</v>
      </c>
      <c r="C1144" s="17">
        <v>21</v>
      </c>
      <c r="D1144" s="17" t="s">
        <v>2775</v>
      </c>
      <c r="E1144" s="17">
        <v>22</v>
      </c>
      <c r="F1144" s="19">
        <v>11524</v>
      </c>
      <c r="G1144" s="19">
        <v>63613</v>
      </c>
      <c r="H1144" s="8"/>
    </row>
    <row r="1145" spans="2:8">
      <c r="B1145" s="18">
        <v>8015</v>
      </c>
      <c r="C1145" s="17">
        <v>22</v>
      </c>
      <c r="D1145" s="17" t="s">
        <v>2776</v>
      </c>
      <c r="E1145" s="17">
        <v>23</v>
      </c>
      <c r="F1145" s="19">
        <v>14062</v>
      </c>
      <c r="G1145" s="19">
        <v>77675</v>
      </c>
      <c r="H1145" s="8"/>
    </row>
    <row r="1146" spans="2:8">
      <c r="B1146" s="18">
        <v>8015</v>
      </c>
      <c r="C1146" s="17">
        <v>23</v>
      </c>
      <c r="D1146" s="17" t="s">
        <v>2777</v>
      </c>
      <c r="E1146" s="17">
        <v>24</v>
      </c>
      <c r="F1146" s="19">
        <v>17128</v>
      </c>
      <c r="G1146" s="19">
        <v>94803</v>
      </c>
      <c r="H1146" s="8"/>
    </row>
    <row r="1147" spans="2:8">
      <c r="B1147" s="18">
        <v>8015</v>
      </c>
      <c r="C1147" s="17">
        <v>24</v>
      </c>
      <c r="D1147" s="17" t="s">
        <v>2778</v>
      </c>
      <c r="E1147" s="17">
        <v>25</v>
      </c>
      <c r="F1147" s="19">
        <v>20813</v>
      </c>
      <c r="G1147" s="19">
        <v>115616</v>
      </c>
      <c r="H1147" s="8"/>
    </row>
    <row r="1148" spans="2:8">
      <c r="B1148" s="18">
        <v>8015</v>
      </c>
      <c r="C1148" s="17">
        <v>25</v>
      </c>
      <c r="D1148" s="17" t="s">
        <v>2779</v>
      </c>
      <c r="E1148" s="17">
        <v>26</v>
      </c>
      <c r="F1148" s="19">
        <v>25216</v>
      </c>
      <c r="G1148" s="19">
        <v>140832</v>
      </c>
      <c r="H1148" s="8"/>
    </row>
    <row r="1149" spans="2:8">
      <c r="B1149" s="18">
        <v>8015</v>
      </c>
      <c r="C1149" s="17">
        <v>26</v>
      </c>
      <c r="D1149" s="17" t="s">
        <v>2780</v>
      </c>
      <c r="E1149" s="17">
        <v>27</v>
      </c>
      <c r="F1149" s="19">
        <v>30448</v>
      </c>
      <c r="G1149" s="19">
        <v>171280</v>
      </c>
      <c r="H1149" s="8"/>
    </row>
    <row r="1150" spans="2:8">
      <c r="B1150" s="18">
        <v>8015</v>
      </c>
      <c r="C1150" s="17">
        <v>27</v>
      </c>
      <c r="D1150" s="17" t="s">
        <v>2781</v>
      </c>
      <c r="E1150" s="17">
        <v>28</v>
      </c>
      <c r="F1150" s="19">
        <v>36633</v>
      </c>
      <c r="G1150" s="19">
        <v>207913</v>
      </c>
      <c r="H1150" s="8"/>
    </row>
    <row r="1151" spans="2:8">
      <c r="B1151" s="18">
        <v>8015</v>
      </c>
      <c r="C1151" s="17">
        <v>28</v>
      </c>
      <c r="D1151" s="17" t="s">
        <v>2782</v>
      </c>
      <c r="E1151" s="17">
        <v>29</v>
      </c>
      <c r="F1151" s="19">
        <v>43906</v>
      </c>
      <c r="G1151" s="19">
        <v>251819</v>
      </c>
      <c r="H1151" s="8"/>
    </row>
    <row r="1152" spans="2:8">
      <c r="B1152" s="18">
        <v>8015</v>
      </c>
      <c r="C1152" s="17">
        <v>29</v>
      </c>
      <c r="D1152" s="17" t="s">
        <v>2424</v>
      </c>
      <c r="E1152" s="17">
        <v>30</v>
      </c>
      <c r="F1152" s="19">
        <v>52417</v>
      </c>
      <c r="G1152" s="19">
        <v>304236</v>
      </c>
      <c r="H1152" s="8"/>
    </row>
    <row r="1153" spans="2:8">
      <c r="B1153" s="18">
        <v>8015</v>
      </c>
      <c r="C1153" s="17">
        <v>30</v>
      </c>
      <c r="D1153" s="17" t="s">
        <v>2783</v>
      </c>
      <c r="E1153" s="17">
        <v>31</v>
      </c>
      <c r="F1153" s="19">
        <v>62329</v>
      </c>
      <c r="G1153" s="19">
        <v>366565</v>
      </c>
      <c r="H1153" s="8"/>
    </row>
    <row r="1154" spans="2:8">
      <c r="B1154" s="18">
        <v>8015</v>
      </c>
      <c r="C1154" s="17">
        <v>31</v>
      </c>
      <c r="D1154" s="17" t="s">
        <v>2784</v>
      </c>
      <c r="E1154" s="17">
        <v>32</v>
      </c>
      <c r="F1154" s="19">
        <v>73820</v>
      </c>
      <c r="G1154" s="19">
        <v>440385</v>
      </c>
      <c r="H1154" s="8"/>
    </row>
    <row r="1155" spans="2:8">
      <c r="B1155" s="18">
        <v>8015</v>
      </c>
      <c r="C1155" s="17">
        <v>32</v>
      </c>
      <c r="D1155" s="17" t="s">
        <v>2785</v>
      </c>
      <c r="E1155" s="17">
        <v>33</v>
      </c>
      <c r="F1155" s="19">
        <v>87084</v>
      </c>
      <c r="G1155" s="19">
        <v>527469</v>
      </c>
      <c r="H1155" s="8"/>
    </row>
    <row r="1156" spans="2:8">
      <c r="B1156" s="18">
        <v>8015</v>
      </c>
      <c r="C1156" s="17">
        <v>33</v>
      </c>
      <c r="D1156" s="17" t="s">
        <v>2786</v>
      </c>
      <c r="E1156" s="17">
        <v>34</v>
      </c>
      <c r="F1156" s="19">
        <v>102333</v>
      </c>
      <c r="G1156" s="19">
        <v>629802</v>
      </c>
      <c r="H1156" s="8"/>
    </row>
    <row r="1157" spans="2:8">
      <c r="B1157" s="18">
        <v>8015</v>
      </c>
      <c r="C1157" s="17">
        <v>34</v>
      </c>
      <c r="D1157" s="17" t="s">
        <v>2787</v>
      </c>
      <c r="E1157" s="17">
        <v>35</v>
      </c>
      <c r="F1157" s="19">
        <v>119794</v>
      </c>
      <c r="G1157" s="19">
        <v>749596</v>
      </c>
      <c r="H1157" s="8"/>
    </row>
    <row r="1158" spans="2:8">
      <c r="B1158" s="18">
        <v>8015</v>
      </c>
      <c r="C1158" s="17">
        <v>35</v>
      </c>
      <c r="D1158" s="17" t="s">
        <v>2788</v>
      </c>
      <c r="E1158" s="17">
        <v>36</v>
      </c>
      <c r="F1158" s="19">
        <v>139714</v>
      </c>
      <c r="G1158" s="19">
        <v>889310</v>
      </c>
      <c r="H1158" s="8"/>
    </row>
    <row r="1159" spans="2:8">
      <c r="B1159" s="18">
        <v>8015</v>
      </c>
      <c r="C1159" s="17">
        <v>36</v>
      </c>
      <c r="D1159" s="17" t="s">
        <v>2789</v>
      </c>
      <c r="E1159" s="17">
        <v>37</v>
      </c>
      <c r="F1159" s="19">
        <v>162358</v>
      </c>
      <c r="G1159" s="19">
        <v>1051668</v>
      </c>
      <c r="H1159" s="8"/>
    </row>
    <row r="1160" spans="2:8">
      <c r="B1160" s="18">
        <v>8015</v>
      </c>
      <c r="C1160" s="17">
        <v>37</v>
      </c>
      <c r="D1160" s="17" t="s">
        <v>2790</v>
      </c>
      <c r="E1160" s="17">
        <v>38</v>
      </c>
      <c r="F1160" s="19">
        <v>188012</v>
      </c>
      <c r="G1160" s="19">
        <v>1239680</v>
      </c>
      <c r="H1160" s="8"/>
    </row>
    <row r="1161" spans="2:8">
      <c r="B1161" s="18">
        <v>8015</v>
      </c>
      <c r="C1161" s="17">
        <v>38</v>
      </c>
      <c r="D1161" s="17" t="s">
        <v>2791</v>
      </c>
      <c r="E1161" s="17">
        <v>39</v>
      </c>
      <c r="F1161" s="19">
        <v>216982</v>
      </c>
      <c r="G1161" s="19">
        <v>1456662</v>
      </c>
      <c r="H1161" s="8"/>
    </row>
    <row r="1162" spans="2:8">
      <c r="B1162" s="18">
        <v>8015</v>
      </c>
      <c r="C1162" s="17">
        <v>39</v>
      </c>
      <c r="D1162" s="17" t="s">
        <v>2792</v>
      </c>
      <c r="E1162" s="17">
        <v>40</v>
      </c>
      <c r="F1162" s="19">
        <v>249596</v>
      </c>
      <c r="G1162" s="19">
        <v>1706258</v>
      </c>
      <c r="H1162" s="8"/>
    </row>
    <row r="1163" spans="2:8">
      <c r="B1163" s="18">
        <v>8015</v>
      </c>
      <c r="C1163" s="17">
        <v>40</v>
      </c>
      <c r="D1163" s="17" t="s">
        <v>2440</v>
      </c>
      <c r="E1163" s="17">
        <v>41</v>
      </c>
      <c r="F1163" s="19">
        <v>286204</v>
      </c>
      <c r="G1163" s="19">
        <v>1992462</v>
      </c>
      <c r="H1163" s="8"/>
    </row>
    <row r="1164" spans="2:8">
      <c r="B1164" s="18">
        <v>8015</v>
      </c>
      <c r="C1164" s="17">
        <v>41</v>
      </c>
      <c r="D1164" s="17" t="s">
        <v>2793</v>
      </c>
      <c r="E1164" s="17">
        <v>42</v>
      </c>
      <c r="F1164" s="19">
        <v>327181</v>
      </c>
      <c r="G1164" s="19">
        <v>2319643</v>
      </c>
      <c r="H1164" s="8"/>
    </row>
    <row r="1165" spans="2:8">
      <c r="B1165" s="18">
        <v>8015</v>
      </c>
      <c r="C1165" s="17">
        <v>42</v>
      </c>
      <c r="D1165" s="17" t="s">
        <v>2794</v>
      </c>
      <c r="E1165" s="17">
        <v>43</v>
      </c>
      <c r="F1165" s="19">
        <v>372925</v>
      </c>
      <c r="G1165" s="19">
        <v>2692568</v>
      </c>
      <c r="H1165" s="8"/>
    </row>
    <row r="1166" spans="2:8">
      <c r="B1166" s="18">
        <v>8015</v>
      </c>
      <c r="C1166" s="17">
        <v>43</v>
      </c>
      <c r="D1166" s="17" t="s">
        <v>2795</v>
      </c>
      <c r="E1166" s="17">
        <v>44</v>
      </c>
      <c r="F1166" s="19">
        <v>423860</v>
      </c>
      <c r="G1166" s="19">
        <v>3116428</v>
      </c>
      <c r="H1166" s="8"/>
    </row>
    <row r="1167" spans="2:8">
      <c r="B1167" s="18">
        <v>8015</v>
      </c>
      <c r="C1167" s="17">
        <v>44</v>
      </c>
      <c r="D1167" s="17" t="s">
        <v>2796</v>
      </c>
      <c r="E1167" s="17">
        <v>45</v>
      </c>
      <c r="F1167" s="19">
        <v>480436</v>
      </c>
      <c r="G1167" s="19">
        <v>3596864</v>
      </c>
      <c r="H1167" s="8"/>
    </row>
    <row r="1168" spans="2:8">
      <c r="B1168" s="18">
        <v>8015</v>
      </c>
      <c r="C1168" s="17">
        <v>45</v>
      </c>
      <c r="D1168" s="17" t="s">
        <v>2797</v>
      </c>
      <c r="E1168" s="17">
        <v>46</v>
      </c>
      <c r="F1168" s="19">
        <v>543131</v>
      </c>
      <c r="G1168" s="19">
        <v>4139995</v>
      </c>
      <c r="H1168" s="8"/>
    </row>
    <row r="1169" spans="2:8">
      <c r="B1169" s="18">
        <v>8015</v>
      </c>
      <c r="C1169" s="17">
        <v>46</v>
      </c>
      <c r="D1169" s="17" t="s">
        <v>2798</v>
      </c>
      <c r="E1169" s="17">
        <v>47</v>
      </c>
      <c r="F1169" s="19">
        <v>612450</v>
      </c>
      <c r="G1169" s="19">
        <v>4752445</v>
      </c>
      <c r="H1169" s="8"/>
    </row>
    <row r="1170" spans="2:8">
      <c r="B1170" s="18">
        <v>8015</v>
      </c>
      <c r="C1170" s="17">
        <v>47</v>
      </c>
      <c r="D1170" s="17" t="s">
        <v>2799</v>
      </c>
      <c r="E1170" s="17">
        <v>48</v>
      </c>
      <c r="F1170" s="19">
        <v>688928</v>
      </c>
      <c r="G1170" s="19">
        <v>5441373</v>
      </c>
      <c r="H1170" s="8"/>
    </row>
    <row r="1171" spans="2:8">
      <c r="B1171" s="18">
        <v>8015</v>
      </c>
      <c r="C1171" s="17">
        <v>48</v>
      </c>
      <c r="D1171" s="17" t="s">
        <v>2800</v>
      </c>
      <c r="E1171" s="17">
        <v>49</v>
      </c>
      <c r="F1171" s="19">
        <v>773131</v>
      </c>
      <c r="G1171" s="19">
        <v>6214504</v>
      </c>
      <c r="H1171" s="8"/>
    </row>
    <row r="1172" spans="2:8">
      <c r="B1172" s="18">
        <v>8015</v>
      </c>
      <c r="C1172" s="17">
        <v>49</v>
      </c>
      <c r="D1172" s="17" t="s">
        <v>2801</v>
      </c>
      <c r="E1172" s="17">
        <v>50</v>
      </c>
      <c r="F1172" s="19">
        <v>865655</v>
      </c>
      <c r="G1172" s="19">
        <v>7080159</v>
      </c>
      <c r="H1172" s="8"/>
    </row>
    <row r="1173" spans="2:8">
      <c r="B1173" s="18">
        <v>8015</v>
      </c>
      <c r="C1173" s="17">
        <v>50</v>
      </c>
      <c r="D1173" s="17" t="s">
        <v>2802</v>
      </c>
      <c r="E1173" s="17">
        <v>51</v>
      </c>
      <c r="F1173" s="19">
        <v>967129</v>
      </c>
      <c r="G1173" s="19">
        <v>8047288</v>
      </c>
      <c r="H1173" s="8"/>
    </row>
    <row r="1174" spans="2:8">
      <c r="B1174" s="18">
        <v>8015</v>
      </c>
      <c r="C1174" s="17">
        <v>51</v>
      </c>
      <c r="D1174" s="17" t="s">
        <v>2803</v>
      </c>
      <c r="E1174" s="17">
        <v>52</v>
      </c>
      <c r="F1174" s="19">
        <v>1078214</v>
      </c>
      <c r="G1174" s="19">
        <v>9125502</v>
      </c>
      <c r="H1174" s="8"/>
    </row>
    <row r="1175" spans="2:8">
      <c r="B1175" s="18">
        <v>8015</v>
      </c>
      <c r="C1175" s="17">
        <v>52</v>
      </c>
      <c r="D1175" s="17" t="s">
        <v>2804</v>
      </c>
      <c r="E1175" s="17">
        <v>53</v>
      </c>
      <c r="F1175" s="19">
        <v>1199606</v>
      </c>
      <c r="G1175" s="19">
        <v>10325108</v>
      </c>
      <c r="H1175" s="8"/>
    </row>
    <row r="1176" spans="2:8">
      <c r="B1176" s="18">
        <v>8015</v>
      </c>
      <c r="C1176" s="17">
        <v>53</v>
      </c>
      <c r="D1176" s="17" t="s">
        <v>2805</v>
      </c>
      <c r="E1176" s="17">
        <v>54</v>
      </c>
      <c r="F1176" s="19">
        <v>1332038</v>
      </c>
      <c r="G1176" s="19">
        <v>11657146</v>
      </c>
      <c r="H1176" s="8"/>
    </row>
    <row r="1177" spans="2:8">
      <c r="B1177" s="18">
        <v>8015</v>
      </c>
      <c r="C1177" s="17">
        <v>54</v>
      </c>
      <c r="D1177" s="17" t="s">
        <v>2806</v>
      </c>
      <c r="E1177" s="17">
        <v>55</v>
      </c>
      <c r="F1177" s="19">
        <v>1476276</v>
      </c>
      <c r="G1177" s="19">
        <v>13133422</v>
      </c>
      <c r="H1177" s="8"/>
    </row>
    <row r="1178" spans="2:8">
      <c r="B1178" s="18">
        <v>8015</v>
      </c>
      <c r="C1178" s="17">
        <v>55</v>
      </c>
      <c r="D1178" s="17" t="s">
        <v>2807</v>
      </c>
      <c r="E1178" s="17">
        <v>56</v>
      </c>
      <c r="F1178" s="19">
        <v>1633127</v>
      </c>
      <c r="G1178" s="19">
        <v>14766549</v>
      </c>
      <c r="H1178" s="8"/>
    </row>
    <row r="1179" spans="2:8">
      <c r="B1179" s="18">
        <v>8015</v>
      </c>
      <c r="C1179" s="17">
        <v>56</v>
      </c>
      <c r="D1179" s="17" t="s">
        <v>2808</v>
      </c>
      <c r="E1179" s="17">
        <v>57</v>
      </c>
      <c r="F1179" s="19">
        <v>1803434</v>
      </c>
      <c r="G1179" s="19">
        <v>16569983</v>
      </c>
      <c r="H1179" s="8"/>
    </row>
    <row r="1180" spans="2:8">
      <c r="B1180" s="18">
        <v>8015</v>
      </c>
      <c r="C1180" s="17">
        <v>57</v>
      </c>
      <c r="D1180" s="17" t="s">
        <v>2809</v>
      </c>
      <c r="E1180" s="17">
        <v>58</v>
      </c>
      <c r="F1180" s="19">
        <v>1988080</v>
      </c>
      <c r="G1180" s="19">
        <v>18558063</v>
      </c>
      <c r="H1180" s="8"/>
    </row>
    <row r="1181" spans="2:8">
      <c r="B1181" s="18">
        <v>8015</v>
      </c>
      <c r="C1181" s="17">
        <v>58</v>
      </c>
      <c r="D1181" s="17" t="s">
        <v>2810</v>
      </c>
      <c r="E1181" s="17">
        <v>59</v>
      </c>
      <c r="F1181" s="19">
        <v>2187990</v>
      </c>
      <c r="G1181" s="19">
        <v>20746053</v>
      </c>
      <c r="H1181" s="8"/>
    </row>
    <row r="1182" spans="2:8">
      <c r="B1182" s="18">
        <v>8015</v>
      </c>
      <c r="C1182" s="17">
        <v>59</v>
      </c>
      <c r="D1182" s="17" t="s">
        <v>2811</v>
      </c>
      <c r="E1182" s="17">
        <v>60</v>
      </c>
      <c r="F1182" s="19">
        <v>2404129</v>
      </c>
      <c r="G1182" s="19">
        <v>23150182</v>
      </c>
      <c r="H1182" s="8"/>
    </row>
    <row r="1183" spans="2:8">
      <c r="B1183" s="18">
        <v>8015</v>
      </c>
      <c r="C1183" s="17">
        <v>60</v>
      </c>
      <c r="D1183" s="17" t="s">
        <v>2812</v>
      </c>
      <c r="E1183" s="17">
        <v>61</v>
      </c>
      <c r="F1183" s="19">
        <v>2637507</v>
      </c>
      <c r="G1183" s="19">
        <v>25787689</v>
      </c>
      <c r="H1183" s="8"/>
    </row>
    <row r="1184" spans="2:8">
      <c r="B1184" s="18">
        <v>8015</v>
      </c>
      <c r="C1184" s="17">
        <v>61</v>
      </c>
      <c r="D1184" s="17" t="s">
        <v>2813</v>
      </c>
      <c r="E1184" s="17">
        <v>62</v>
      </c>
      <c r="F1184" s="19">
        <v>2889176</v>
      </c>
      <c r="G1184" s="19">
        <v>28676865</v>
      </c>
      <c r="H1184" s="8"/>
    </row>
    <row r="1185" spans="2:8">
      <c r="B1185" s="18">
        <v>8015</v>
      </c>
      <c r="C1185" s="17">
        <v>62</v>
      </c>
      <c r="D1185" s="17" t="s">
        <v>2814</v>
      </c>
      <c r="E1185" s="17">
        <v>63</v>
      </c>
      <c r="F1185" s="19">
        <v>3160234</v>
      </c>
      <c r="G1185" s="19">
        <v>31837099</v>
      </c>
      <c r="H1185" s="8"/>
    </row>
    <row r="1186" spans="2:8">
      <c r="B1186" s="18">
        <v>8015</v>
      </c>
      <c r="C1186" s="17">
        <v>63</v>
      </c>
      <c r="D1186" s="17" t="s">
        <v>2815</v>
      </c>
      <c r="E1186" s="17">
        <v>64</v>
      </c>
      <c r="F1186" s="19">
        <v>3451826</v>
      </c>
      <c r="G1186" s="19">
        <v>35288925</v>
      </c>
      <c r="H1186" s="8"/>
    </row>
    <row r="1187" spans="2:8">
      <c r="B1187" s="18">
        <v>8015</v>
      </c>
      <c r="C1187" s="17">
        <v>64</v>
      </c>
      <c r="D1187" s="17" t="s">
        <v>2816</v>
      </c>
      <c r="E1187" s="17">
        <v>65</v>
      </c>
      <c r="F1187" s="19">
        <v>3765144</v>
      </c>
      <c r="G1187" s="19">
        <v>39054069</v>
      </c>
      <c r="H1187" s="8"/>
    </row>
    <row r="1188" spans="2:8">
      <c r="B1188" s="18">
        <v>8015</v>
      </c>
      <c r="C1188" s="17">
        <v>65</v>
      </c>
      <c r="D1188" s="17" t="s">
        <v>2817</v>
      </c>
      <c r="E1188" s="17">
        <v>66</v>
      </c>
      <c r="F1188" s="19">
        <v>4101428</v>
      </c>
      <c r="G1188" s="19">
        <v>43155497</v>
      </c>
      <c r="H1188" s="8"/>
    </row>
    <row r="1189" spans="2:8">
      <c r="B1189" s="18">
        <v>8015</v>
      </c>
      <c r="C1189" s="17">
        <v>66</v>
      </c>
      <c r="D1189" s="17" t="s">
        <v>2818</v>
      </c>
      <c r="E1189" s="17">
        <v>67</v>
      </c>
      <c r="F1189" s="19">
        <v>4461968</v>
      </c>
      <c r="G1189" s="19">
        <v>47617465</v>
      </c>
      <c r="H1189" s="8"/>
    </row>
    <row r="1190" spans="2:8">
      <c r="B1190" s="18">
        <v>8015</v>
      </c>
      <c r="C1190" s="17">
        <v>67</v>
      </c>
      <c r="D1190" s="17" t="s">
        <v>2819</v>
      </c>
      <c r="E1190" s="17">
        <v>68</v>
      </c>
      <c r="F1190" s="19">
        <v>4848106</v>
      </c>
      <c r="G1190" s="19">
        <v>52465571</v>
      </c>
      <c r="H1190" s="8"/>
    </row>
    <row r="1191" spans="2:8">
      <c r="B1191" s="18">
        <v>8015</v>
      </c>
      <c r="C1191" s="17">
        <v>68</v>
      </c>
      <c r="D1191" s="17" t="s">
        <v>2820</v>
      </c>
      <c r="E1191" s="17">
        <v>69</v>
      </c>
      <c r="F1191" s="19">
        <v>5261236</v>
      </c>
      <c r="G1191" s="19">
        <v>57726807</v>
      </c>
      <c r="H1191" s="8"/>
    </row>
    <row r="1192" spans="2:8">
      <c r="B1192" s="18">
        <v>8015</v>
      </c>
      <c r="C1192" s="17">
        <v>69</v>
      </c>
      <c r="D1192" s="17" t="s">
        <v>2821</v>
      </c>
      <c r="E1192" s="17">
        <v>70</v>
      </c>
      <c r="F1192" s="19">
        <v>5702804</v>
      </c>
      <c r="G1192" s="19">
        <v>63429611</v>
      </c>
      <c r="H1192" s="8"/>
    </row>
    <row r="1193" spans="2:8">
      <c r="B1193" s="18">
        <v>8015</v>
      </c>
      <c r="C1193" s="17">
        <v>70</v>
      </c>
      <c r="D1193" s="17" t="s">
        <v>2822</v>
      </c>
      <c r="E1193" s="17">
        <v>71</v>
      </c>
      <c r="F1193" s="19">
        <v>6174312</v>
      </c>
      <c r="G1193" s="19">
        <v>69603923</v>
      </c>
      <c r="H1193" s="8"/>
    </row>
    <row r="1194" spans="2:8">
      <c r="B1194" s="18">
        <v>8015</v>
      </c>
      <c r="C1194" s="17">
        <v>71</v>
      </c>
      <c r="D1194" s="17" t="s">
        <v>2823</v>
      </c>
      <c r="E1194" s="17">
        <v>72</v>
      </c>
      <c r="F1194" s="19">
        <v>6677317</v>
      </c>
      <c r="G1194" s="19">
        <v>76281240</v>
      </c>
      <c r="H1194" s="8"/>
    </row>
    <row r="1195" spans="2:8">
      <c r="B1195" s="18">
        <v>8015</v>
      </c>
      <c r="C1195" s="17">
        <v>72</v>
      </c>
      <c r="D1195" s="17" t="s">
        <v>2824</v>
      </c>
      <c r="E1195" s="17">
        <v>73</v>
      </c>
      <c r="F1195" s="19">
        <v>7213433</v>
      </c>
      <c r="G1195" s="19">
        <v>83494673</v>
      </c>
      <c r="H1195" s="8"/>
    </row>
    <row r="1196" spans="2:8">
      <c r="B1196" s="18">
        <v>8015</v>
      </c>
      <c r="C1196" s="17">
        <v>73</v>
      </c>
      <c r="D1196" s="17" t="s">
        <v>2825</v>
      </c>
      <c r="E1196" s="17">
        <v>74</v>
      </c>
      <c r="F1196" s="19">
        <v>7784333</v>
      </c>
      <c r="G1196" s="19">
        <v>91279006</v>
      </c>
      <c r="H1196" s="8"/>
    </row>
    <row r="1197" spans="2:8">
      <c r="B1197" s="18">
        <v>8015</v>
      </c>
      <c r="C1197" s="17">
        <v>74</v>
      </c>
      <c r="D1197" s="17" t="s">
        <v>2826</v>
      </c>
      <c r="E1197" s="17">
        <v>75</v>
      </c>
      <c r="F1197" s="19">
        <v>8391749</v>
      </c>
      <c r="G1197" s="19">
        <v>99670755</v>
      </c>
      <c r="H1197" s="8"/>
    </row>
    <row r="1198" spans="2:8">
      <c r="B1198" s="18">
        <v>8015</v>
      </c>
      <c r="C1198" s="17">
        <v>75</v>
      </c>
      <c r="D1198" s="17" t="s">
        <v>2827</v>
      </c>
      <c r="E1198" s="17">
        <v>76</v>
      </c>
      <c r="F1198" s="19">
        <v>9037474</v>
      </c>
      <c r="G1198" s="19">
        <v>108708229</v>
      </c>
      <c r="H1198" s="8"/>
    </row>
    <row r="1199" spans="2:8">
      <c r="B1199" s="18">
        <v>8015</v>
      </c>
      <c r="C1199" s="17">
        <v>76</v>
      </c>
      <c r="D1199" s="17" t="s">
        <v>2828</v>
      </c>
      <c r="E1199" s="17">
        <v>77</v>
      </c>
      <c r="F1199" s="19">
        <v>9723363</v>
      </c>
      <c r="G1199" s="19">
        <v>118431592</v>
      </c>
      <c r="H1199" s="8"/>
    </row>
    <row r="1200" spans="2:8">
      <c r="B1200" s="18">
        <v>8015</v>
      </c>
      <c r="C1200" s="17">
        <v>77</v>
      </c>
      <c r="D1200" s="17" t="s">
        <v>2829</v>
      </c>
      <c r="E1200" s="17">
        <v>78</v>
      </c>
      <c r="F1200" s="19">
        <v>10451334</v>
      </c>
      <c r="G1200" s="19">
        <v>128882926</v>
      </c>
      <c r="H1200" s="8"/>
    </row>
    <row r="1201" spans="2:8">
      <c r="B1201" s="18">
        <v>8015</v>
      </c>
      <c r="C1201" s="17">
        <v>78</v>
      </c>
      <c r="D1201" s="17" t="s">
        <v>2830</v>
      </c>
      <c r="E1201" s="17">
        <v>79</v>
      </c>
      <c r="F1201" s="19">
        <v>11223370</v>
      </c>
      <c r="G1201" s="19">
        <v>140106296</v>
      </c>
      <c r="H1201" s="8"/>
    </row>
    <row r="1202" spans="2:8">
      <c r="B1202" s="18">
        <v>8015</v>
      </c>
      <c r="C1202" s="17">
        <v>79</v>
      </c>
      <c r="D1202" s="17" t="s">
        <v>2831</v>
      </c>
      <c r="E1202" s="17">
        <v>80</v>
      </c>
      <c r="F1202" s="19">
        <v>12041520</v>
      </c>
      <c r="G1202" s="19">
        <v>152147816</v>
      </c>
      <c r="H1202" s="8"/>
    </row>
    <row r="1203" spans="2:8">
      <c r="B1203" s="18">
        <v>8015</v>
      </c>
      <c r="C1203" s="17">
        <v>80</v>
      </c>
      <c r="D1203" s="17" t="s">
        <v>2832</v>
      </c>
      <c r="E1203" s="17" t="s">
        <v>1762</v>
      </c>
      <c r="F1203" s="19">
        <v>12907899</v>
      </c>
      <c r="G1203" s="19">
        <v>165055715</v>
      </c>
      <c r="H1203" s="8"/>
    </row>
    <row r="1204" spans="2:8">
      <c r="B1204" s="18">
        <v>8016</v>
      </c>
      <c r="C1204" s="17">
        <v>1</v>
      </c>
      <c r="D1204" s="17" t="s">
        <v>2833</v>
      </c>
      <c r="E1204" s="17">
        <v>2</v>
      </c>
      <c r="F1204" s="19">
        <v>0</v>
      </c>
      <c r="G1204" s="19">
        <v>0</v>
      </c>
      <c r="H1204" s="8"/>
    </row>
    <row r="1205" spans="2:8">
      <c r="B1205" s="18">
        <v>8016</v>
      </c>
      <c r="C1205" s="17">
        <v>2</v>
      </c>
      <c r="D1205" s="17" t="s">
        <v>2834</v>
      </c>
      <c r="E1205" s="17">
        <v>3</v>
      </c>
      <c r="F1205" s="19">
        <v>132</v>
      </c>
      <c r="G1205" s="19">
        <v>132</v>
      </c>
      <c r="H1205" s="8"/>
    </row>
    <row r="1206" spans="2:8">
      <c r="B1206" s="18">
        <v>8016</v>
      </c>
      <c r="C1206" s="17">
        <v>3</v>
      </c>
      <c r="D1206" s="17" t="s">
        <v>2117</v>
      </c>
      <c r="E1206" s="17">
        <v>4</v>
      </c>
      <c r="F1206" s="19">
        <v>276</v>
      </c>
      <c r="G1206" s="19">
        <v>408</v>
      </c>
      <c r="H1206" s="8"/>
    </row>
    <row r="1207" spans="2:8">
      <c r="B1207" s="18">
        <v>8016</v>
      </c>
      <c r="C1207" s="17">
        <v>4</v>
      </c>
      <c r="D1207" s="17" t="s">
        <v>2835</v>
      </c>
      <c r="E1207" s="17">
        <v>5</v>
      </c>
      <c r="F1207" s="19">
        <v>432</v>
      </c>
      <c r="G1207" s="19">
        <v>840</v>
      </c>
    </row>
    <row r="1208" spans="2:8">
      <c r="B1208" s="18">
        <v>8016</v>
      </c>
      <c r="C1208" s="17">
        <v>5</v>
      </c>
      <c r="D1208" s="17" t="s">
        <v>2836</v>
      </c>
      <c r="E1208" s="17">
        <v>6</v>
      </c>
      <c r="F1208" s="19">
        <v>601</v>
      </c>
      <c r="G1208" s="19">
        <v>1441</v>
      </c>
      <c r="H1208" s="8"/>
    </row>
    <row r="1209" spans="2:8">
      <c r="B1209" s="18">
        <v>8016</v>
      </c>
      <c r="C1209" s="17">
        <v>6</v>
      </c>
      <c r="D1209" s="17" t="s">
        <v>2837</v>
      </c>
      <c r="E1209" s="17">
        <v>7</v>
      </c>
      <c r="F1209" s="19">
        <v>784</v>
      </c>
      <c r="G1209" s="19">
        <v>2225</v>
      </c>
      <c r="H1209" s="8"/>
    </row>
    <row r="1210" spans="2:8">
      <c r="B1210" s="18">
        <v>8016</v>
      </c>
      <c r="C1210" s="17">
        <v>7</v>
      </c>
      <c r="D1210" s="17" t="s">
        <v>2838</v>
      </c>
      <c r="E1210" s="17">
        <v>8</v>
      </c>
      <c r="F1210" s="19">
        <v>985</v>
      </c>
      <c r="G1210" s="19">
        <v>3210</v>
      </c>
      <c r="H1210" s="8"/>
    </row>
    <row r="1211" spans="2:8">
      <c r="B1211" s="18">
        <v>8016</v>
      </c>
      <c r="C1211" s="17">
        <v>8</v>
      </c>
      <c r="D1211" s="17" t="s">
        <v>2839</v>
      </c>
      <c r="E1211" s="17">
        <v>9</v>
      </c>
      <c r="F1211" s="19">
        <v>1207</v>
      </c>
      <c r="G1211" s="19">
        <v>4417</v>
      </c>
      <c r="H1211" s="8"/>
    </row>
    <row r="1212" spans="2:8">
      <c r="B1212" s="18">
        <v>8016</v>
      </c>
      <c r="C1212" s="17">
        <v>9</v>
      </c>
      <c r="D1212" s="17" t="s">
        <v>2840</v>
      </c>
      <c r="E1212" s="17">
        <v>10</v>
      </c>
      <c r="F1212" s="19">
        <v>1456</v>
      </c>
      <c r="G1212" s="19">
        <v>5873</v>
      </c>
      <c r="H1212" s="8"/>
    </row>
    <row r="1213" spans="2:8">
      <c r="B1213" s="18">
        <v>8016</v>
      </c>
      <c r="C1213" s="17">
        <v>10</v>
      </c>
      <c r="D1213" s="17" t="s">
        <v>2841</v>
      </c>
      <c r="E1213" s="17">
        <v>11</v>
      </c>
      <c r="F1213" s="19">
        <v>1743</v>
      </c>
      <c r="G1213" s="19">
        <v>7616</v>
      </c>
      <c r="H1213" s="8"/>
    </row>
    <row r="1214" spans="2:8">
      <c r="B1214" s="18">
        <v>8016</v>
      </c>
      <c r="C1214" s="17">
        <v>11</v>
      </c>
      <c r="D1214" s="17" t="s">
        <v>2842</v>
      </c>
      <c r="E1214" s="17">
        <v>12</v>
      </c>
      <c r="F1214" s="19">
        <v>2078</v>
      </c>
      <c r="G1214" s="19">
        <v>9694</v>
      </c>
      <c r="H1214" s="8"/>
    </row>
    <row r="1215" spans="2:8">
      <c r="B1215" s="18">
        <v>8016</v>
      </c>
      <c r="C1215" s="17">
        <v>12</v>
      </c>
      <c r="D1215" s="17" t="s">
        <v>2843</v>
      </c>
      <c r="E1215" s="17">
        <v>13</v>
      </c>
      <c r="F1215" s="19">
        <v>2475</v>
      </c>
      <c r="G1215" s="19">
        <v>12169</v>
      </c>
      <c r="H1215" s="8"/>
    </row>
    <row r="1216" spans="2:8">
      <c r="B1216" s="18">
        <v>8016</v>
      </c>
      <c r="C1216" s="17">
        <v>13</v>
      </c>
      <c r="D1216" s="17" t="s">
        <v>2844</v>
      </c>
      <c r="E1216" s="17">
        <v>14</v>
      </c>
      <c r="F1216" s="19">
        <v>2954</v>
      </c>
      <c r="G1216" s="19">
        <v>15123</v>
      </c>
      <c r="H1216" s="8"/>
    </row>
    <row r="1217" spans="2:8">
      <c r="B1217" s="18">
        <v>8016</v>
      </c>
      <c r="C1217" s="17">
        <v>14</v>
      </c>
      <c r="D1217" s="17" t="s">
        <v>2146</v>
      </c>
      <c r="E1217" s="17">
        <v>15</v>
      </c>
      <c r="F1217" s="19">
        <v>3538</v>
      </c>
      <c r="G1217" s="19">
        <v>18661</v>
      </c>
      <c r="H1217" s="8"/>
    </row>
    <row r="1218" spans="2:8">
      <c r="B1218" s="18">
        <v>8016</v>
      </c>
      <c r="C1218" s="17">
        <v>15</v>
      </c>
      <c r="D1218" s="17" t="s">
        <v>2845</v>
      </c>
      <c r="E1218" s="17">
        <v>16</v>
      </c>
      <c r="F1218" s="19">
        <v>4257</v>
      </c>
      <c r="G1218" s="19">
        <v>22918</v>
      </c>
      <c r="H1218" s="8"/>
    </row>
    <row r="1219" spans="2:8">
      <c r="B1219" s="18">
        <v>8016</v>
      </c>
      <c r="C1219" s="17">
        <v>16</v>
      </c>
      <c r="D1219" s="17" t="s">
        <v>2493</v>
      </c>
      <c r="E1219" s="17">
        <v>17</v>
      </c>
      <c r="F1219" s="19">
        <v>5145</v>
      </c>
      <c r="G1219" s="19">
        <v>28063</v>
      </c>
      <c r="H1219" s="8"/>
    </row>
    <row r="1220" spans="2:8">
      <c r="B1220" s="18">
        <v>8016</v>
      </c>
      <c r="C1220" s="17">
        <v>17</v>
      </c>
      <c r="D1220" s="17" t="s">
        <v>2846</v>
      </c>
      <c r="E1220" s="17">
        <v>18</v>
      </c>
      <c r="F1220" s="19">
        <v>6243</v>
      </c>
      <c r="G1220" s="19">
        <v>34306</v>
      </c>
      <c r="H1220" s="8"/>
    </row>
    <row r="1221" spans="2:8">
      <c r="B1221" s="18">
        <v>8016</v>
      </c>
      <c r="C1221" s="17">
        <v>18</v>
      </c>
      <c r="D1221" s="17" t="s">
        <v>2847</v>
      </c>
      <c r="E1221" s="17">
        <v>19</v>
      </c>
      <c r="F1221" s="19">
        <v>7599</v>
      </c>
      <c r="G1221" s="19">
        <v>41905</v>
      </c>
      <c r="H1221" s="8"/>
    </row>
    <row r="1222" spans="2:8">
      <c r="B1222" s="18">
        <v>8016</v>
      </c>
      <c r="C1222" s="17">
        <v>19</v>
      </c>
      <c r="D1222" s="17" t="s">
        <v>2848</v>
      </c>
      <c r="E1222" s="17">
        <v>20</v>
      </c>
      <c r="F1222" s="19">
        <v>9271</v>
      </c>
      <c r="G1222" s="19">
        <v>51176</v>
      </c>
      <c r="H1222" s="8"/>
    </row>
    <row r="1223" spans="2:8">
      <c r="B1223" s="18">
        <v>8016</v>
      </c>
      <c r="C1223" s="17">
        <v>20</v>
      </c>
      <c r="D1223" s="17" t="s">
        <v>2849</v>
      </c>
      <c r="E1223" s="17">
        <v>21</v>
      </c>
      <c r="F1223" s="19">
        <v>11323</v>
      </c>
      <c r="G1223" s="19">
        <v>62499</v>
      </c>
      <c r="H1223" s="8"/>
    </row>
    <row r="1224" spans="2:8">
      <c r="B1224" s="18">
        <v>8016</v>
      </c>
      <c r="C1224" s="17">
        <v>21</v>
      </c>
      <c r="D1224" s="17" t="s">
        <v>2850</v>
      </c>
      <c r="E1224" s="17">
        <v>22</v>
      </c>
      <c r="F1224" s="19">
        <v>13828</v>
      </c>
      <c r="G1224" s="19">
        <v>76327</v>
      </c>
      <c r="H1224" s="8"/>
    </row>
    <row r="1225" spans="2:8">
      <c r="B1225" s="18">
        <v>8016</v>
      </c>
      <c r="C1225" s="17">
        <v>22</v>
      </c>
      <c r="D1225" s="17" t="s">
        <v>2851</v>
      </c>
      <c r="E1225" s="17">
        <v>23</v>
      </c>
      <c r="F1225" s="19">
        <v>16874</v>
      </c>
      <c r="G1225" s="19">
        <v>93201</v>
      </c>
      <c r="H1225" s="8"/>
    </row>
    <row r="1226" spans="2:8">
      <c r="B1226" s="18">
        <v>8016</v>
      </c>
      <c r="C1226" s="17">
        <v>23</v>
      </c>
      <c r="D1226" s="17" t="s">
        <v>2852</v>
      </c>
      <c r="E1226" s="17">
        <v>24</v>
      </c>
      <c r="F1226" s="19">
        <v>20553</v>
      </c>
      <c r="G1226" s="19">
        <v>113754</v>
      </c>
      <c r="H1226" s="8"/>
    </row>
    <row r="1227" spans="2:8">
      <c r="B1227" s="18">
        <v>8016</v>
      </c>
      <c r="C1227" s="17">
        <v>24</v>
      </c>
      <c r="D1227" s="17" t="s">
        <v>2853</v>
      </c>
      <c r="E1227" s="17">
        <v>25</v>
      </c>
      <c r="F1227" s="19">
        <v>24975</v>
      </c>
      <c r="G1227" s="19">
        <v>138729</v>
      </c>
      <c r="H1227" s="8"/>
    </row>
    <row r="1228" spans="2:8">
      <c r="B1228" s="18">
        <v>8016</v>
      </c>
      <c r="C1228" s="17">
        <v>25</v>
      </c>
      <c r="D1228" s="17" t="s">
        <v>2854</v>
      </c>
      <c r="E1228" s="17">
        <v>26</v>
      </c>
      <c r="F1228" s="19">
        <v>30259</v>
      </c>
      <c r="G1228" s="19">
        <v>168988</v>
      </c>
      <c r="H1228" s="8"/>
    </row>
    <row r="1229" spans="2:8">
      <c r="B1229" s="18">
        <v>8016</v>
      </c>
      <c r="C1229" s="17">
        <v>26</v>
      </c>
      <c r="D1229" s="17" t="s">
        <v>2855</v>
      </c>
      <c r="E1229" s="17">
        <v>27</v>
      </c>
      <c r="F1229" s="19">
        <v>36537</v>
      </c>
      <c r="G1229" s="19">
        <v>205525</v>
      </c>
      <c r="H1229" s="8"/>
    </row>
    <row r="1230" spans="2:8">
      <c r="B1230" s="18">
        <v>8016</v>
      </c>
      <c r="C1230" s="17">
        <v>27</v>
      </c>
      <c r="D1230" s="17" t="s">
        <v>2856</v>
      </c>
      <c r="E1230" s="17">
        <v>28</v>
      </c>
      <c r="F1230" s="19">
        <v>43959</v>
      </c>
      <c r="G1230" s="19">
        <v>249484</v>
      </c>
      <c r="H1230" s="8"/>
    </row>
    <row r="1231" spans="2:8">
      <c r="B1231" s="18">
        <v>8016</v>
      </c>
      <c r="C1231" s="17">
        <v>28</v>
      </c>
      <c r="D1231" s="17" t="s">
        <v>2857</v>
      </c>
      <c r="E1231" s="17">
        <v>29</v>
      </c>
      <c r="F1231" s="19">
        <v>52687</v>
      </c>
      <c r="G1231" s="19">
        <v>302171</v>
      </c>
      <c r="H1231" s="8"/>
    </row>
    <row r="1232" spans="2:8">
      <c r="B1232" s="18">
        <v>8016</v>
      </c>
      <c r="C1232" s="17">
        <v>29</v>
      </c>
      <c r="D1232" s="17" t="s">
        <v>2858</v>
      </c>
      <c r="E1232" s="17">
        <v>30</v>
      </c>
      <c r="F1232" s="19">
        <v>62900</v>
      </c>
      <c r="G1232" s="19">
        <v>365071</v>
      </c>
      <c r="H1232" s="8"/>
    </row>
    <row r="1233" spans="2:8">
      <c r="B1233" s="18">
        <v>8016</v>
      </c>
      <c r="C1233" s="17">
        <v>30</v>
      </c>
      <c r="D1233" s="17" t="s">
        <v>2859</v>
      </c>
      <c r="E1233" s="17">
        <v>31</v>
      </c>
      <c r="F1233" s="19">
        <v>74794</v>
      </c>
      <c r="G1233" s="19">
        <v>439865</v>
      </c>
      <c r="H1233" s="8"/>
    </row>
    <row r="1234" spans="2:8">
      <c r="B1234" s="18">
        <v>8016</v>
      </c>
      <c r="C1234" s="17">
        <v>31</v>
      </c>
      <c r="D1234" s="17" t="s">
        <v>2860</v>
      </c>
      <c r="E1234" s="17">
        <v>32</v>
      </c>
      <c r="F1234" s="19">
        <v>88584</v>
      </c>
      <c r="G1234" s="19">
        <v>528449</v>
      </c>
      <c r="H1234" s="8"/>
    </row>
    <row r="1235" spans="2:8">
      <c r="B1235" s="18">
        <v>8016</v>
      </c>
      <c r="C1235" s="17">
        <v>32</v>
      </c>
      <c r="D1235" s="17" t="s">
        <v>2522</v>
      </c>
      <c r="E1235" s="17">
        <v>33</v>
      </c>
      <c r="F1235" s="19">
        <v>104500</v>
      </c>
      <c r="G1235" s="19">
        <v>632949</v>
      </c>
      <c r="H1235" s="8"/>
    </row>
    <row r="1236" spans="2:8">
      <c r="B1236" s="18">
        <v>8016</v>
      </c>
      <c r="C1236" s="17">
        <v>33</v>
      </c>
      <c r="D1236" s="17" t="s">
        <v>2861</v>
      </c>
      <c r="E1236" s="17">
        <v>34</v>
      </c>
      <c r="F1236" s="19">
        <v>122799</v>
      </c>
      <c r="G1236" s="19">
        <v>755748</v>
      </c>
      <c r="H1236" s="8"/>
    </row>
    <row r="1237" spans="2:8">
      <c r="B1237" s="18">
        <v>8016</v>
      </c>
      <c r="C1237" s="17">
        <v>34</v>
      </c>
      <c r="D1237" s="17" t="s">
        <v>2862</v>
      </c>
      <c r="E1237" s="17">
        <v>35</v>
      </c>
      <c r="F1237" s="19">
        <v>143752</v>
      </c>
      <c r="G1237" s="19">
        <v>899500</v>
      </c>
      <c r="H1237" s="8"/>
    </row>
    <row r="1238" spans="2:8">
      <c r="B1238" s="18">
        <v>8016</v>
      </c>
      <c r="C1238" s="17">
        <v>35</v>
      </c>
      <c r="D1238" s="17" t="s">
        <v>2863</v>
      </c>
      <c r="E1238" s="17">
        <v>36</v>
      </c>
      <c r="F1238" s="19">
        <v>167656</v>
      </c>
      <c r="G1238" s="19">
        <v>1067156</v>
      </c>
      <c r="H1238" s="8"/>
    </row>
    <row r="1239" spans="2:8">
      <c r="B1239" s="18">
        <v>8016</v>
      </c>
      <c r="C1239" s="17">
        <v>36</v>
      </c>
      <c r="D1239" s="17" t="s">
        <v>2864</v>
      </c>
      <c r="E1239" s="17">
        <v>37</v>
      </c>
      <c r="F1239" s="19">
        <v>194829</v>
      </c>
      <c r="G1239" s="19">
        <v>1261985</v>
      </c>
      <c r="H1239" s="8"/>
    </row>
    <row r="1240" spans="2:8">
      <c r="B1240" s="18">
        <v>8016</v>
      </c>
      <c r="C1240" s="17">
        <v>37</v>
      </c>
      <c r="D1240" s="17" t="s">
        <v>2865</v>
      </c>
      <c r="E1240" s="17">
        <v>38</v>
      </c>
      <c r="F1240" s="19">
        <v>225614</v>
      </c>
      <c r="G1240" s="19">
        <v>1487599</v>
      </c>
      <c r="H1240" s="8"/>
    </row>
    <row r="1241" spans="2:8">
      <c r="B1241" s="18">
        <v>8016</v>
      </c>
      <c r="C1241" s="17">
        <v>38</v>
      </c>
      <c r="D1241" s="17" t="s">
        <v>2866</v>
      </c>
      <c r="E1241" s="17">
        <v>39</v>
      </c>
      <c r="F1241" s="19">
        <v>260378</v>
      </c>
      <c r="G1241" s="19">
        <v>1747977</v>
      </c>
      <c r="H1241" s="8"/>
    </row>
    <row r="1242" spans="2:8">
      <c r="B1242" s="18">
        <v>8016</v>
      </c>
      <c r="C1242" s="17">
        <v>39</v>
      </c>
      <c r="D1242" s="17" t="s">
        <v>2867</v>
      </c>
      <c r="E1242" s="17">
        <v>40</v>
      </c>
      <c r="F1242" s="19">
        <v>299515</v>
      </c>
      <c r="G1242" s="19">
        <v>2047492</v>
      </c>
      <c r="H1242" s="8"/>
    </row>
    <row r="1243" spans="2:8">
      <c r="B1243" s="18">
        <v>8016</v>
      </c>
      <c r="C1243" s="17">
        <v>40</v>
      </c>
      <c r="D1243" s="17" t="s">
        <v>2868</v>
      </c>
      <c r="E1243" s="17">
        <v>41</v>
      </c>
      <c r="F1243" s="19">
        <v>343444</v>
      </c>
      <c r="G1243" s="19">
        <v>2390936</v>
      </c>
      <c r="H1243" s="8"/>
    </row>
    <row r="1244" spans="2:8">
      <c r="B1244" s="18">
        <v>8016</v>
      </c>
      <c r="C1244" s="17">
        <v>41</v>
      </c>
      <c r="D1244" s="17" t="s">
        <v>2869</v>
      </c>
      <c r="E1244" s="17">
        <v>42</v>
      </c>
      <c r="F1244" s="19">
        <v>392617</v>
      </c>
      <c r="G1244" s="19">
        <v>2783553</v>
      </c>
      <c r="H1244" s="8"/>
    </row>
    <row r="1245" spans="2:8">
      <c r="B1245" s="18">
        <v>8016</v>
      </c>
      <c r="C1245" s="17">
        <v>42</v>
      </c>
      <c r="D1245" s="17" t="s">
        <v>2870</v>
      </c>
      <c r="E1245" s="17">
        <v>43</v>
      </c>
      <c r="F1245" s="19">
        <v>447510</v>
      </c>
      <c r="G1245" s="19">
        <v>3231063</v>
      </c>
      <c r="H1245" s="8"/>
    </row>
    <row r="1246" spans="2:8">
      <c r="B1246" s="18">
        <v>8016</v>
      </c>
      <c r="C1246" s="17">
        <v>43</v>
      </c>
      <c r="D1246" s="17" t="s">
        <v>2871</v>
      </c>
      <c r="E1246" s="17">
        <v>44</v>
      </c>
      <c r="F1246" s="19">
        <v>508632</v>
      </c>
      <c r="G1246" s="19">
        <v>3739695</v>
      </c>
      <c r="H1246" s="8"/>
    </row>
    <row r="1247" spans="2:8">
      <c r="B1247" s="18">
        <v>8016</v>
      </c>
      <c r="C1247" s="17">
        <v>44</v>
      </c>
      <c r="D1247" s="17" t="s">
        <v>2872</v>
      </c>
      <c r="E1247" s="17">
        <v>45</v>
      </c>
      <c r="F1247" s="19">
        <v>576523</v>
      </c>
      <c r="G1247" s="19">
        <v>4316218</v>
      </c>
      <c r="H1247" s="8"/>
    </row>
    <row r="1248" spans="2:8">
      <c r="B1248" s="18">
        <v>8016</v>
      </c>
      <c r="C1248" s="17">
        <v>45</v>
      </c>
      <c r="D1248" s="17" t="s">
        <v>2873</v>
      </c>
      <c r="E1248" s="17">
        <v>46</v>
      </c>
      <c r="F1248" s="19">
        <v>651757</v>
      </c>
      <c r="G1248" s="19">
        <v>4967975</v>
      </c>
      <c r="H1248" s="8"/>
    </row>
    <row r="1249" spans="2:8">
      <c r="B1249" s="18">
        <v>8016</v>
      </c>
      <c r="C1249" s="17">
        <v>46</v>
      </c>
      <c r="D1249" s="17" t="s">
        <v>2874</v>
      </c>
      <c r="E1249" s="17">
        <v>47</v>
      </c>
      <c r="F1249" s="19">
        <v>734940</v>
      </c>
      <c r="G1249" s="19">
        <v>5702915</v>
      </c>
      <c r="H1249" s="8"/>
    </row>
    <row r="1250" spans="2:8">
      <c r="B1250" s="18">
        <v>8016</v>
      </c>
      <c r="C1250" s="17">
        <v>47</v>
      </c>
      <c r="D1250" s="17" t="s">
        <v>2875</v>
      </c>
      <c r="E1250" s="17">
        <v>48</v>
      </c>
      <c r="F1250" s="19">
        <v>826713</v>
      </c>
      <c r="G1250" s="19">
        <v>6529628</v>
      </c>
      <c r="H1250" s="8"/>
    </row>
    <row r="1251" spans="2:8">
      <c r="B1251" s="18">
        <v>8016</v>
      </c>
      <c r="C1251" s="17">
        <v>48</v>
      </c>
      <c r="D1251" s="17" t="s">
        <v>2876</v>
      </c>
      <c r="E1251" s="17">
        <v>49</v>
      </c>
      <c r="F1251" s="19">
        <v>927757</v>
      </c>
      <c r="G1251" s="19">
        <v>7457385</v>
      </c>
      <c r="H1251" s="8"/>
    </row>
    <row r="1252" spans="2:8">
      <c r="B1252" s="18">
        <v>8016</v>
      </c>
      <c r="C1252" s="17">
        <v>49</v>
      </c>
      <c r="D1252" s="17" t="s">
        <v>2877</v>
      </c>
      <c r="E1252" s="17">
        <v>50</v>
      </c>
      <c r="F1252" s="19">
        <v>1038786</v>
      </c>
      <c r="G1252" s="19">
        <v>8496171</v>
      </c>
      <c r="H1252" s="8"/>
    </row>
    <row r="1253" spans="2:8">
      <c r="B1253" s="18">
        <v>8016</v>
      </c>
      <c r="C1253" s="17">
        <v>50</v>
      </c>
      <c r="D1253" s="17" t="s">
        <v>2878</v>
      </c>
      <c r="E1253" s="17">
        <v>51</v>
      </c>
      <c r="F1253" s="19">
        <v>1160554</v>
      </c>
      <c r="G1253" s="19">
        <v>9656725</v>
      </c>
      <c r="H1253" s="8"/>
    </row>
    <row r="1254" spans="2:8">
      <c r="B1254" s="18">
        <v>8016</v>
      </c>
      <c r="C1254" s="17">
        <v>51</v>
      </c>
      <c r="D1254" s="17" t="s">
        <v>2879</v>
      </c>
      <c r="E1254" s="17">
        <v>52</v>
      </c>
      <c r="F1254" s="19">
        <v>1293856</v>
      </c>
      <c r="G1254" s="19">
        <v>10950581</v>
      </c>
      <c r="H1254" s="8"/>
    </row>
    <row r="1255" spans="2:8">
      <c r="B1255" s="18">
        <v>8016</v>
      </c>
      <c r="C1255" s="17">
        <v>52</v>
      </c>
      <c r="D1255" s="17" t="s">
        <v>2880</v>
      </c>
      <c r="E1255" s="17">
        <v>53</v>
      </c>
      <c r="F1255" s="19">
        <v>1439527</v>
      </c>
      <c r="G1255" s="19">
        <v>12390108</v>
      </c>
      <c r="H1255" s="8"/>
    </row>
    <row r="1256" spans="2:8">
      <c r="B1256" s="18">
        <v>8016</v>
      </c>
      <c r="C1256" s="17">
        <v>53</v>
      </c>
      <c r="D1256" s="17" t="s">
        <v>2881</v>
      </c>
      <c r="E1256" s="17">
        <v>54</v>
      </c>
      <c r="F1256" s="19">
        <v>1598445</v>
      </c>
      <c r="G1256" s="19">
        <v>13988553</v>
      </c>
      <c r="H1256" s="8"/>
    </row>
    <row r="1257" spans="2:8">
      <c r="B1257" s="18">
        <v>8016</v>
      </c>
      <c r="C1257" s="17">
        <v>54</v>
      </c>
      <c r="D1257" s="17" t="s">
        <v>2882</v>
      </c>
      <c r="E1257" s="17">
        <v>55</v>
      </c>
      <c r="F1257" s="19">
        <v>1771531</v>
      </c>
      <c r="G1257" s="19">
        <v>15760084</v>
      </c>
      <c r="H1257" s="8"/>
    </row>
    <row r="1258" spans="2:8">
      <c r="B1258" s="18">
        <v>8016</v>
      </c>
      <c r="C1258" s="17">
        <v>55</v>
      </c>
      <c r="D1258" s="17" t="s">
        <v>2883</v>
      </c>
      <c r="E1258" s="17">
        <v>56</v>
      </c>
      <c r="F1258" s="19">
        <v>1959752</v>
      </c>
      <c r="G1258" s="19">
        <v>17719836</v>
      </c>
      <c r="H1258" s="8"/>
    </row>
    <row r="1259" spans="2:8">
      <c r="B1259" s="18">
        <v>8016</v>
      </c>
      <c r="C1259" s="17">
        <v>56</v>
      </c>
      <c r="D1259" s="17" t="s">
        <v>2884</v>
      </c>
      <c r="E1259" s="17">
        <v>57</v>
      </c>
      <c r="F1259" s="19">
        <v>2164120</v>
      </c>
      <c r="G1259" s="19">
        <v>19883956</v>
      </c>
      <c r="H1259" s="8"/>
    </row>
    <row r="1260" spans="2:8">
      <c r="B1260" s="18">
        <v>8016</v>
      </c>
      <c r="C1260" s="17">
        <v>57</v>
      </c>
      <c r="D1260" s="17" t="s">
        <v>2885</v>
      </c>
      <c r="E1260" s="17">
        <v>58</v>
      </c>
      <c r="F1260" s="19">
        <v>2385696</v>
      </c>
      <c r="G1260" s="19">
        <v>22269652</v>
      </c>
      <c r="H1260" s="8"/>
    </row>
    <row r="1261" spans="2:8">
      <c r="B1261" s="18">
        <v>8016</v>
      </c>
      <c r="C1261" s="17">
        <v>58</v>
      </c>
      <c r="D1261" s="17" t="s">
        <v>2886</v>
      </c>
      <c r="E1261" s="17">
        <v>59</v>
      </c>
      <c r="F1261" s="19">
        <v>2625588</v>
      </c>
      <c r="G1261" s="19">
        <v>24895240</v>
      </c>
      <c r="H1261" s="8"/>
    </row>
    <row r="1262" spans="2:8">
      <c r="B1262" s="18">
        <v>8016</v>
      </c>
      <c r="C1262" s="17">
        <v>59</v>
      </c>
      <c r="D1262" s="17" t="s">
        <v>2887</v>
      </c>
      <c r="E1262" s="17">
        <v>60</v>
      </c>
      <c r="F1262" s="19">
        <v>2884954</v>
      </c>
      <c r="G1262" s="19">
        <v>27780194</v>
      </c>
      <c r="H1262" s="8"/>
    </row>
    <row r="1263" spans="2:8">
      <c r="B1263" s="18">
        <v>8016</v>
      </c>
      <c r="C1263" s="17">
        <v>60</v>
      </c>
      <c r="D1263" s="17" t="s">
        <v>2888</v>
      </c>
      <c r="E1263" s="17">
        <v>61</v>
      </c>
      <c r="F1263" s="19">
        <v>3165008</v>
      </c>
      <c r="G1263" s="19">
        <v>30945202</v>
      </c>
      <c r="H1263" s="8"/>
    </row>
    <row r="1264" spans="2:8">
      <c r="B1264" s="18">
        <v>8016</v>
      </c>
      <c r="C1264" s="17">
        <v>61</v>
      </c>
      <c r="D1264" s="17" t="s">
        <v>2889</v>
      </c>
      <c r="E1264" s="17">
        <v>62</v>
      </c>
      <c r="F1264" s="19">
        <v>3467011</v>
      </c>
      <c r="G1264" s="19">
        <v>34412213</v>
      </c>
      <c r="H1264" s="8"/>
    </row>
    <row r="1265" spans="2:8">
      <c r="B1265" s="18">
        <v>8016</v>
      </c>
      <c r="C1265" s="17">
        <v>62</v>
      </c>
      <c r="D1265" s="17" t="s">
        <v>2890</v>
      </c>
      <c r="E1265" s="17">
        <v>63</v>
      </c>
      <c r="F1265" s="19">
        <v>3792280</v>
      </c>
      <c r="G1265" s="19">
        <v>38204493</v>
      </c>
      <c r="H1265" s="8"/>
    </row>
    <row r="1266" spans="2:8">
      <c r="B1266" s="18">
        <v>8016</v>
      </c>
      <c r="C1266" s="17">
        <v>63</v>
      </c>
      <c r="D1266" s="17" t="s">
        <v>2891</v>
      </c>
      <c r="E1266" s="17">
        <v>64</v>
      </c>
      <c r="F1266" s="19">
        <v>4142191</v>
      </c>
      <c r="G1266" s="19">
        <v>42346684</v>
      </c>
      <c r="H1266" s="8"/>
    </row>
    <row r="1267" spans="2:8">
      <c r="B1267" s="18">
        <v>8016</v>
      </c>
      <c r="C1267" s="17">
        <v>64</v>
      </c>
      <c r="D1267" s="17" t="s">
        <v>2892</v>
      </c>
      <c r="E1267" s="17">
        <v>65</v>
      </c>
      <c r="F1267" s="19">
        <v>4518172</v>
      </c>
      <c r="G1267" s="19">
        <v>46864856</v>
      </c>
      <c r="H1267" s="8"/>
    </row>
    <row r="1268" spans="2:8">
      <c r="B1268" s="18">
        <v>8016</v>
      </c>
      <c r="C1268" s="17">
        <v>65</v>
      </c>
      <c r="D1268" s="17" t="s">
        <v>2893</v>
      </c>
      <c r="E1268" s="17">
        <v>66</v>
      </c>
      <c r="F1268" s="19">
        <v>4921713</v>
      </c>
      <c r="G1268" s="19">
        <v>51786569</v>
      </c>
      <c r="H1268" s="8"/>
    </row>
    <row r="1269" spans="2:8">
      <c r="B1269" s="18">
        <v>8016</v>
      </c>
      <c r="C1269" s="17">
        <v>66</v>
      </c>
      <c r="D1269" s="17" t="s">
        <v>2894</v>
      </c>
      <c r="E1269" s="17">
        <v>67</v>
      </c>
      <c r="F1269" s="19">
        <v>5354361</v>
      </c>
      <c r="G1269" s="19">
        <v>57140930</v>
      </c>
      <c r="H1269" s="8"/>
    </row>
    <row r="1270" spans="2:8">
      <c r="B1270" s="18">
        <v>8016</v>
      </c>
      <c r="C1270" s="17">
        <v>67</v>
      </c>
      <c r="D1270" s="17" t="s">
        <v>2895</v>
      </c>
      <c r="E1270" s="17">
        <v>68</v>
      </c>
      <c r="F1270" s="19">
        <v>5817727</v>
      </c>
      <c r="G1270" s="19">
        <v>62958657</v>
      </c>
      <c r="H1270" s="8"/>
    </row>
    <row r="1271" spans="2:8">
      <c r="B1271" s="18">
        <v>8016</v>
      </c>
      <c r="C1271" s="17">
        <v>68</v>
      </c>
      <c r="D1271" s="17" t="s">
        <v>2896</v>
      </c>
      <c r="E1271" s="17">
        <v>69</v>
      </c>
      <c r="F1271" s="19">
        <v>6313483</v>
      </c>
      <c r="G1271" s="19">
        <v>69272140</v>
      </c>
      <c r="H1271" s="8"/>
    </row>
    <row r="1272" spans="2:8">
      <c r="B1272" s="18">
        <v>8016</v>
      </c>
      <c r="C1272" s="17">
        <v>69</v>
      </c>
      <c r="D1272" s="17" t="s">
        <v>2897</v>
      </c>
      <c r="E1272" s="17">
        <v>70</v>
      </c>
      <c r="F1272" s="19">
        <v>6843364</v>
      </c>
      <c r="G1272" s="19">
        <v>76115504</v>
      </c>
      <c r="H1272" s="8"/>
    </row>
    <row r="1273" spans="2:8">
      <c r="B1273" s="18">
        <v>8016</v>
      </c>
      <c r="C1273" s="17">
        <v>70</v>
      </c>
      <c r="D1273" s="17" t="s">
        <v>2898</v>
      </c>
      <c r="E1273" s="17">
        <v>71</v>
      </c>
      <c r="F1273" s="19">
        <v>7409174</v>
      </c>
      <c r="G1273" s="19">
        <v>83524678</v>
      </c>
      <c r="H1273" s="8"/>
    </row>
    <row r="1274" spans="2:8">
      <c r="B1274" s="18">
        <v>8016</v>
      </c>
      <c r="C1274" s="17">
        <v>71</v>
      </c>
      <c r="D1274" s="17" t="s">
        <v>2899</v>
      </c>
      <c r="E1274" s="17">
        <v>72</v>
      </c>
      <c r="F1274" s="19">
        <v>8012780</v>
      </c>
      <c r="G1274" s="19">
        <v>91537458</v>
      </c>
      <c r="H1274" s="8"/>
    </row>
    <row r="1275" spans="2:8">
      <c r="B1275" s="18">
        <v>8016</v>
      </c>
      <c r="C1275" s="17">
        <v>72</v>
      </c>
      <c r="D1275" s="17" t="s">
        <v>2900</v>
      </c>
      <c r="E1275" s="17">
        <v>73</v>
      </c>
      <c r="F1275" s="19">
        <v>8656119</v>
      </c>
      <c r="G1275" s="19">
        <v>100193577</v>
      </c>
      <c r="H1275" s="8"/>
    </row>
    <row r="1276" spans="2:8">
      <c r="B1276" s="18">
        <v>8016</v>
      </c>
      <c r="C1276" s="17">
        <v>73</v>
      </c>
      <c r="D1276" s="17" t="s">
        <v>2901</v>
      </c>
      <c r="E1276" s="17">
        <v>74</v>
      </c>
      <c r="F1276" s="19">
        <v>9341199</v>
      </c>
      <c r="G1276" s="19">
        <v>109534776</v>
      </c>
      <c r="H1276" s="8"/>
    </row>
    <row r="1277" spans="2:8">
      <c r="B1277" s="18">
        <v>8016</v>
      </c>
      <c r="C1277" s="17">
        <v>74</v>
      </c>
      <c r="D1277" s="17" t="s">
        <v>2902</v>
      </c>
      <c r="E1277" s="17">
        <v>75</v>
      </c>
      <c r="F1277" s="19">
        <v>10070098</v>
      </c>
      <c r="G1277" s="19">
        <v>119604874</v>
      </c>
      <c r="H1277" s="8"/>
    </row>
    <row r="1278" spans="2:8">
      <c r="B1278" s="18">
        <v>8016</v>
      </c>
      <c r="C1278" s="17">
        <v>75</v>
      </c>
      <c r="D1278" s="17" t="s">
        <v>2903</v>
      </c>
      <c r="E1278" s="17">
        <v>76</v>
      </c>
      <c r="F1278" s="19">
        <v>10844968</v>
      </c>
      <c r="G1278" s="19">
        <v>130449842</v>
      </c>
      <c r="H1278" s="8"/>
    </row>
    <row r="1279" spans="2:8">
      <c r="B1279" s="18">
        <v>8016</v>
      </c>
      <c r="C1279" s="17">
        <v>76</v>
      </c>
      <c r="D1279" s="17" t="s">
        <v>2904</v>
      </c>
      <c r="E1279" s="17">
        <v>77</v>
      </c>
      <c r="F1279" s="19">
        <v>11668035</v>
      </c>
      <c r="G1279" s="19">
        <v>142117877</v>
      </c>
      <c r="H1279" s="8"/>
    </row>
    <row r="1280" spans="2:8">
      <c r="B1280" s="18">
        <v>8016</v>
      </c>
      <c r="C1280" s="17">
        <v>77</v>
      </c>
      <c r="D1280" s="17" t="s">
        <v>2905</v>
      </c>
      <c r="E1280" s="17">
        <v>78</v>
      </c>
      <c r="F1280" s="19">
        <v>12541600</v>
      </c>
      <c r="G1280" s="19">
        <v>154659477</v>
      </c>
      <c r="H1280" s="8"/>
    </row>
    <row r="1281" spans="2:8">
      <c r="B1281" s="18">
        <v>8016</v>
      </c>
      <c r="C1281" s="17">
        <v>78</v>
      </c>
      <c r="D1281" s="17" t="s">
        <v>2906</v>
      </c>
      <c r="E1281" s="17">
        <v>79</v>
      </c>
      <c r="F1281" s="19">
        <v>13468044</v>
      </c>
      <c r="G1281" s="19">
        <v>168127521</v>
      </c>
      <c r="H1281" s="8"/>
    </row>
    <row r="1282" spans="2:8">
      <c r="B1282" s="18">
        <v>8016</v>
      </c>
      <c r="C1282" s="17">
        <v>79</v>
      </c>
      <c r="D1282" s="17" t="s">
        <v>2907</v>
      </c>
      <c r="E1282" s="17">
        <v>80</v>
      </c>
      <c r="F1282" s="19">
        <v>14449824</v>
      </c>
      <c r="G1282" s="19">
        <v>182577345</v>
      </c>
      <c r="H1282" s="8"/>
    </row>
    <row r="1283" spans="2:8">
      <c r="B1283" s="18">
        <v>8016</v>
      </c>
      <c r="C1283" s="17">
        <v>80</v>
      </c>
      <c r="D1283" s="17" t="s">
        <v>2908</v>
      </c>
      <c r="E1283" s="17" t="s">
        <v>1762</v>
      </c>
      <c r="F1283" s="19">
        <v>15489478</v>
      </c>
      <c r="G1283" s="19">
        <v>198066823</v>
      </c>
      <c r="H1283" s="8"/>
    </row>
    <row r="1284" spans="2:8">
      <c r="B1284" s="18">
        <v>8017</v>
      </c>
      <c r="C1284" s="17">
        <v>1</v>
      </c>
      <c r="D1284" s="17" t="s">
        <v>2909</v>
      </c>
      <c r="E1284" s="17">
        <v>2</v>
      </c>
      <c r="F1284" s="19">
        <v>0</v>
      </c>
      <c r="G1284" s="19">
        <v>0</v>
      </c>
      <c r="H1284" s="8"/>
    </row>
    <row r="1285" spans="2:8">
      <c r="B1285" s="18">
        <v>8017</v>
      </c>
      <c r="C1285" s="17">
        <v>2</v>
      </c>
      <c r="D1285" s="17" t="s">
        <v>2910</v>
      </c>
      <c r="E1285" s="17">
        <v>3</v>
      </c>
      <c r="F1285" s="19">
        <v>132</v>
      </c>
      <c r="G1285" s="19">
        <v>132</v>
      </c>
      <c r="H1285" s="8"/>
    </row>
    <row r="1286" spans="2:8">
      <c r="B1286" s="18">
        <v>8017</v>
      </c>
      <c r="C1286" s="17">
        <v>3</v>
      </c>
      <c r="D1286" s="17" t="s">
        <v>2191</v>
      </c>
      <c r="E1286" s="17">
        <v>4</v>
      </c>
      <c r="F1286" s="19">
        <v>276</v>
      </c>
      <c r="G1286" s="19">
        <v>408</v>
      </c>
      <c r="H1286" s="8"/>
    </row>
    <row r="1287" spans="2:8">
      <c r="B1287" s="18">
        <v>8017</v>
      </c>
      <c r="C1287" s="17">
        <v>4</v>
      </c>
      <c r="D1287" s="17" t="s">
        <v>2911</v>
      </c>
      <c r="E1287" s="17">
        <v>5</v>
      </c>
      <c r="F1287" s="19">
        <v>432</v>
      </c>
      <c r="G1287" s="19">
        <v>840</v>
      </c>
      <c r="H1287" s="8"/>
    </row>
    <row r="1288" spans="2:8">
      <c r="B1288" s="18">
        <v>8017</v>
      </c>
      <c r="C1288" s="17">
        <v>5</v>
      </c>
      <c r="D1288" s="17" t="s">
        <v>2912</v>
      </c>
      <c r="E1288" s="17">
        <v>6</v>
      </c>
      <c r="F1288" s="19">
        <v>601</v>
      </c>
      <c r="G1288" s="19">
        <v>1441</v>
      </c>
      <c r="H1288" s="8"/>
    </row>
    <row r="1289" spans="2:8">
      <c r="B1289" s="18">
        <v>8017</v>
      </c>
      <c r="C1289" s="17">
        <v>6</v>
      </c>
      <c r="D1289" s="17" t="s">
        <v>2913</v>
      </c>
      <c r="E1289" s="17">
        <v>7</v>
      </c>
      <c r="F1289" s="19">
        <v>784</v>
      </c>
      <c r="G1289" s="19">
        <v>2225</v>
      </c>
      <c r="H1289" s="8"/>
    </row>
    <row r="1290" spans="2:8">
      <c r="B1290" s="18">
        <v>8017</v>
      </c>
      <c r="C1290" s="17">
        <v>7</v>
      </c>
      <c r="D1290" s="17" t="s">
        <v>2914</v>
      </c>
      <c r="E1290" s="17">
        <v>8</v>
      </c>
      <c r="F1290" s="19">
        <v>985</v>
      </c>
      <c r="G1290" s="19">
        <v>3210</v>
      </c>
      <c r="H1290" s="8"/>
    </row>
    <row r="1291" spans="2:8">
      <c r="B1291" s="18">
        <v>8017</v>
      </c>
      <c r="C1291" s="17">
        <v>8</v>
      </c>
      <c r="D1291" s="17" t="s">
        <v>2915</v>
      </c>
      <c r="E1291" s="17">
        <v>9</v>
      </c>
      <c r="F1291" s="19">
        <v>1207</v>
      </c>
      <c r="G1291" s="19">
        <v>4417</v>
      </c>
      <c r="H1291" s="8"/>
    </row>
    <row r="1292" spans="2:8">
      <c r="B1292" s="18">
        <v>8017</v>
      </c>
      <c r="C1292" s="17">
        <v>9</v>
      </c>
      <c r="D1292" s="17" t="s">
        <v>2916</v>
      </c>
      <c r="E1292" s="17">
        <v>10</v>
      </c>
      <c r="F1292" s="19">
        <v>1456</v>
      </c>
      <c r="G1292" s="19">
        <v>5873</v>
      </c>
      <c r="H1292" s="8"/>
    </row>
    <row r="1293" spans="2:8">
      <c r="B1293" s="18">
        <v>8017</v>
      </c>
      <c r="C1293" s="17">
        <v>10</v>
      </c>
      <c r="D1293" s="17" t="s">
        <v>2917</v>
      </c>
      <c r="E1293" s="17">
        <v>11</v>
      </c>
      <c r="F1293" s="19">
        <v>1743</v>
      </c>
      <c r="G1293" s="19">
        <v>7616</v>
      </c>
      <c r="H1293" s="8"/>
    </row>
    <row r="1294" spans="2:8">
      <c r="B1294" s="18">
        <v>8017</v>
      </c>
      <c r="C1294" s="17">
        <v>11</v>
      </c>
      <c r="D1294" s="17" t="s">
        <v>2918</v>
      </c>
      <c r="E1294" s="17">
        <v>12</v>
      </c>
      <c r="F1294" s="19">
        <v>2078</v>
      </c>
      <c r="G1294" s="19">
        <v>9694</v>
      </c>
      <c r="H1294" s="8"/>
    </row>
    <row r="1295" spans="2:8">
      <c r="B1295" s="18">
        <v>8017</v>
      </c>
      <c r="C1295" s="17">
        <v>12</v>
      </c>
      <c r="D1295" s="17" t="s">
        <v>2919</v>
      </c>
      <c r="E1295" s="17">
        <v>13</v>
      </c>
      <c r="F1295" s="19">
        <v>2475</v>
      </c>
      <c r="G1295" s="19">
        <v>12169</v>
      </c>
      <c r="H1295" s="8"/>
    </row>
    <row r="1296" spans="2:8">
      <c r="B1296" s="18">
        <v>8017</v>
      </c>
      <c r="C1296" s="17">
        <v>13</v>
      </c>
      <c r="D1296" s="17" t="s">
        <v>2920</v>
      </c>
      <c r="E1296" s="17">
        <v>14</v>
      </c>
      <c r="F1296" s="19">
        <v>2954</v>
      </c>
      <c r="G1296" s="19">
        <v>15123</v>
      </c>
      <c r="H1296" s="8"/>
    </row>
    <row r="1297" spans="2:8">
      <c r="B1297" s="18">
        <v>8017</v>
      </c>
      <c r="C1297" s="17">
        <v>14</v>
      </c>
      <c r="D1297" s="17" t="s">
        <v>2220</v>
      </c>
      <c r="E1297" s="17">
        <v>15</v>
      </c>
      <c r="F1297" s="19">
        <v>3538</v>
      </c>
      <c r="G1297" s="19">
        <v>18661</v>
      </c>
      <c r="H1297" s="8"/>
    </row>
    <row r="1298" spans="2:8">
      <c r="B1298" s="18">
        <v>8017</v>
      </c>
      <c r="C1298" s="17">
        <v>15</v>
      </c>
      <c r="D1298" s="17" t="s">
        <v>2921</v>
      </c>
      <c r="E1298" s="17">
        <v>16</v>
      </c>
      <c r="F1298" s="19">
        <v>4257</v>
      </c>
      <c r="G1298" s="19">
        <v>22918</v>
      </c>
      <c r="H1298" s="8"/>
    </row>
    <row r="1299" spans="2:8">
      <c r="B1299" s="18">
        <v>8017</v>
      </c>
      <c r="C1299" s="17">
        <v>16</v>
      </c>
      <c r="D1299" s="17" t="s">
        <v>2569</v>
      </c>
      <c r="E1299" s="17">
        <v>17</v>
      </c>
      <c r="F1299" s="19">
        <v>5145</v>
      </c>
      <c r="G1299" s="19">
        <v>28063</v>
      </c>
      <c r="H1299" s="8"/>
    </row>
    <row r="1300" spans="2:8">
      <c r="B1300" s="18">
        <v>8017</v>
      </c>
      <c r="C1300" s="17">
        <v>17</v>
      </c>
      <c r="D1300" s="17" t="s">
        <v>2922</v>
      </c>
      <c r="E1300" s="17">
        <v>18</v>
      </c>
      <c r="F1300" s="19">
        <v>6243</v>
      </c>
      <c r="G1300" s="19">
        <v>34306</v>
      </c>
      <c r="H1300" s="8"/>
    </row>
    <row r="1301" spans="2:8">
      <c r="B1301" s="18">
        <v>8017</v>
      </c>
      <c r="C1301" s="17">
        <v>18</v>
      </c>
      <c r="D1301" s="17" t="s">
        <v>2923</v>
      </c>
      <c r="E1301" s="17">
        <v>19</v>
      </c>
      <c r="F1301" s="19">
        <v>7599</v>
      </c>
      <c r="G1301" s="19">
        <v>41905</v>
      </c>
      <c r="H1301" s="8"/>
    </row>
    <row r="1302" spans="2:8">
      <c r="B1302" s="18">
        <v>8017</v>
      </c>
      <c r="C1302" s="17">
        <v>19</v>
      </c>
      <c r="D1302" s="17" t="s">
        <v>2924</v>
      </c>
      <c r="E1302" s="17">
        <v>20</v>
      </c>
      <c r="F1302" s="19">
        <v>9271</v>
      </c>
      <c r="G1302" s="19">
        <v>51176</v>
      </c>
      <c r="H1302" s="8"/>
    </row>
    <row r="1303" spans="2:8">
      <c r="B1303" s="18">
        <v>8017</v>
      </c>
      <c r="C1303" s="17">
        <v>20</v>
      </c>
      <c r="D1303" s="17" t="s">
        <v>2925</v>
      </c>
      <c r="E1303" s="17">
        <v>21</v>
      </c>
      <c r="F1303" s="19">
        <v>11323</v>
      </c>
      <c r="G1303" s="19">
        <v>62499</v>
      </c>
      <c r="H1303" s="8"/>
    </row>
    <row r="1304" spans="2:8">
      <c r="B1304" s="18">
        <v>8017</v>
      </c>
      <c r="C1304" s="17">
        <v>21</v>
      </c>
      <c r="D1304" s="17" t="s">
        <v>2926</v>
      </c>
      <c r="E1304" s="17">
        <v>22</v>
      </c>
      <c r="F1304" s="19">
        <v>13828</v>
      </c>
      <c r="G1304" s="19">
        <v>76327</v>
      </c>
      <c r="H1304" s="8"/>
    </row>
    <row r="1305" spans="2:8">
      <c r="B1305" s="18">
        <v>8017</v>
      </c>
      <c r="C1305" s="17">
        <v>22</v>
      </c>
      <c r="D1305" s="17" t="s">
        <v>2927</v>
      </c>
      <c r="E1305" s="17">
        <v>23</v>
      </c>
      <c r="F1305" s="19">
        <v>16874</v>
      </c>
      <c r="G1305" s="19">
        <v>93201</v>
      </c>
      <c r="H1305" s="8"/>
    </row>
    <row r="1306" spans="2:8">
      <c r="B1306" s="18">
        <v>8017</v>
      </c>
      <c r="C1306" s="17">
        <v>23</v>
      </c>
      <c r="D1306" s="17" t="s">
        <v>2928</v>
      </c>
      <c r="E1306" s="17">
        <v>24</v>
      </c>
      <c r="F1306" s="19">
        <v>20553</v>
      </c>
      <c r="G1306" s="19">
        <v>113754</v>
      </c>
      <c r="H1306" s="8"/>
    </row>
    <row r="1307" spans="2:8">
      <c r="B1307" s="18">
        <v>8017</v>
      </c>
      <c r="C1307" s="17">
        <v>24</v>
      </c>
      <c r="D1307" s="17" t="s">
        <v>2929</v>
      </c>
      <c r="E1307" s="17">
        <v>25</v>
      </c>
      <c r="F1307" s="19">
        <v>24975</v>
      </c>
      <c r="G1307" s="19">
        <v>138729</v>
      </c>
      <c r="H1307" s="8"/>
    </row>
    <row r="1308" spans="2:8">
      <c r="B1308" s="18">
        <v>8017</v>
      </c>
      <c r="C1308" s="17">
        <v>25</v>
      </c>
      <c r="D1308" s="17" t="s">
        <v>2930</v>
      </c>
      <c r="E1308" s="17">
        <v>26</v>
      </c>
      <c r="F1308" s="19">
        <v>30259</v>
      </c>
      <c r="G1308" s="19">
        <v>168988</v>
      </c>
    </row>
    <row r="1309" spans="2:8">
      <c r="B1309" s="18">
        <v>8017</v>
      </c>
      <c r="C1309" s="17">
        <v>26</v>
      </c>
      <c r="D1309" s="17" t="s">
        <v>2931</v>
      </c>
      <c r="E1309" s="17">
        <v>27</v>
      </c>
      <c r="F1309" s="19">
        <v>36537</v>
      </c>
      <c r="G1309" s="19">
        <v>205525</v>
      </c>
      <c r="H1309" s="8"/>
    </row>
    <row r="1310" spans="2:8">
      <c r="B1310" s="18">
        <v>8017</v>
      </c>
      <c r="C1310" s="17">
        <v>27</v>
      </c>
      <c r="D1310" s="17" t="s">
        <v>2932</v>
      </c>
      <c r="E1310" s="17">
        <v>28</v>
      </c>
      <c r="F1310" s="19">
        <v>43959</v>
      </c>
      <c r="G1310" s="19">
        <v>249484</v>
      </c>
      <c r="H1310" s="8"/>
    </row>
    <row r="1311" spans="2:8">
      <c r="B1311" s="18">
        <v>8017</v>
      </c>
      <c r="C1311" s="17">
        <v>28</v>
      </c>
      <c r="D1311" s="17" t="s">
        <v>2933</v>
      </c>
      <c r="E1311" s="17">
        <v>29</v>
      </c>
      <c r="F1311" s="19">
        <v>52687</v>
      </c>
      <c r="G1311" s="19">
        <v>302171</v>
      </c>
      <c r="H1311" s="8"/>
    </row>
    <row r="1312" spans="2:8">
      <c r="B1312" s="18">
        <v>8017</v>
      </c>
      <c r="C1312" s="17">
        <v>29</v>
      </c>
      <c r="D1312" s="17" t="s">
        <v>2934</v>
      </c>
      <c r="E1312" s="17">
        <v>30</v>
      </c>
      <c r="F1312" s="19">
        <v>62900</v>
      </c>
      <c r="G1312" s="19">
        <v>365071</v>
      </c>
      <c r="H1312" s="8"/>
    </row>
    <row r="1313" spans="2:8">
      <c r="B1313" s="18">
        <v>8017</v>
      </c>
      <c r="C1313" s="17">
        <v>30</v>
      </c>
      <c r="D1313" s="17" t="s">
        <v>2935</v>
      </c>
      <c r="E1313" s="17">
        <v>31</v>
      </c>
      <c r="F1313" s="19">
        <v>74794</v>
      </c>
      <c r="G1313" s="19">
        <v>439865</v>
      </c>
      <c r="H1313" s="8"/>
    </row>
    <row r="1314" spans="2:8">
      <c r="B1314" s="18">
        <v>8017</v>
      </c>
      <c r="C1314" s="17">
        <v>31</v>
      </c>
      <c r="D1314" s="17" t="s">
        <v>2936</v>
      </c>
      <c r="E1314" s="17">
        <v>32</v>
      </c>
      <c r="F1314" s="19">
        <v>88584</v>
      </c>
      <c r="G1314" s="19">
        <v>528449</v>
      </c>
      <c r="H1314" s="8"/>
    </row>
    <row r="1315" spans="2:8">
      <c r="B1315" s="18">
        <v>8017</v>
      </c>
      <c r="C1315" s="17">
        <v>32</v>
      </c>
      <c r="D1315" s="17" t="s">
        <v>2598</v>
      </c>
      <c r="E1315" s="17">
        <v>33</v>
      </c>
      <c r="F1315" s="19">
        <v>104500</v>
      </c>
      <c r="G1315" s="19">
        <v>632949</v>
      </c>
      <c r="H1315" s="8"/>
    </row>
    <row r="1316" spans="2:8">
      <c r="B1316" s="18">
        <v>8017</v>
      </c>
      <c r="C1316" s="17">
        <v>33</v>
      </c>
      <c r="D1316" s="17" t="s">
        <v>2937</v>
      </c>
      <c r="E1316" s="17">
        <v>34</v>
      </c>
      <c r="F1316" s="19">
        <v>122799</v>
      </c>
      <c r="G1316" s="19">
        <v>755748</v>
      </c>
      <c r="H1316" s="8"/>
    </row>
    <row r="1317" spans="2:8">
      <c r="B1317" s="18">
        <v>8017</v>
      </c>
      <c r="C1317" s="17">
        <v>34</v>
      </c>
      <c r="D1317" s="17" t="s">
        <v>2938</v>
      </c>
      <c r="E1317" s="17">
        <v>35</v>
      </c>
      <c r="F1317" s="19">
        <v>143752</v>
      </c>
      <c r="G1317" s="19">
        <v>899500</v>
      </c>
      <c r="H1317" s="8"/>
    </row>
    <row r="1318" spans="2:8">
      <c r="B1318" s="18">
        <v>8017</v>
      </c>
      <c r="C1318" s="17">
        <v>35</v>
      </c>
      <c r="D1318" s="17" t="s">
        <v>2939</v>
      </c>
      <c r="E1318" s="17">
        <v>36</v>
      </c>
      <c r="F1318" s="19">
        <v>167656</v>
      </c>
      <c r="G1318" s="19">
        <v>1067156</v>
      </c>
      <c r="H1318" s="8"/>
    </row>
    <row r="1319" spans="2:8">
      <c r="B1319" s="18">
        <v>8017</v>
      </c>
      <c r="C1319" s="17">
        <v>36</v>
      </c>
      <c r="D1319" s="17" t="s">
        <v>2940</v>
      </c>
      <c r="E1319" s="17">
        <v>37</v>
      </c>
      <c r="F1319" s="19">
        <v>194829</v>
      </c>
      <c r="G1319" s="19">
        <v>1261985</v>
      </c>
      <c r="H1319" s="8"/>
    </row>
    <row r="1320" spans="2:8">
      <c r="B1320" s="18">
        <v>8017</v>
      </c>
      <c r="C1320" s="17">
        <v>37</v>
      </c>
      <c r="D1320" s="17" t="s">
        <v>2941</v>
      </c>
      <c r="E1320" s="17">
        <v>38</v>
      </c>
      <c r="F1320" s="19">
        <v>225614</v>
      </c>
      <c r="G1320" s="19">
        <v>1487599</v>
      </c>
      <c r="H1320" s="8"/>
    </row>
    <row r="1321" spans="2:8">
      <c r="B1321" s="18">
        <v>8017</v>
      </c>
      <c r="C1321" s="17">
        <v>38</v>
      </c>
      <c r="D1321" s="17" t="s">
        <v>2942</v>
      </c>
      <c r="E1321" s="17">
        <v>39</v>
      </c>
      <c r="F1321" s="19">
        <v>260378</v>
      </c>
      <c r="G1321" s="19">
        <v>1747977</v>
      </c>
      <c r="H1321" s="8"/>
    </row>
    <row r="1322" spans="2:8">
      <c r="B1322" s="18">
        <v>8017</v>
      </c>
      <c r="C1322" s="17">
        <v>39</v>
      </c>
      <c r="D1322" s="17" t="s">
        <v>2943</v>
      </c>
      <c r="E1322" s="17">
        <v>40</v>
      </c>
      <c r="F1322" s="19">
        <v>299515</v>
      </c>
      <c r="G1322" s="19">
        <v>2047492</v>
      </c>
      <c r="H1322" s="8"/>
    </row>
    <row r="1323" spans="2:8">
      <c r="B1323" s="18">
        <v>8017</v>
      </c>
      <c r="C1323" s="17">
        <v>40</v>
      </c>
      <c r="D1323" s="17" t="s">
        <v>2944</v>
      </c>
      <c r="E1323" s="17">
        <v>41</v>
      </c>
      <c r="F1323" s="19">
        <v>343444</v>
      </c>
      <c r="G1323" s="19">
        <v>2390936</v>
      </c>
      <c r="H1323" s="8"/>
    </row>
    <row r="1324" spans="2:8">
      <c r="B1324" s="18">
        <v>8017</v>
      </c>
      <c r="C1324" s="17">
        <v>41</v>
      </c>
      <c r="D1324" s="17" t="s">
        <v>2945</v>
      </c>
      <c r="E1324" s="17">
        <v>42</v>
      </c>
      <c r="F1324" s="19">
        <v>392617</v>
      </c>
      <c r="G1324" s="19">
        <v>2783553</v>
      </c>
      <c r="H1324" s="8"/>
    </row>
    <row r="1325" spans="2:8">
      <c r="B1325" s="18">
        <v>8017</v>
      </c>
      <c r="C1325" s="17">
        <v>42</v>
      </c>
      <c r="D1325" s="17" t="s">
        <v>2946</v>
      </c>
      <c r="E1325" s="17">
        <v>43</v>
      </c>
      <c r="F1325" s="19">
        <v>447510</v>
      </c>
      <c r="G1325" s="19">
        <v>3231063</v>
      </c>
      <c r="H1325" s="8"/>
    </row>
    <row r="1326" spans="2:8">
      <c r="B1326" s="18">
        <v>8017</v>
      </c>
      <c r="C1326" s="17">
        <v>43</v>
      </c>
      <c r="D1326" s="17" t="s">
        <v>2947</v>
      </c>
      <c r="E1326" s="17">
        <v>44</v>
      </c>
      <c r="F1326" s="19">
        <v>508632</v>
      </c>
      <c r="G1326" s="19">
        <v>3739695</v>
      </c>
      <c r="H1326" s="8"/>
    </row>
    <row r="1327" spans="2:8">
      <c r="B1327" s="18">
        <v>8017</v>
      </c>
      <c r="C1327" s="17">
        <v>44</v>
      </c>
      <c r="D1327" s="17" t="s">
        <v>2948</v>
      </c>
      <c r="E1327" s="17">
        <v>45</v>
      </c>
      <c r="F1327" s="19">
        <v>576523</v>
      </c>
      <c r="G1327" s="19">
        <v>4316218</v>
      </c>
      <c r="H1327" s="8"/>
    </row>
    <row r="1328" spans="2:8">
      <c r="B1328" s="18">
        <v>8017</v>
      </c>
      <c r="C1328" s="17">
        <v>45</v>
      </c>
      <c r="D1328" s="17" t="s">
        <v>2949</v>
      </c>
      <c r="E1328" s="17">
        <v>46</v>
      </c>
      <c r="F1328" s="19">
        <v>651757</v>
      </c>
      <c r="G1328" s="19">
        <v>4967975</v>
      </c>
      <c r="H1328" s="8"/>
    </row>
    <row r="1329" spans="2:8">
      <c r="B1329" s="18">
        <v>8017</v>
      </c>
      <c r="C1329" s="17">
        <v>46</v>
      </c>
      <c r="D1329" s="17" t="s">
        <v>2950</v>
      </c>
      <c r="E1329" s="17">
        <v>47</v>
      </c>
      <c r="F1329" s="19">
        <v>734940</v>
      </c>
      <c r="G1329" s="19">
        <v>5702915</v>
      </c>
      <c r="H1329" s="8"/>
    </row>
    <row r="1330" spans="2:8">
      <c r="B1330" s="18">
        <v>8017</v>
      </c>
      <c r="C1330" s="17">
        <v>47</v>
      </c>
      <c r="D1330" s="17" t="s">
        <v>2951</v>
      </c>
      <c r="E1330" s="17">
        <v>48</v>
      </c>
      <c r="F1330" s="19">
        <v>826713</v>
      </c>
      <c r="G1330" s="19">
        <v>6529628</v>
      </c>
      <c r="H1330" s="8"/>
    </row>
    <row r="1331" spans="2:8">
      <c r="B1331" s="18">
        <v>8017</v>
      </c>
      <c r="C1331" s="17">
        <v>48</v>
      </c>
      <c r="D1331" s="17" t="s">
        <v>2952</v>
      </c>
      <c r="E1331" s="17">
        <v>49</v>
      </c>
      <c r="F1331" s="19">
        <v>927757</v>
      </c>
      <c r="G1331" s="19">
        <v>7457385</v>
      </c>
      <c r="H1331" s="8"/>
    </row>
    <row r="1332" spans="2:8">
      <c r="B1332" s="18">
        <v>8017</v>
      </c>
      <c r="C1332" s="17">
        <v>49</v>
      </c>
      <c r="D1332" s="17" t="s">
        <v>2953</v>
      </c>
      <c r="E1332" s="17">
        <v>50</v>
      </c>
      <c r="F1332" s="19">
        <v>1038786</v>
      </c>
      <c r="G1332" s="19">
        <v>8496171</v>
      </c>
      <c r="H1332" s="8"/>
    </row>
    <row r="1333" spans="2:8">
      <c r="B1333" s="18">
        <v>8017</v>
      </c>
      <c r="C1333" s="17">
        <v>50</v>
      </c>
      <c r="D1333" s="17" t="s">
        <v>2954</v>
      </c>
      <c r="E1333" s="17">
        <v>51</v>
      </c>
      <c r="F1333" s="19">
        <v>1160554</v>
      </c>
      <c r="G1333" s="19">
        <v>9656725</v>
      </c>
      <c r="H1333" s="8"/>
    </row>
    <row r="1334" spans="2:8">
      <c r="B1334" s="18">
        <v>8017</v>
      </c>
      <c r="C1334" s="17">
        <v>51</v>
      </c>
      <c r="D1334" s="17" t="s">
        <v>2955</v>
      </c>
      <c r="E1334" s="17">
        <v>52</v>
      </c>
      <c r="F1334" s="19">
        <v>1293856</v>
      </c>
      <c r="G1334" s="19">
        <v>10950581</v>
      </c>
      <c r="H1334" s="8"/>
    </row>
    <row r="1335" spans="2:8">
      <c r="B1335" s="18">
        <v>8017</v>
      </c>
      <c r="C1335" s="17">
        <v>52</v>
      </c>
      <c r="D1335" s="17" t="s">
        <v>2956</v>
      </c>
      <c r="E1335" s="17">
        <v>53</v>
      </c>
      <c r="F1335" s="19">
        <v>1439527</v>
      </c>
      <c r="G1335" s="19">
        <v>12390108</v>
      </c>
      <c r="H1335" s="8"/>
    </row>
    <row r="1336" spans="2:8">
      <c r="B1336" s="18">
        <v>8017</v>
      </c>
      <c r="C1336" s="17">
        <v>53</v>
      </c>
      <c r="D1336" s="17" t="s">
        <v>2957</v>
      </c>
      <c r="E1336" s="17">
        <v>54</v>
      </c>
      <c r="F1336" s="19">
        <v>1598445</v>
      </c>
      <c r="G1336" s="19">
        <v>13988553</v>
      </c>
      <c r="H1336" s="8"/>
    </row>
    <row r="1337" spans="2:8">
      <c r="B1337" s="18">
        <v>8017</v>
      </c>
      <c r="C1337" s="17">
        <v>54</v>
      </c>
      <c r="D1337" s="17" t="s">
        <v>2958</v>
      </c>
      <c r="E1337" s="17">
        <v>55</v>
      </c>
      <c r="F1337" s="19">
        <v>1771531</v>
      </c>
      <c r="G1337" s="19">
        <v>15760084</v>
      </c>
      <c r="H1337" s="8"/>
    </row>
    <row r="1338" spans="2:8">
      <c r="B1338" s="18">
        <v>8017</v>
      </c>
      <c r="C1338" s="17">
        <v>55</v>
      </c>
      <c r="D1338" s="17" t="s">
        <v>2959</v>
      </c>
      <c r="E1338" s="17">
        <v>56</v>
      </c>
      <c r="F1338" s="19">
        <v>1959752</v>
      </c>
      <c r="G1338" s="19">
        <v>17719836</v>
      </c>
      <c r="H1338" s="8"/>
    </row>
    <row r="1339" spans="2:8">
      <c r="B1339" s="18">
        <v>8017</v>
      </c>
      <c r="C1339" s="17">
        <v>56</v>
      </c>
      <c r="D1339" s="17" t="s">
        <v>2960</v>
      </c>
      <c r="E1339" s="17">
        <v>57</v>
      </c>
      <c r="F1339" s="19">
        <v>2164120</v>
      </c>
      <c r="G1339" s="19">
        <v>19883956</v>
      </c>
      <c r="H1339" s="8"/>
    </row>
    <row r="1340" spans="2:8">
      <c r="B1340" s="18">
        <v>8017</v>
      </c>
      <c r="C1340" s="17">
        <v>57</v>
      </c>
      <c r="D1340" s="17" t="s">
        <v>2961</v>
      </c>
      <c r="E1340" s="17">
        <v>58</v>
      </c>
      <c r="F1340" s="19">
        <v>2385696</v>
      </c>
      <c r="G1340" s="19">
        <v>22269652</v>
      </c>
      <c r="H1340" s="8"/>
    </row>
    <row r="1341" spans="2:8">
      <c r="B1341" s="18">
        <v>8017</v>
      </c>
      <c r="C1341" s="17">
        <v>58</v>
      </c>
      <c r="D1341" s="17" t="s">
        <v>2962</v>
      </c>
      <c r="E1341" s="17">
        <v>59</v>
      </c>
      <c r="F1341" s="19">
        <v>2625588</v>
      </c>
      <c r="G1341" s="19">
        <v>24895240</v>
      </c>
      <c r="H1341" s="8"/>
    </row>
    <row r="1342" spans="2:8">
      <c r="B1342" s="18">
        <v>8017</v>
      </c>
      <c r="C1342" s="17">
        <v>59</v>
      </c>
      <c r="D1342" s="17" t="s">
        <v>2963</v>
      </c>
      <c r="E1342" s="17">
        <v>60</v>
      </c>
      <c r="F1342" s="19">
        <v>2884954</v>
      </c>
      <c r="G1342" s="19">
        <v>27780194</v>
      </c>
      <c r="H1342" s="8"/>
    </row>
    <row r="1343" spans="2:8">
      <c r="B1343" s="18">
        <v>8017</v>
      </c>
      <c r="C1343" s="17">
        <v>60</v>
      </c>
      <c r="D1343" s="17" t="s">
        <v>2964</v>
      </c>
      <c r="E1343" s="17">
        <v>61</v>
      </c>
      <c r="F1343" s="19">
        <v>3165008</v>
      </c>
      <c r="G1343" s="19">
        <v>30945202</v>
      </c>
      <c r="H1343" s="8"/>
    </row>
    <row r="1344" spans="2:8">
      <c r="B1344" s="18">
        <v>8017</v>
      </c>
      <c r="C1344" s="17">
        <v>61</v>
      </c>
      <c r="D1344" s="17" t="s">
        <v>2965</v>
      </c>
      <c r="E1344" s="17">
        <v>62</v>
      </c>
      <c r="F1344" s="19">
        <v>3467011</v>
      </c>
      <c r="G1344" s="19">
        <v>34412213</v>
      </c>
      <c r="H1344" s="8"/>
    </row>
    <row r="1345" spans="2:8">
      <c r="B1345" s="18">
        <v>8017</v>
      </c>
      <c r="C1345" s="17">
        <v>62</v>
      </c>
      <c r="D1345" s="17" t="s">
        <v>2966</v>
      </c>
      <c r="E1345" s="17">
        <v>63</v>
      </c>
      <c r="F1345" s="19">
        <v>3792280</v>
      </c>
      <c r="G1345" s="19">
        <v>38204493</v>
      </c>
      <c r="H1345" s="8"/>
    </row>
    <row r="1346" spans="2:8">
      <c r="B1346" s="18">
        <v>8017</v>
      </c>
      <c r="C1346" s="17">
        <v>63</v>
      </c>
      <c r="D1346" s="17" t="s">
        <v>2967</v>
      </c>
      <c r="E1346" s="17">
        <v>64</v>
      </c>
      <c r="F1346" s="19">
        <v>4142191</v>
      </c>
      <c r="G1346" s="19">
        <v>42346684</v>
      </c>
      <c r="H1346" s="8"/>
    </row>
    <row r="1347" spans="2:8">
      <c r="B1347" s="18">
        <v>8017</v>
      </c>
      <c r="C1347" s="17">
        <v>64</v>
      </c>
      <c r="D1347" s="17" t="s">
        <v>2968</v>
      </c>
      <c r="E1347" s="17">
        <v>65</v>
      </c>
      <c r="F1347" s="19">
        <v>4518172</v>
      </c>
      <c r="G1347" s="19">
        <v>46864856</v>
      </c>
      <c r="H1347" s="8"/>
    </row>
    <row r="1348" spans="2:8">
      <c r="B1348" s="18">
        <v>8017</v>
      </c>
      <c r="C1348" s="17">
        <v>65</v>
      </c>
      <c r="D1348" s="17" t="s">
        <v>2969</v>
      </c>
      <c r="E1348" s="17">
        <v>66</v>
      </c>
      <c r="F1348" s="19">
        <v>4921713</v>
      </c>
      <c r="G1348" s="19">
        <v>51786569</v>
      </c>
      <c r="H1348" s="8"/>
    </row>
    <row r="1349" spans="2:8">
      <c r="B1349" s="18">
        <v>8017</v>
      </c>
      <c r="C1349" s="17">
        <v>66</v>
      </c>
      <c r="D1349" s="17" t="s">
        <v>2970</v>
      </c>
      <c r="E1349" s="17">
        <v>67</v>
      </c>
      <c r="F1349" s="19">
        <v>5354361</v>
      </c>
      <c r="G1349" s="19">
        <v>57140930</v>
      </c>
      <c r="H1349" s="8"/>
    </row>
    <row r="1350" spans="2:8">
      <c r="B1350" s="18">
        <v>8017</v>
      </c>
      <c r="C1350" s="17">
        <v>67</v>
      </c>
      <c r="D1350" s="17" t="s">
        <v>2971</v>
      </c>
      <c r="E1350" s="17">
        <v>68</v>
      </c>
      <c r="F1350" s="19">
        <v>5817727</v>
      </c>
      <c r="G1350" s="19">
        <v>62958657</v>
      </c>
      <c r="H1350" s="8"/>
    </row>
    <row r="1351" spans="2:8">
      <c r="B1351" s="18">
        <v>8017</v>
      </c>
      <c r="C1351" s="17">
        <v>68</v>
      </c>
      <c r="D1351" s="17" t="s">
        <v>2972</v>
      </c>
      <c r="E1351" s="17">
        <v>69</v>
      </c>
      <c r="F1351" s="19">
        <v>6313483</v>
      </c>
      <c r="G1351" s="19">
        <v>69272140</v>
      </c>
      <c r="H1351" s="8"/>
    </row>
    <row r="1352" spans="2:8">
      <c r="B1352" s="18">
        <v>8017</v>
      </c>
      <c r="C1352" s="17">
        <v>69</v>
      </c>
      <c r="D1352" s="17" t="s">
        <v>2973</v>
      </c>
      <c r="E1352" s="17">
        <v>70</v>
      </c>
      <c r="F1352" s="19">
        <v>6843364</v>
      </c>
      <c r="G1352" s="19">
        <v>76115504</v>
      </c>
      <c r="H1352" s="8"/>
    </row>
    <row r="1353" spans="2:8">
      <c r="B1353" s="18">
        <v>8017</v>
      </c>
      <c r="C1353" s="17">
        <v>70</v>
      </c>
      <c r="D1353" s="17" t="s">
        <v>2974</v>
      </c>
      <c r="E1353" s="17">
        <v>71</v>
      </c>
      <c r="F1353" s="19">
        <v>7409174</v>
      </c>
      <c r="G1353" s="19">
        <v>83524678</v>
      </c>
      <c r="H1353" s="8"/>
    </row>
    <row r="1354" spans="2:8">
      <c r="B1354" s="18">
        <v>8017</v>
      </c>
      <c r="C1354" s="17">
        <v>71</v>
      </c>
      <c r="D1354" s="17" t="s">
        <v>2975</v>
      </c>
      <c r="E1354" s="17">
        <v>72</v>
      </c>
      <c r="F1354" s="19">
        <v>8012780</v>
      </c>
      <c r="G1354" s="19">
        <v>91537458</v>
      </c>
      <c r="H1354" s="8"/>
    </row>
    <row r="1355" spans="2:8">
      <c r="B1355" s="18">
        <v>8017</v>
      </c>
      <c r="C1355" s="17">
        <v>72</v>
      </c>
      <c r="D1355" s="17" t="s">
        <v>2976</v>
      </c>
      <c r="E1355" s="17">
        <v>73</v>
      </c>
      <c r="F1355" s="19">
        <v>8656119</v>
      </c>
      <c r="G1355" s="19">
        <v>100193577</v>
      </c>
      <c r="H1355" s="8"/>
    </row>
    <row r="1356" spans="2:8">
      <c r="B1356" s="18">
        <v>8017</v>
      </c>
      <c r="C1356" s="17">
        <v>73</v>
      </c>
      <c r="D1356" s="17" t="s">
        <v>2977</v>
      </c>
      <c r="E1356" s="17">
        <v>74</v>
      </c>
      <c r="F1356" s="19">
        <v>9341199</v>
      </c>
      <c r="G1356" s="19">
        <v>109534776</v>
      </c>
      <c r="H1356" s="8"/>
    </row>
    <row r="1357" spans="2:8">
      <c r="B1357" s="18">
        <v>8017</v>
      </c>
      <c r="C1357" s="17">
        <v>74</v>
      </c>
      <c r="D1357" s="17" t="s">
        <v>2978</v>
      </c>
      <c r="E1357" s="17">
        <v>75</v>
      </c>
      <c r="F1357" s="19">
        <v>10070098</v>
      </c>
      <c r="G1357" s="19">
        <v>119604874</v>
      </c>
      <c r="H1357" s="8"/>
    </row>
    <row r="1358" spans="2:8">
      <c r="B1358" s="18">
        <v>8017</v>
      </c>
      <c r="C1358" s="17">
        <v>75</v>
      </c>
      <c r="D1358" s="17" t="s">
        <v>2979</v>
      </c>
      <c r="E1358" s="17">
        <v>76</v>
      </c>
      <c r="F1358" s="19">
        <v>10844968</v>
      </c>
      <c r="G1358" s="19">
        <v>130449842</v>
      </c>
      <c r="H1358" s="8"/>
    </row>
    <row r="1359" spans="2:8">
      <c r="B1359" s="18">
        <v>8017</v>
      </c>
      <c r="C1359" s="17">
        <v>76</v>
      </c>
      <c r="D1359" s="17" t="s">
        <v>2980</v>
      </c>
      <c r="E1359" s="17">
        <v>77</v>
      </c>
      <c r="F1359" s="19">
        <v>11668035</v>
      </c>
      <c r="G1359" s="19">
        <v>142117877</v>
      </c>
      <c r="H1359" s="8"/>
    </row>
    <row r="1360" spans="2:8">
      <c r="B1360" s="18">
        <v>8017</v>
      </c>
      <c r="C1360" s="17">
        <v>77</v>
      </c>
      <c r="D1360" s="17" t="s">
        <v>2981</v>
      </c>
      <c r="E1360" s="17">
        <v>78</v>
      </c>
      <c r="F1360" s="19">
        <v>12541600</v>
      </c>
      <c r="G1360" s="19">
        <v>154659477</v>
      </c>
      <c r="H1360" s="8"/>
    </row>
    <row r="1361" spans="2:8">
      <c r="B1361" s="18">
        <v>8017</v>
      </c>
      <c r="C1361" s="17">
        <v>78</v>
      </c>
      <c r="D1361" s="17" t="s">
        <v>2982</v>
      </c>
      <c r="E1361" s="17">
        <v>79</v>
      </c>
      <c r="F1361" s="19">
        <v>13468044</v>
      </c>
      <c r="G1361" s="19">
        <v>168127521</v>
      </c>
      <c r="H1361" s="8"/>
    </row>
    <row r="1362" spans="2:8">
      <c r="B1362" s="18">
        <v>8017</v>
      </c>
      <c r="C1362" s="17">
        <v>79</v>
      </c>
      <c r="D1362" s="17" t="s">
        <v>2983</v>
      </c>
      <c r="E1362" s="17">
        <v>80</v>
      </c>
      <c r="F1362" s="19">
        <v>14449824</v>
      </c>
      <c r="G1362" s="19">
        <v>182577345</v>
      </c>
      <c r="H1362" s="8"/>
    </row>
    <row r="1363" spans="2:8">
      <c r="B1363" s="18">
        <v>8017</v>
      </c>
      <c r="C1363" s="17">
        <v>80</v>
      </c>
      <c r="D1363" s="17" t="s">
        <v>2984</v>
      </c>
      <c r="E1363" s="17" t="s">
        <v>1762</v>
      </c>
      <c r="F1363" s="19">
        <v>15489478</v>
      </c>
      <c r="G1363" s="19">
        <v>198066823</v>
      </c>
      <c r="H1363" s="8"/>
    </row>
    <row r="1364" spans="2:8">
      <c r="B1364" s="18">
        <v>8018</v>
      </c>
      <c r="C1364" s="17">
        <v>1</v>
      </c>
      <c r="D1364" s="17" t="s">
        <v>2985</v>
      </c>
      <c r="E1364" s="17">
        <v>2</v>
      </c>
      <c r="F1364" s="19">
        <v>0</v>
      </c>
      <c r="G1364" s="19">
        <v>0</v>
      </c>
      <c r="H1364" s="8"/>
    </row>
    <row r="1365" spans="2:8">
      <c r="B1365" s="18">
        <v>8018</v>
      </c>
      <c r="C1365" s="17">
        <v>2</v>
      </c>
      <c r="D1365" s="17" t="s">
        <v>2986</v>
      </c>
      <c r="E1365" s="17">
        <v>3</v>
      </c>
      <c r="F1365" s="19">
        <v>132</v>
      </c>
      <c r="G1365" s="19">
        <v>132</v>
      </c>
      <c r="H1365" s="8"/>
    </row>
    <row r="1366" spans="2:8">
      <c r="B1366" s="18">
        <v>8018</v>
      </c>
      <c r="C1366" s="17">
        <v>3</v>
      </c>
      <c r="D1366" s="17" t="s">
        <v>2265</v>
      </c>
      <c r="E1366" s="17">
        <v>4</v>
      </c>
      <c r="F1366" s="19">
        <v>276</v>
      </c>
      <c r="G1366" s="19">
        <v>408</v>
      </c>
      <c r="H1366" s="8"/>
    </row>
    <row r="1367" spans="2:8">
      <c r="B1367" s="18">
        <v>8018</v>
      </c>
      <c r="C1367" s="17">
        <v>4</v>
      </c>
      <c r="D1367" s="17" t="s">
        <v>2987</v>
      </c>
      <c r="E1367" s="17">
        <v>5</v>
      </c>
      <c r="F1367" s="19">
        <v>432</v>
      </c>
      <c r="G1367" s="19">
        <v>840</v>
      </c>
      <c r="H1367" s="8"/>
    </row>
    <row r="1368" spans="2:8">
      <c r="B1368" s="18">
        <v>8018</v>
      </c>
      <c r="C1368" s="17">
        <v>5</v>
      </c>
      <c r="D1368" s="17" t="s">
        <v>2988</v>
      </c>
      <c r="E1368" s="17">
        <v>6</v>
      </c>
      <c r="F1368" s="19">
        <v>601</v>
      </c>
      <c r="G1368" s="19">
        <v>1441</v>
      </c>
      <c r="H1368" s="8"/>
    </row>
    <row r="1369" spans="2:8">
      <c r="B1369" s="18">
        <v>8018</v>
      </c>
      <c r="C1369" s="17">
        <v>6</v>
      </c>
      <c r="D1369" s="17" t="s">
        <v>2989</v>
      </c>
      <c r="E1369" s="17">
        <v>7</v>
      </c>
      <c r="F1369" s="19">
        <v>784</v>
      </c>
      <c r="G1369" s="19">
        <v>2225</v>
      </c>
      <c r="H1369" s="8"/>
    </row>
    <row r="1370" spans="2:8">
      <c r="B1370" s="18">
        <v>8018</v>
      </c>
      <c r="C1370" s="17">
        <v>7</v>
      </c>
      <c r="D1370" s="17" t="s">
        <v>2990</v>
      </c>
      <c r="E1370" s="17">
        <v>8</v>
      </c>
      <c r="F1370" s="19">
        <v>985</v>
      </c>
      <c r="G1370" s="19">
        <v>3210</v>
      </c>
      <c r="H1370" s="8"/>
    </row>
    <row r="1371" spans="2:8">
      <c r="B1371" s="18">
        <v>8018</v>
      </c>
      <c r="C1371" s="17">
        <v>8</v>
      </c>
      <c r="D1371" s="17" t="s">
        <v>2991</v>
      </c>
      <c r="E1371" s="17">
        <v>9</v>
      </c>
      <c r="F1371" s="19">
        <v>1207</v>
      </c>
      <c r="G1371" s="19">
        <v>4417</v>
      </c>
      <c r="H1371" s="8"/>
    </row>
    <row r="1372" spans="2:8">
      <c r="B1372" s="18">
        <v>8018</v>
      </c>
      <c r="C1372" s="17">
        <v>9</v>
      </c>
      <c r="D1372" s="17" t="s">
        <v>2992</v>
      </c>
      <c r="E1372" s="17">
        <v>10</v>
      </c>
      <c r="F1372" s="19">
        <v>1456</v>
      </c>
      <c r="G1372" s="19">
        <v>5873</v>
      </c>
      <c r="H1372" s="8"/>
    </row>
    <row r="1373" spans="2:8">
      <c r="B1373" s="18">
        <v>8018</v>
      </c>
      <c r="C1373" s="17">
        <v>10</v>
      </c>
      <c r="D1373" s="17" t="s">
        <v>2993</v>
      </c>
      <c r="E1373" s="17">
        <v>11</v>
      </c>
      <c r="F1373" s="19">
        <v>1743</v>
      </c>
      <c r="G1373" s="19">
        <v>7616</v>
      </c>
      <c r="H1373" s="8"/>
    </row>
    <row r="1374" spans="2:8">
      <c r="B1374" s="18">
        <v>8018</v>
      </c>
      <c r="C1374" s="17">
        <v>11</v>
      </c>
      <c r="D1374" s="17" t="s">
        <v>2994</v>
      </c>
      <c r="E1374" s="17">
        <v>12</v>
      </c>
      <c r="F1374" s="19">
        <v>2078</v>
      </c>
      <c r="G1374" s="19">
        <v>9694</v>
      </c>
      <c r="H1374" s="8"/>
    </row>
    <row r="1375" spans="2:8">
      <c r="B1375" s="18">
        <v>8018</v>
      </c>
      <c r="C1375" s="17">
        <v>12</v>
      </c>
      <c r="D1375" s="17" t="s">
        <v>2995</v>
      </c>
      <c r="E1375" s="17">
        <v>13</v>
      </c>
      <c r="F1375" s="19">
        <v>2475</v>
      </c>
      <c r="G1375" s="19">
        <v>12169</v>
      </c>
      <c r="H1375" s="8"/>
    </row>
    <row r="1376" spans="2:8">
      <c r="B1376" s="18">
        <v>8018</v>
      </c>
      <c r="C1376" s="17">
        <v>13</v>
      </c>
      <c r="D1376" s="17" t="s">
        <v>2996</v>
      </c>
      <c r="E1376" s="17">
        <v>14</v>
      </c>
      <c r="F1376" s="19">
        <v>2954</v>
      </c>
      <c r="G1376" s="19">
        <v>15123</v>
      </c>
      <c r="H1376" s="8"/>
    </row>
    <row r="1377" spans="2:8">
      <c r="B1377" s="18">
        <v>8018</v>
      </c>
      <c r="C1377" s="17">
        <v>14</v>
      </c>
      <c r="D1377" s="17" t="s">
        <v>2294</v>
      </c>
      <c r="E1377" s="17">
        <v>15</v>
      </c>
      <c r="F1377" s="19">
        <v>3538</v>
      </c>
      <c r="G1377" s="19">
        <v>18661</v>
      </c>
      <c r="H1377" s="8"/>
    </row>
    <row r="1378" spans="2:8">
      <c r="B1378" s="18">
        <v>8018</v>
      </c>
      <c r="C1378" s="17">
        <v>15</v>
      </c>
      <c r="D1378" s="17" t="s">
        <v>2997</v>
      </c>
      <c r="E1378" s="17">
        <v>16</v>
      </c>
      <c r="F1378" s="19">
        <v>4257</v>
      </c>
      <c r="G1378" s="19">
        <v>22918</v>
      </c>
      <c r="H1378" s="8"/>
    </row>
    <row r="1379" spans="2:8">
      <c r="B1379" s="18">
        <v>8018</v>
      </c>
      <c r="C1379" s="17">
        <v>16</v>
      </c>
      <c r="D1379" s="17" t="s">
        <v>2645</v>
      </c>
      <c r="E1379" s="17">
        <v>17</v>
      </c>
      <c r="F1379" s="19">
        <v>5145</v>
      </c>
      <c r="G1379" s="19">
        <v>28063</v>
      </c>
      <c r="H1379" s="8"/>
    </row>
    <row r="1380" spans="2:8">
      <c r="B1380" s="18">
        <v>8018</v>
      </c>
      <c r="C1380" s="17">
        <v>17</v>
      </c>
      <c r="D1380" s="17" t="s">
        <v>2998</v>
      </c>
      <c r="E1380" s="17">
        <v>18</v>
      </c>
      <c r="F1380" s="19">
        <v>6243</v>
      </c>
      <c r="G1380" s="19">
        <v>34306</v>
      </c>
      <c r="H1380" s="8"/>
    </row>
    <row r="1381" spans="2:8">
      <c r="B1381" s="18">
        <v>8018</v>
      </c>
      <c r="C1381" s="17">
        <v>18</v>
      </c>
      <c r="D1381" s="17" t="s">
        <v>2999</v>
      </c>
      <c r="E1381" s="17">
        <v>19</v>
      </c>
      <c r="F1381" s="19">
        <v>7599</v>
      </c>
      <c r="G1381" s="19">
        <v>41905</v>
      </c>
      <c r="H1381" s="8"/>
    </row>
    <row r="1382" spans="2:8">
      <c r="B1382" s="18">
        <v>8018</v>
      </c>
      <c r="C1382" s="17">
        <v>19</v>
      </c>
      <c r="D1382" s="17" t="s">
        <v>3000</v>
      </c>
      <c r="E1382" s="17">
        <v>20</v>
      </c>
      <c r="F1382" s="19">
        <v>9271</v>
      </c>
      <c r="G1382" s="19">
        <v>51176</v>
      </c>
      <c r="H1382" s="8"/>
    </row>
    <row r="1383" spans="2:8">
      <c r="B1383" s="18">
        <v>8018</v>
      </c>
      <c r="C1383" s="17">
        <v>20</v>
      </c>
      <c r="D1383" s="17" t="s">
        <v>3001</v>
      </c>
      <c r="E1383" s="17">
        <v>21</v>
      </c>
      <c r="F1383" s="19">
        <v>11323</v>
      </c>
      <c r="G1383" s="19">
        <v>62499</v>
      </c>
      <c r="H1383" s="8"/>
    </row>
    <row r="1384" spans="2:8">
      <c r="B1384" s="18">
        <v>8018</v>
      </c>
      <c r="C1384" s="17">
        <v>21</v>
      </c>
      <c r="D1384" s="17" t="s">
        <v>3002</v>
      </c>
      <c r="E1384" s="17">
        <v>22</v>
      </c>
      <c r="F1384" s="19">
        <v>13828</v>
      </c>
      <c r="G1384" s="19">
        <v>76327</v>
      </c>
      <c r="H1384" s="8"/>
    </row>
    <row r="1385" spans="2:8">
      <c r="B1385" s="18">
        <v>8018</v>
      </c>
      <c r="C1385" s="17">
        <v>22</v>
      </c>
      <c r="D1385" s="17" t="s">
        <v>3003</v>
      </c>
      <c r="E1385" s="17">
        <v>23</v>
      </c>
      <c r="F1385" s="19">
        <v>16874</v>
      </c>
      <c r="G1385" s="19">
        <v>93201</v>
      </c>
      <c r="H1385" s="8"/>
    </row>
    <row r="1386" spans="2:8">
      <c r="B1386" s="18">
        <v>8018</v>
      </c>
      <c r="C1386" s="17">
        <v>23</v>
      </c>
      <c r="D1386" s="17" t="s">
        <v>3004</v>
      </c>
      <c r="E1386" s="17">
        <v>24</v>
      </c>
      <c r="F1386" s="19">
        <v>20553</v>
      </c>
      <c r="G1386" s="19">
        <v>113754</v>
      </c>
      <c r="H1386" s="8"/>
    </row>
    <row r="1387" spans="2:8">
      <c r="B1387" s="18">
        <v>8018</v>
      </c>
      <c r="C1387" s="17">
        <v>24</v>
      </c>
      <c r="D1387" s="17" t="s">
        <v>3005</v>
      </c>
      <c r="E1387" s="17">
        <v>25</v>
      </c>
      <c r="F1387" s="19">
        <v>24975</v>
      </c>
      <c r="G1387" s="19">
        <v>138729</v>
      </c>
      <c r="H1387" s="8"/>
    </row>
    <row r="1388" spans="2:8">
      <c r="B1388" s="18">
        <v>8018</v>
      </c>
      <c r="C1388" s="17">
        <v>25</v>
      </c>
      <c r="D1388" s="17" t="s">
        <v>3006</v>
      </c>
      <c r="E1388" s="17">
        <v>26</v>
      </c>
      <c r="F1388" s="19">
        <v>30259</v>
      </c>
      <c r="G1388" s="19">
        <v>168988</v>
      </c>
      <c r="H1388" s="8"/>
    </row>
    <row r="1389" spans="2:8">
      <c r="B1389" s="18">
        <v>8018</v>
      </c>
      <c r="C1389" s="17">
        <v>26</v>
      </c>
      <c r="D1389" s="17" t="s">
        <v>3007</v>
      </c>
      <c r="E1389" s="17">
        <v>27</v>
      </c>
      <c r="F1389" s="19">
        <v>36537</v>
      </c>
      <c r="G1389" s="19">
        <v>205525</v>
      </c>
      <c r="H1389" s="8"/>
    </row>
    <row r="1390" spans="2:8">
      <c r="B1390" s="18">
        <v>8018</v>
      </c>
      <c r="C1390" s="17">
        <v>27</v>
      </c>
      <c r="D1390" s="17" t="s">
        <v>3008</v>
      </c>
      <c r="E1390" s="17">
        <v>28</v>
      </c>
      <c r="F1390" s="19">
        <v>43959</v>
      </c>
      <c r="G1390" s="19">
        <v>249484</v>
      </c>
      <c r="H1390" s="8"/>
    </row>
    <row r="1391" spans="2:8">
      <c r="B1391" s="18">
        <v>8018</v>
      </c>
      <c r="C1391" s="17">
        <v>28</v>
      </c>
      <c r="D1391" s="17" t="s">
        <v>3009</v>
      </c>
      <c r="E1391" s="17">
        <v>29</v>
      </c>
      <c r="F1391" s="19">
        <v>52687</v>
      </c>
      <c r="G1391" s="19">
        <v>302171</v>
      </c>
      <c r="H1391" s="8"/>
    </row>
    <row r="1392" spans="2:8">
      <c r="B1392" s="18">
        <v>8018</v>
      </c>
      <c r="C1392" s="17">
        <v>29</v>
      </c>
      <c r="D1392" s="17" t="s">
        <v>3010</v>
      </c>
      <c r="E1392" s="17">
        <v>30</v>
      </c>
      <c r="F1392" s="19">
        <v>62900</v>
      </c>
      <c r="G1392" s="19">
        <v>365071</v>
      </c>
      <c r="H1392" s="8"/>
    </row>
    <row r="1393" spans="2:8">
      <c r="B1393" s="18">
        <v>8018</v>
      </c>
      <c r="C1393" s="17">
        <v>30</v>
      </c>
      <c r="D1393" s="17" t="s">
        <v>3011</v>
      </c>
      <c r="E1393" s="17">
        <v>31</v>
      </c>
      <c r="F1393" s="19">
        <v>74794</v>
      </c>
      <c r="G1393" s="19">
        <v>439865</v>
      </c>
      <c r="H1393" s="8"/>
    </row>
    <row r="1394" spans="2:8">
      <c r="B1394" s="18">
        <v>8018</v>
      </c>
      <c r="C1394" s="17">
        <v>31</v>
      </c>
      <c r="D1394" s="17" t="s">
        <v>3012</v>
      </c>
      <c r="E1394" s="17">
        <v>32</v>
      </c>
      <c r="F1394" s="19">
        <v>88584</v>
      </c>
      <c r="G1394" s="19">
        <v>528449</v>
      </c>
      <c r="H1394" s="8"/>
    </row>
    <row r="1395" spans="2:8">
      <c r="B1395" s="18">
        <v>8018</v>
      </c>
      <c r="C1395" s="17">
        <v>32</v>
      </c>
      <c r="D1395" s="17" t="s">
        <v>2674</v>
      </c>
      <c r="E1395" s="17">
        <v>33</v>
      </c>
      <c r="F1395" s="19">
        <v>104500</v>
      </c>
      <c r="G1395" s="19">
        <v>632949</v>
      </c>
      <c r="H1395" s="8"/>
    </row>
    <row r="1396" spans="2:8">
      <c r="B1396" s="18">
        <v>8018</v>
      </c>
      <c r="C1396" s="17">
        <v>33</v>
      </c>
      <c r="D1396" s="17" t="s">
        <v>3013</v>
      </c>
      <c r="E1396" s="17">
        <v>34</v>
      </c>
      <c r="F1396" s="19">
        <v>122799</v>
      </c>
      <c r="G1396" s="19">
        <v>755748</v>
      </c>
      <c r="H1396" s="8"/>
    </row>
    <row r="1397" spans="2:8">
      <c r="B1397" s="18">
        <v>8018</v>
      </c>
      <c r="C1397" s="17">
        <v>34</v>
      </c>
      <c r="D1397" s="17" t="s">
        <v>3014</v>
      </c>
      <c r="E1397" s="17">
        <v>35</v>
      </c>
      <c r="F1397" s="19">
        <v>143752</v>
      </c>
      <c r="G1397" s="19">
        <v>899500</v>
      </c>
      <c r="H1397" s="8"/>
    </row>
    <row r="1398" spans="2:8">
      <c r="B1398" s="18">
        <v>8018</v>
      </c>
      <c r="C1398" s="17">
        <v>35</v>
      </c>
      <c r="D1398" s="17" t="s">
        <v>3015</v>
      </c>
      <c r="E1398" s="17">
        <v>36</v>
      </c>
      <c r="F1398" s="19">
        <v>167656</v>
      </c>
      <c r="G1398" s="19">
        <v>1067156</v>
      </c>
      <c r="H1398" s="8"/>
    </row>
    <row r="1399" spans="2:8">
      <c r="B1399" s="18">
        <v>8018</v>
      </c>
      <c r="C1399" s="17">
        <v>36</v>
      </c>
      <c r="D1399" s="17" t="s">
        <v>3016</v>
      </c>
      <c r="E1399" s="17">
        <v>37</v>
      </c>
      <c r="F1399" s="19">
        <v>194829</v>
      </c>
      <c r="G1399" s="19">
        <v>1261985</v>
      </c>
      <c r="H1399" s="8"/>
    </row>
    <row r="1400" spans="2:8">
      <c r="B1400" s="18">
        <v>8018</v>
      </c>
      <c r="C1400" s="17">
        <v>37</v>
      </c>
      <c r="D1400" s="17" t="s">
        <v>3017</v>
      </c>
      <c r="E1400" s="17">
        <v>38</v>
      </c>
      <c r="F1400" s="19">
        <v>225614</v>
      </c>
      <c r="G1400" s="19">
        <v>1487599</v>
      </c>
      <c r="H1400" s="8"/>
    </row>
    <row r="1401" spans="2:8">
      <c r="B1401" s="18">
        <v>8018</v>
      </c>
      <c r="C1401" s="17">
        <v>38</v>
      </c>
      <c r="D1401" s="17" t="s">
        <v>3018</v>
      </c>
      <c r="E1401" s="17">
        <v>39</v>
      </c>
      <c r="F1401" s="19">
        <v>260378</v>
      </c>
      <c r="G1401" s="19">
        <v>1747977</v>
      </c>
      <c r="H1401" s="8"/>
    </row>
    <row r="1402" spans="2:8">
      <c r="B1402" s="18">
        <v>8018</v>
      </c>
      <c r="C1402" s="17">
        <v>39</v>
      </c>
      <c r="D1402" s="17" t="s">
        <v>3019</v>
      </c>
      <c r="E1402" s="17">
        <v>40</v>
      </c>
      <c r="F1402" s="19">
        <v>299515</v>
      </c>
      <c r="G1402" s="19">
        <v>2047492</v>
      </c>
      <c r="H1402" s="8"/>
    </row>
    <row r="1403" spans="2:8">
      <c r="B1403" s="18">
        <v>8018</v>
      </c>
      <c r="C1403" s="17">
        <v>40</v>
      </c>
      <c r="D1403" s="17" t="s">
        <v>3020</v>
      </c>
      <c r="E1403" s="17">
        <v>41</v>
      </c>
      <c r="F1403" s="19">
        <v>343444</v>
      </c>
      <c r="G1403" s="19">
        <v>2390936</v>
      </c>
      <c r="H1403" s="8"/>
    </row>
    <row r="1404" spans="2:8">
      <c r="B1404" s="18">
        <v>8018</v>
      </c>
      <c r="C1404" s="17">
        <v>41</v>
      </c>
      <c r="D1404" s="17" t="s">
        <v>3021</v>
      </c>
      <c r="E1404" s="17">
        <v>42</v>
      </c>
      <c r="F1404" s="19">
        <v>392617</v>
      </c>
      <c r="G1404" s="19">
        <v>2783553</v>
      </c>
      <c r="H1404" s="8"/>
    </row>
    <row r="1405" spans="2:8">
      <c r="B1405" s="18">
        <v>8018</v>
      </c>
      <c r="C1405" s="17">
        <v>42</v>
      </c>
      <c r="D1405" s="17" t="s">
        <v>3022</v>
      </c>
      <c r="E1405" s="17">
        <v>43</v>
      </c>
      <c r="F1405" s="19">
        <v>447510</v>
      </c>
      <c r="G1405" s="19">
        <v>3231063</v>
      </c>
      <c r="H1405" s="8"/>
    </row>
    <row r="1406" spans="2:8">
      <c r="B1406" s="18">
        <v>8018</v>
      </c>
      <c r="C1406" s="17">
        <v>43</v>
      </c>
      <c r="D1406" s="17" t="s">
        <v>3023</v>
      </c>
      <c r="E1406" s="17">
        <v>44</v>
      </c>
      <c r="F1406" s="19">
        <v>508632</v>
      </c>
      <c r="G1406" s="19">
        <v>3739695</v>
      </c>
      <c r="H1406" s="8"/>
    </row>
    <row r="1407" spans="2:8">
      <c r="B1407" s="18">
        <v>8018</v>
      </c>
      <c r="C1407" s="17">
        <v>44</v>
      </c>
      <c r="D1407" s="17" t="s">
        <v>3024</v>
      </c>
      <c r="E1407" s="17">
        <v>45</v>
      </c>
      <c r="F1407" s="19">
        <v>576523</v>
      </c>
      <c r="G1407" s="19">
        <v>4316218</v>
      </c>
      <c r="H1407" s="8"/>
    </row>
    <row r="1408" spans="2:8">
      <c r="B1408" s="18">
        <v>8018</v>
      </c>
      <c r="C1408" s="17">
        <v>45</v>
      </c>
      <c r="D1408" s="17" t="s">
        <v>3025</v>
      </c>
      <c r="E1408" s="17">
        <v>46</v>
      </c>
      <c r="F1408" s="19">
        <v>651757</v>
      </c>
      <c r="G1408" s="19">
        <v>4967975</v>
      </c>
      <c r="H1408" s="8"/>
    </row>
    <row r="1409" spans="2:8">
      <c r="B1409" s="18">
        <v>8018</v>
      </c>
      <c r="C1409" s="17">
        <v>46</v>
      </c>
      <c r="D1409" s="17" t="s">
        <v>3026</v>
      </c>
      <c r="E1409" s="17">
        <v>47</v>
      </c>
      <c r="F1409" s="19">
        <v>734940</v>
      </c>
      <c r="G1409" s="19">
        <v>5702915</v>
      </c>
      <c r="H1409" s="8"/>
    </row>
    <row r="1410" spans="2:8">
      <c r="B1410" s="18">
        <v>8018</v>
      </c>
      <c r="C1410" s="17">
        <v>47</v>
      </c>
      <c r="D1410" s="17" t="s">
        <v>3027</v>
      </c>
      <c r="E1410" s="17">
        <v>48</v>
      </c>
      <c r="F1410" s="19">
        <v>826713</v>
      </c>
      <c r="G1410" s="19">
        <v>6529628</v>
      </c>
      <c r="H1410" s="8"/>
    </row>
    <row r="1411" spans="2:8">
      <c r="B1411" s="18">
        <v>8018</v>
      </c>
      <c r="C1411" s="17">
        <v>48</v>
      </c>
      <c r="D1411" s="17" t="s">
        <v>3028</v>
      </c>
      <c r="E1411" s="17">
        <v>49</v>
      </c>
      <c r="F1411" s="19">
        <v>927757</v>
      </c>
      <c r="G1411" s="19">
        <v>7457385</v>
      </c>
      <c r="H1411" s="8"/>
    </row>
    <row r="1412" spans="2:8">
      <c r="B1412" s="18">
        <v>8018</v>
      </c>
      <c r="C1412" s="17">
        <v>49</v>
      </c>
      <c r="D1412" s="17" t="s">
        <v>3029</v>
      </c>
      <c r="E1412" s="17">
        <v>50</v>
      </c>
      <c r="F1412" s="19">
        <v>1038786</v>
      </c>
      <c r="G1412" s="19">
        <v>8496171</v>
      </c>
      <c r="H1412" s="8"/>
    </row>
    <row r="1413" spans="2:8">
      <c r="B1413" s="18">
        <v>8018</v>
      </c>
      <c r="C1413" s="17">
        <v>50</v>
      </c>
      <c r="D1413" s="17" t="s">
        <v>3030</v>
      </c>
      <c r="E1413" s="17">
        <v>51</v>
      </c>
      <c r="F1413" s="19">
        <v>1160554</v>
      </c>
      <c r="G1413" s="19">
        <v>9656725</v>
      </c>
      <c r="H1413" s="8"/>
    </row>
    <row r="1414" spans="2:8">
      <c r="B1414" s="18">
        <v>8018</v>
      </c>
      <c r="C1414" s="17">
        <v>51</v>
      </c>
      <c r="D1414" s="17" t="s">
        <v>3031</v>
      </c>
      <c r="E1414" s="17">
        <v>52</v>
      </c>
      <c r="F1414" s="19">
        <v>1293856</v>
      </c>
      <c r="G1414" s="19">
        <v>10950581</v>
      </c>
      <c r="H1414" s="8"/>
    </row>
    <row r="1415" spans="2:8">
      <c r="B1415" s="18">
        <v>8018</v>
      </c>
      <c r="C1415" s="17">
        <v>52</v>
      </c>
      <c r="D1415" s="17" t="s">
        <v>3032</v>
      </c>
      <c r="E1415" s="17">
        <v>53</v>
      </c>
      <c r="F1415" s="19">
        <v>1439527</v>
      </c>
      <c r="G1415" s="19">
        <v>12390108</v>
      </c>
      <c r="H1415" s="8"/>
    </row>
    <row r="1416" spans="2:8">
      <c r="B1416" s="18">
        <v>8018</v>
      </c>
      <c r="C1416" s="17">
        <v>53</v>
      </c>
      <c r="D1416" s="17" t="s">
        <v>3033</v>
      </c>
      <c r="E1416" s="17">
        <v>54</v>
      </c>
      <c r="F1416" s="19">
        <v>1598445</v>
      </c>
      <c r="G1416" s="19">
        <v>13988553</v>
      </c>
      <c r="H1416" s="8"/>
    </row>
    <row r="1417" spans="2:8">
      <c r="B1417" s="18">
        <v>8018</v>
      </c>
      <c r="C1417" s="17">
        <v>54</v>
      </c>
      <c r="D1417" s="17" t="s">
        <v>3034</v>
      </c>
      <c r="E1417" s="17">
        <v>55</v>
      </c>
      <c r="F1417" s="19">
        <v>1771531</v>
      </c>
      <c r="G1417" s="19">
        <v>15760084</v>
      </c>
      <c r="H1417" s="8"/>
    </row>
    <row r="1418" spans="2:8">
      <c r="B1418" s="18">
        <v>8018</v>
      </c>
      <c r="C1418" s="17">
        <v>55</v>
      </c>
      <c r="D1418" s="17" t="s">
        <v>3035</v>
      </c>
      <c r="E1418" s="17">
        <v>56</v>
      </c>
      <c r="F1418" s="19">
        <v>1959752</v>
      </c>
      <c r="G1418" s="19">
        <v>17719836</v>
      </c>
      <c r="H1418" s="8"/>
    </row>
    <row r="1419" spans="2:8">
      <c r="B1419" s="18">
        <v>8018</v>
      </c>
      <c r="C1419" s="17">
        <v>56</v>
      </c>
      <c r="D1419" s="17" t="s">
        <v>3036</v>
      </c>
      <c r="E1419" s="17">
        <v>57</v>
      </c>
      <c r="F1419" s="19">
        <v>2164120</v>
      </c>
      <c r="G1419" s="19">
        <v>19883956</v>
      </c>
      <c r="H1419" s="8"/>
    </row>
    <row r="1420" spans="2:8">
      <c r="B1420" s="18">
        <v>8018</v>
      </c>
      <c r="C1420" s="17">
        <v>57</v>
      </c>
      <c r="D1420" s="17" t="s">
        <v>3037</v>
      </c>
      <c r="E1420" s="17">
        <v>58</v>
      </c>
      <c r="F1420" s="19">
        <v>2385696</v>
      </c>
      <c r="G1420" s="19">
        <v>22269652</v>
      </c>
      <c r="H1420" s="8"/>
    </row>
    <row r="1421" spans="2:8">
      <c r="B1421" s="18">
        <v>8018</v>
      </c>
      <c r="C1421" s="17">
        <v>58</v>
      </c>
      <c r="D1421" s="17" t="s">
        <v>3038</v>
      </c>
      <c r="E1421" s="17">
        <v>59</v>
      </c>
      <c r="F1421" s="19">
        <v>2625588</v>
      </c>
      <c r="G1421" s="19">
        <v>24895240</v>
      </c>
      <c r="H1421" s="8"/>
    </row>
    <row r="1422" spans="2:8">
      <c r="B1422" s="18">
        <v>8018</v>
      </c>
      <c r="C1422" s="17">
        <v>59</v>
      </c>
      <c r="D1422" s="17" t="s">
        <v>3039</v>
      </c>
      <c r="E1422" s="17">
        <v>60</v>
      </c>
      <c r="F1422" s="19">
        <v>2884954</v>
      </c>
      <c r="G1422" s="19">
        <v>27780194</v>
      </c>
      <c r="H1422" s="8"/>
    </row>
    <row r="1423" spans="2:8">
      <c r="B1423" s="18">
        <v>8018</v>
      </c>
      <c r="C1423" s="17">
        <v>60</v>
      </c>
      <c r="D1423" s="17" t="s">
        <v>3040</v>
      </c>
      <c r="E1423" s="17">
        <v>61</v>
      </c>
      <c r="F1423" s="19">
        <v>3165008</v>
      </c>
      <c r="G1423" s="19">
        <v>30945202</v>
      </c>
      <c r="H1423" s="8"/>
    </row>
    <row r="1424" spans="2:8">
      <c r="B1424" s="18">
        <v>8018</v>
      </c>
      <c r="C1424" s="17">
        <v>61</v>
      </c>
      <c r="D1424" s="17" t="s">
        <v>3041</v>
      </c>
      <c r="E1424" s="17">
        <v>62</v>
      </c>
      <c r="F1424" s="19">
        <v>3467011</v>
      </c>
      <c r="G1424" s="19">
        <v>34412213</v>
      </c>
      <c r="H1424" s="8"/>
    </row>
    <row r="1425" spans="2:8">
      <c r="B1425" s="18">
        <v>8018</v>
      </c>
      <c r="C1425" s="17">
        <v>62</v>
      </c>
      <c r="D1425" s="17" t="s">
        <v>3042</v>
      </c>
      <c r="E1425" s="17">
        <v>63</v>
      </c>
      <c r="F1425" s="19">
        <v>3792280</v>
      </c>
      <c r="G1425" s="19">
        <v>38204493</v>
      </c>
      <c r="H1425" s="8"/>
    </row>
    <row r="1426" spans="2:8">
      <c r="B1426" s="18">
        <v>8018</v>
      </c>
      <c r="C1426" s="17">
        <v>63</v>
      </c>
      <c r="D1426" s="17" t="s">
        <v>3043</v>
      </c>
      <c r="E1426" s="17">
        <v>64</v>
      </c>
      <c r="F1426" s="19">
        <v>4142191</v>
      </c>
      <c r="G1426" s="19">
        <v>42346684</v>
      </c>
      <c r="H1426" s="8"/>
    </row>
    <row r="1427" spans="2:8">
      <c r="B1427" s="18">
        <v>8018</v>
      </c>
      <c r="C1427" s="17">
        <v>64</v>
      </c>
      <c r="D1427" s="17" t="s">
        <v>3044</v>
      </c>
      <c r="E1427" s="17">
        <v>65</v>
      </c>
      <c r="F1427" s="19">
        <v>4518172</v>
      </c>
      <c r="G1427" s="19">
        <v>46864856</v>
      </c>
      <c r="H1427" s="8"/>
    </row>
    <row r="1428" spans="2:8">
      <c r="B1428" s="18">
        <v>8018</v>
      </c>
      <c r="C1428" s="17">
        <v>65</v>
      </c>
      <c r="D1428" s="17" t="s">
        <v>3045</v>
      </c>
      <c r="E1428" s="17">
        <v>66</v>
      </c>
      <c r="F1428" s="19">
        <v>4921713</v>
      </c>
      <c r="G1428" s="19">
        <v>51786569</v>
      </c>
      <c r="H1428" s="8"/>
    </row>
    <row r="1429" spans="2:8">
      <c r="B1429" s="18">
        <v>8018</v>
      </c>
      <c r="C1429" s="17">
        <v>66</v>
      </c>
      <c r="D1429" s="17" t="s">
        <v>3046</v>
      </c>
      <c r="E1429" s="17">
        <v>67</v>
      </c>
      <c r="F1429" s="19">
        <v>5354361</v>
      </c>
      <c r="G1429" s="19">
        <v>57140930</v>
      </c>
    </row>
    <row r="1430" spans="2:8">
      <c r="B1430" s="18">
        <v>8018</v>
      </c>
      <c r="C1430" s="17">
        <v>67</v>
      </c>
      <c r="D1430" s="17" t="s">
        <v>3047</v>
      </c>
      <c r="E1430" s="17">
        <v>68</v>
      </c>
      <c r="F1430" s="19">
        <v>5817727</v>
      </c>
      <c r="G1430" s="19">
        <v>62958657</v>
      </c>
      <c r="H1430" s="8"/>
    </row>
    <row r="1431" spans="2:8">
      <c r="B1431" s="18">
        <v>8018</v>
      </c>
      <c r="C1431" s="17">
        <v>68</v>
      </c>
      <c r="D1431" s="17" t="s">
        <v>3048</v>
      </c>
      <c r="E1431" s="17">
        <v>69</v>
      </c>
      <c r="F1431" s="19">
        <v>6313483</v>
      </c>
      <c r="G1431" s="19">
        <v>69272140</v>
      </c>
      <c r="H1431" s="8"/>
    </row>
    <row r="1432" spans="2:8">
      <c r="B1432" s="18">
        <v>8018</v>
      </c>
      <c r="C1432" s="17">
        <v>69</v>
      </c>
      <c r="D1432" s="17" t="s">
        <v>3049</v>
      </c>
      <c r="E1432" s="17">
        <v>70</v>
      </c>
      <c r="F1432" s="19">
        <v>6843364</v>
      </c>
      <c r="G1432" s="19">
        <v>76115504</v>
      </c>
      <c r="H1432" s="8"/>
    </row>
    <row r="1433" spans="2:8">
      <c r="B1433" s="18">
        <v>8018</v>
      </c>
      <c r="C1433" s="17">
        <v>70</v>
      </c>
      <c r="D1433" s="17" t="s">
        <v>3050</v>
      </c>
      <c r="E1433" s="17">
        <v>71</v>
      </c>
      <c r="F1433" s="19">
        <v>7409174</v>
      </c>
      <c r="G1433" s="19">
        <v>83524678</v>
      </c>
      <c r="H1433" s="8"/>
    </row>
    <row r="1434" spans="2:8">
      <c r="B1434" s="18">
        <v>8018</v>
      </c>
      <c r="C1434" s="17">
        <v>71</v>
      </c>
      <c r="D1434" s="17" t="s">
        <v>3051</v>
      </c>
      <c r="E1434" s="17">
        <v>72</v>
      </c>
      <c r="F1434" s="19">
        <v>8012780</v>
      </c>
      <c r="G1434" s="19">
        <v>91537458</v>
      </c>
      <c r="H1434" s="8"/>
    </row>
    <row r="1435" spans="2:8">
      <c r="B1435" s="18">
        <v>8018</v>
      </c>
      <c r="C1435" s="17">
        <v>72</v>
      </c>
      <c r="D1435" s="17" t="s">
        <v>3052</v>
      </c>
      <c r="E1435" s="17">
        <v>73</v>
      </c>
      <c r="F1435" s="19">
        <v>8656119</v>
      </c>
      <c r="G1435" s="19">
        <v>100193577</v>
      </c>
      <c r="H1435" s="8"/>
    </row>
    <row r="1436" spans="2:8">
      <c r="B1436" s="18">
        <v>8018</v>
      </c>
      <c r="C1436" s="17">
        <v>73</v>
      </c>
      <c r="D1436" s="17" t="s">
        <v>3053</v>
      </c>
      <c r="E1436" s="17">
        <v>74</v>
      </c>
      <c r="F1436" s="19">
        <v>9341199</v>
      </c>
      <c r="G1436" s="19">
        <v>109534776</v>
      </c>
      <c r="H1436" s="8"/>
    </row>
    <row r="1437" spans="2:8">
      <c r="B1437" s="18">
        <v>8018</v>
      </c>
      <c r="C1437" s="17">
        <v>74</v>
      </c>
      <c r="D1437" s="17" t="s">
        <v>3054</v>
      </c>
      <c r="E1437" s="17">
        <v>75</v>
      </c>
      <c r="F1437" s="19">
        <v>10070098</v>
      </c>
      <c r="G1437" s="19">
        <v>119604874</v>
      </c>
      <c r="H1437" s="8"/>
    </row>
    <row r="1438" spans="2:8">
      <c r="B1438" s="18">
        <v>8018</v>
      </c>
      <c r="C1438" s="17">
        <v>75</v>
      </c>
      <c r="D1438" s="17" t="s">
        <v>3055</v>
      </c>
      <c r="E1438" s="17">
        <v>76</v>
      </c>
      <c r="F1438" s="19">
        <v>10844968</v>
      </c>
      <c r="G1438" s="19">
        <v>130449842</v>
      </c>
      <c r="H1438" s="8"/>
    </row>
    <row r="1439" spans="2:8">
      <c r="B1439" s="18">
        <v>8018</v>
      </c>
      <c r="C1439" s="17">
        <v>76</v>
      </c>
      <c r="D1439" s="17" t="s">
        <v>3056</v>
      </c>
      <c r="E1439" s="17">
        <v>77</v>
      </c>
      <c r="F1439" s="19">
        <v>11668035</v>
      </c>
      <c r="G1439" s="19">
        <v>142117877</v>
      </c>
      <c r="H1439" s="8"/>
    </row>
    <row r="1440" spans="2:8">
      <c r="B1440" s="18">
        <v>8018</v>
      </c>
      <c r="C1440" s="17">
        <v>77</v>
      </c>
      <c r="D1440" s="17" t="s">
        <v>3057</v>
      </c>
      <c r="E1440" s="17">
        <v>78</v>
      </c>
      <c r="F1440" s="19">
        <v>12541600</v>
      </c>
      <c r="G1440" s="19">
        <v>154659477</v>
      </c>
      <c r="H1440" s="8"/>
    </row>
    <row r="1441" spans="2:8">
      <c r="B1441" s="18">
        <v>8018</v>
      </c>
      <c r="C1441" s="17">
        <v>78</v>
      </c>
      <c r="D1441" s="17" t="s">
        <v>3058</v>
      </c>
      <c r="E1441" s="17">
        <v>79</v>
      </c>
      <c r="F1441" s="19">
        <v>13468044</v>
      </c>
      <c r="G1441" s="19">
        <v>168127521</v>
      </c>
      <c r="H1441" s="8"/>
    </row>
    <row r="1442" spans="2:8">
      <c r="B1442" s="18">
        <v>8018</v>
      </c>
      <c r="C1442" s="17">
        <v>79</v>
      </c>
      <c r="D1442" s="17" t="s">
        <v>3059</v>
      </c>
      <c r="E1442" s="17">
        <v>80</v>
      </c>
      <c r="F1442" s="19">
        <v>14449824</v>
      </c>
      <c r="G1442" s="19">
        <v>182577345</v>
      </c>
      <c r="H1442" s="8"/>
    </row>
    <row r="1443" spans="2:8">
      <c r="B1443" s="18">
        <v>8018</v>
      </c>
      <c r="C1443" s="17">
        <v>80</v>
      </c>
      <c r="D1443" s="17" t="s">
        <v>3060</v>
      </c>
      <c r="E1443" s="17" t="s">
        <v>1762</v>
      </c>
      <c r="F1443" s="19">
        <v>15489478</v>
      </c>
      <c r="G1443" s="19">
        <v>198066823</v>
      </c>
      <c r="H1443" s="8"/>
    </row>
    <row r="1444" spans="2:8">
      <c r="B1444" s="18">
        <v>8019</v>
      </c>
      <c r="C1444" s="17">
        <v>1</v>
      </c>
      <c r="D1444" s="17" t="s">
        <v>3061</v>
      </c>
      <c r="E1444" s="17">
        <v>2</v>
      </c>
      <c r="F1444" s="19">
        <v>0</v>
      </c>
      <c r="G1444" s="19">
        <v>0</v>
      </c>
      <c r="H1444" s="8"/>
    </row>
    <row r="1445" spans="2:8">
      <c r="B1445" s="18">
        <v>8019</v>
      </c>
      <c r="C1445" s="17">
        <v>2</v>
      </c>
      <c r="D1445" s="17" t="s">
        <v>3062</v>
      </c>
      <c r="E1445" s="17">
        <v>3</v>
      </c>
      <c r="F1445" s="19">
        <v>132</v>
      </c>
      <c r="G1445" s="19">
        <v>132</v>
      </c>
      <c r="H1445" s="8"/>
    </row>
    <row r="1446" spans="2:8">
      <c r="B1446" s="18">
        <v>8019</v>
      </c>
      <c r="C1446" s="17">
        <v>3</v>
      </c>
      <c r="D1446" s="17" t="s">
        <v>2339</v>
      </c>
      <c r="E1446" s="17">
        <v>4</v>
      </c>
      <c r="F1446" s="19">
        <v>276</v>
      </c>
      <c r="G1446" s="19">
        <v>408</v>
      </c>
      <c r="H1446" s="8"/>
    </row>
    <row r="1447" spans="2:8">
      <c r="B1447" s="18">
        <v>8019</v>
      </c>
      <c r="C1447" s="17">
        <v>4</v>
      </c>
      <c r="D1447" s="17" t="s">
        <v>3063</v>
      </c>
      <c r="E1447" s="17">
        <v>5</v>
      </c>
      <c r="F1447" s="19">
        <v>432</v>
      </c>
      <c r="G1447" s="19">
        <v>840</v>
      </c>
      <c r="H1447" s="8"/>
    </row>
    <row r="1448" spans="2:8">
      <c r="B1448" s="18">
        <v>8019</v>
      </c>
      <c r="C1448" s="17">
        <v>5</v>
      </c>
      <c r="D1448" s="17" t="s">
        <v>3064</v>
      </c>
      <c r="E1448" s="17">
        <v>6</v>
      </c>
      <c r="F1448" s="19">
        <v>601</v>
      </c>
      <c r="G1448" s="19">
        <v>1441</v>
      </c>
      <c r="H1448" s="8"/>
    </row>
    <row r="1449" spans="2:8">
      <c r="B1449" s="18">
        <v>8019</v>
      </c>
      <c r="C1449" s="17">
        <v>6</v>
      </c>
      <c r="D1449" s="17" t="s">
        <v>3065</v>
      </c>
      <c r="E1449" s="17">
        <v>7</v>
      </c>
      <c r="F1449" s="19">
        <v>784</v>
      </c>
      <c r="G1449" s="19">
        <v>2225</v>
      </c>
      <c r="H1449" s="8"/>
    </row>
    <row r="1450" spans="2:8">
      <c r="B1450" s="18">
        <v>8019</v>
      </c>
      <c r="C1450" s="17">
        <v>7</v>
      </c>
      <c r="D1450" s="17" t="s">
        <v>3066</v>
      </c>
      <c r="E1450" s="17">
        <v>8</v>
      </c>
      <c r="F1450" s="19">
        <v>985</v>
      </c>
      <c r="G1450" s="19">
        <v>3210</v>
      </c>
      <c r="H1450" s="8"/>
    </row>
    <row r="1451" spans="2:8">
      <c r="B1451" s="18">
        <v>8019</v>
      </c>
      <c r="C1451" s="17">
        <v>8</v>
      </c>
      <c r="D1451" s="17" t="s">
        <v>3067</v>
      </c>
      <c r="E1451" s="17">
        <v>9</v>
      </c>
      <c r="F1451" s="19">
        <v>1207</v>
      </c>
      <c r="G1451" s="19">
        <v>4417</v>
      </c>
      <c r="H1451" s="8"/>
    </row>
    <row r="1452" spans="2:8">
      <c r="B1452" s="18">
        <v>8019</v>
      </c>
      <c r="C1452" s="17">
        <v>9</v>
      </c>
      <c r="D1452" s="17" t="s">
        <v>3068</v>
      </c>
      <c r="E1452" s="17">
        <v>10</v>
      </c>
      <c r="F1452" s="19">
        <v>1456</v>
      </c>
      <c r="G1452" s="19">
        <v>5873</v>
      </c>
      <c r="H1452" s="8"/>
    </row>
    <row r="1453" spans="2:8">
      <c r="B1453" s="18">
        <v>8019</v>
      </c>
      <c r="C1453" s="17">
        <v>10</v>
      </c>
      <c r="D1453" s="17" t="s">
        <v>3069</v>
      </c>
      <c r="E1453" s="17">
        <v>11</v>
      </c>
      <c r="F1453" s="19">
        <v>1743</v>
      </c>
      <c r="G1453" s="19">
        <v>7616</v>
      </c>
      <c r="H1453" s="8"/>
    </row>
    <row r="1454" spans="2:8">
      <c r="B1454" s="18">
        <v>8019</v>
      </c>
      <c r="C1454" s="17">
        <v>11</v>
      </c>
      <c r="D1454" s="17" t="s">
        <v>3070</v>
      </c>
      <c r="E1454" s="17">
        <v>12</v>
      </c>
      <c r="F1454" s="19">
        <v>2078</v>
      </c>
      <c r="G1454" s="19">
        <v>9694</v>
      </c>
      <c r="H1454" s="8"/>
    </row>
    <row r="1455" spans="2:8">
      <c r="B1455" s="18">
        <v>8019</v>
      </c>
      <c r="C1455" s="17">
        <v>12</v>
      </c>
      <c r="D1455" s="17" t="s">
        <v>3071</v>
      </c>
      <c r="E1455" s="17">
        <v>13</v>
      </c>
      <c r="F1455" s="19">
        <v>2475</v>
      </c>
      <c r="G1455" s="19">
        <v>12169</v>
      </c>
      <c r="H1455" s="8"/>
    </row>
    <row r="1456" spans="2:8">
      <c r="B1456" s="18">
        <v>8019</v>
      </c>
      <c r="C1456" s="17">
        <v>13</v>
      </c>
      <c r="D1456" s="17" t="s">
        <v>3072</v>
      </c>
      <c r="E1456" s="17">
        <v>14</v>
      </c>
      <c r="F1456" s="19">
        <v>2954</v>
      </c>
      <c r="G1456" s="19">
        <v>15123</v>
      </c>
      <c r="H1456" s="8"/>
    </row>
    <row r="1457" spans="2:8">
      <c r="B1457" s="18">
        <v>8019</v>
      </c>
      <c r="C1457" s="17">
        <v>14</v>
      </c>
      <c r="D1457" s="17" t="s">
        <v>2368</v>
      </c>
      <c r="E1457" s="17">
        <v>15</v>
      </c>
      <c r="F1457" s="19">
        <v>3538</v>
      </c>
      <c r="G1457" s="19">
        <v>18661</v>
      </c>
      <c r="H1457" s="8"/>
    </row>
    <row r="1458" spans="2:8">
      <c r="B1458" s="18">
        <v>8019</v>
      </c>
      <c r="C1458" s="17">
        <v>15</v>
      </c>
      <c r="D1458" s="17" t="s">
        <v>3073</v>
      </c>
      <c r="E1458" s="17">
        <v>16</v>
      </c>
      <c r="F1458" s="19">
        <v>4257</v>
      </c>
      <c r="G1458" s="19">
        <v>22918</v>
      </c>
      <c r="H1458" s="8"/>
    </row>
    <row r="1459" spans="2:8">
      <c r="B1459" s="18">
        <v>8019</v>
      </c>
      <c r="C1459" s="17">
        <v>16</v>
      </c>
      <c r="D1459" s="17" t="s">
        <v>2721</v>
      </c>
      <c r="E1459" s="17">
        <v>17</v>
      </c>
      <c r="F1459" s="19">
        <v>5145</v>
      </c>
      <c r="G1459" s="19">
        <v>28063</v>
      </c>
      <c r="H1459" s="8"/>
    </row>
    <row r="1460" spans="2:8">
      <c r="B1460" s="18">
        <v>8019</v>
      </c>
      <c r="C1460" s="17">
        <v>17</v>
      </c>
      <c r="D1460" s="17" t="s">
        <v>3074</v>
      </c>
      <c r="E1460" s="17">
        <v>18</v>
      </c>
      <c r="F1460" s="19">
        <v>6243</v>
      </c>
      <c r="G1460" s="19">
        <v>34306</v>
      </c>
      <c r="H1460" s="8"/>
    </row>
    <row r="1461" spans="2:8">
      <c r="B1461" s="18">
        <v>8019</v>
      </c>
      <c r="C1461" s="17">
        <v>18</v>
      </c>
      <c r="D1461" s="17" t="s">
        <v>3075</v>
      </c>
      <c r="E1461" s="17">
        <v>19</v>
      </c>
      <c r="F1461" s="19">
        <v>7599</v>
      </c>
      <c r="G1461" s="19">
        <v>41905</v>
      </c>
      <c r="H1461" s="8"/>
    </row>
    <row r="1462" spans="2:8">
      <c r="B1462" s="18">
        <v>8019</v>
      </c>
      <c r="C1462" s="17">
        <v>19</v>
      </c>
      <c r="D1462" s="17" t="s">
        <v>3076</v>
      </c>
      <c r="E1462" s="17">
        <v>20</v>
      </c>
      <c r="F1462" s="19">
        <v>9271</v>
      </c>
      <c r="G1462" s="19">
        <v>51176</v>
      </c>
      <c r="H1462" s="8"/>
    </row>
    <row r="1463" spans="2:8">
      <c r="B1463" s="18">
        <v>8019</v>
      </c>
      <c r="C1463" s="17">
        <v>20</v>
      </c>
      <c r="D1463" s="17" t="s">
        <v>3077</v>
      </c>
      <c r="E1463" s="17">
        <v>21</v>
      </c>
      <c r="F1463" s="19">
        <v>11323</v>
      </c>
      <c r="G1463" s="19">
        <v>62499</v>
      </c>
      <c r="H1463" s="8"/>
    </row>
    <row r="1464" spans="2:8">
      <c r="B1464" s="18">
        <v>8019</v>
      </c>
      <c r="C1464" s="17">
        <v>21</v>
      </c>
      <c r="D1464" s="17" t="s">
        <v>3078</v>
      </c>
      <c r="E1464" s="17">
        <v>22</v>
      </c>
      <c r="F1464" s="19">
        <v>13828</v>
      </c>
      <c r="G1464" s="19">
        <v>76327</v>
      </c>
      <c r="H1464" s="8"/>
    </row>
    <row r="1465" spans="2:8">
      <c r="B1465" s="18">
        <v>8019</v>
      </c>
      <c r="C1465" s="17">
        <v>22</v>
      </c>
      <c r="D1465" s="17" t="s">
        <v>3079</v>
      </c>
      <c r="E1465" s="17">
        <v>23</v>
      </c>
      <c r="F1465" s="19">
        <v>16874</v>
      </c>
      <c r="G1465" s="19">
        <v>93201</v>
      </c>
      <c r="H1465" s="8"/>
    </row>
    <row r="1466" spans="2:8">
      <c r="B1466" s="18">
        <v>8019</v>
      </c>
      <c r="C1466" s="17">
        <v>23</v>
      </c>
      <c r="D1466" s="17" t="s">
        <v>3080</v>
      </c>
      <c r="E1466" s="17">
        <v>24</v>
      </c>
      <c r="F1466" s="19">
        <v>20553</v>
      </c>
      <c r="G1466" s="19">
        <v>113754</v>
      </c>
      <c r="H1466" s="8"/>
    </row>
    <row r="1467" spans="2:8">
      <c r="B1467" s="18">
        <v>8019</v>
      </c>
      <c r="C1467" s="17">
        <v>24</v>
      </c>
      <c r="D1467" s="17" t="s">
        <v>3081</v>
      </c>
      <c r="E1467" s="17">
        <v>25</v>
      </c>
      <c r="F1467" s="19">
        <v>24975</v>
      </c>
      <c r="G1467" s="19">
        <v>138729</v>
      </c>
      <c r="H1467" s="8"/>
    </row>
    <row r="1468" spans="2:8">
      <c r="B1468" s="18">
        <v>8019</v>
      </c>
      <c r="C1468" s="17">
        <v>25</v>
      </c>
      <c r="D1468" s="17" t="s">
        <v>3082</v>
      </c>
      <c r="E1468" s="17">
        <v>26</v>
      </c>
      <c r="F1468" s="19">
        <v>30259</v>
      </c>
      <c r="G1468" s="19">
        <v>168988</v>
      </c>
      <c r="H1468" s="8"/>
    </row>
    <row r="1469" spans="2:8">
      <c r="B1469" s="18">
        <v>8019</v>
      </c>
      <c r="C1469" s="17">
        <v>26</v>
      </c>
      <c r="D1469" s="17" t="s">
        <v>3083</v>
      </c>
      <c r="E1469" s="17">
        <v>27</v>
      </c>
      <c r="F1469" s="19">
        <v>36537</v>
      </c>
      <c r="G1469" s="19">
        <v>205525</v>
      </c>
      <c r="H1469" s="8"/>
    </row>
    <row r="1470" spans="2:8">
      <c r="B1470" s="18">
        <v>8019</v>
      </c>
      <c r="C1470" s="17">
        <v>27</v>
      </c>
      <c r="D1470" s="17" t="s">
        <v>3084</v>
      </c>
      <c r="E1470" s="17">
        <v>28</v>
      </c>
      <c r="F1470" s="19">
        <v>43959</v>
      </c>
      <c r="G1470" s="19">
        <v>249484</v>
      </c>
      <c r="H1470" s="8"/>
    </row>
    <row r="1471" spans="2:8">
      <c r="B1471" s="18">
        <v>8019</v>
      </c>
      <c r="C1471" s="17">
        <v>28</v>
      </c>
      <c r="D1471" s="17" t="s">
        <v>3085</v>
      </c>
      <c r="E1471" s="17">
        <v>29</v>
      </c>
      <c r="F1471" s="19">
        <v>52687</v>
      </c>
      <c r="G1471" s="19">
        <v>302171</v>
      </c>
      <c r="H1471" s="8"/>
    </row>
    <row r="1472" spans="2:8">
      <c r="B1472" s="18">
        <v>8019</v>
      </c>
      <c r="C1472" s="17">
        <v>29</v>
      </c>
      <c r="D1472" s="17" t="s">
        <v>3086</v>
      </c>
      <c r="E1472" s="17">
        <v>30</v>
      </c>
      <c r="F1472" s="19">
        <v>62900</v>
      </c>
      <c r="G1472" s="19">
        <v>365071</v>
      </c>
      <c r="H1472" s="8"/>
    </row>
    <row r="1473" spans="2:8">
      <c r="B1473" s="18">
        <v>8019</v>
      </c>
      <c r="C1473" s="17">
        <v>30</v>
      </c>
      <c r="D1473" s="17" t="s">
        <v>3087</v>
      </c>
      <c r="E1473" s="17">
        <v>31</v>
      </c>
      <c r="F1473" s="19">
        <v>74794</v>
      </c>
      <c r="G1473" s="19">
        <v>439865</v>
      </c>
      <c r="H1473" s="8"/>
    </row>
    <row r="1474" spans="2:8">
      <c r="B1474" s="18">
        <v>8019</v>
      </c>
      <c r="C1474" s="17">
        <v>31</v>
      </c>
      <c r="D1474" s="17" t="s">
        <v>3088</v>
      </c>
      <c r="E1474" s="17">
        <v>32</v>
      </c>
      <c r="F1474" s="19">
        <v>88584</v>
      </c>
      <c r="G1474" s="19">
        <v>528449</v>
      </c>
      <c r="H1474" s="8"/>
    </row>
    <row r="1475" spans="2:8">
      <c r="B1475" s="18">
        <v>8019</v>
      </c>
      <c r="C1475" s="17">
        <v>32</v>
      </c>
      <c r="D1475" s="17" t="s">
        <v>2750</v>
      </c>
      <c r="E1475" s="17">
        <v>33</v>
      </c>
      <c r="F1475" s="19">
        <v>104500</v>
      </c>
      <c r="G1475" s="19">
        <v>632949</v>
      </c>
      <c r="H1475" s="8"/>
    </row>
    <row r="1476" spans="2:8">
      <c r="B1476" s="18">
        <v>8019</v>
      </c>
      <c r="C1476" s="17">
        <v>33</v>
      </c>
      <c r="D1476" s="17" t="s">
        <v>3089</v>
      </c>
      <c r="E1476" s="17">
        <v>34</v>
      </c>
      <c r="F1476" s="19">
        <v>122799</v>
      </c>
      <c r="G1476" s="19">
        <v>755748</v>
      </c>
      <c r="H1476" s="8"/>
    </row>
    <row r="1477" spans="2:8">
      <c r="B1477" s="18">
        <v>8019</v>
      </c>
      <c r="C1477" s="17">
        <v>34</v>
      </c>
      <c r="D1477" s="17" t="s">
        <v>3090</v>
      </c>
      <c r="E1477" s="17">
        <v>35</v>
      </c>
      <c r="F1477" s="19">
        <v>143752</v>
      </c>
      <c r="G1477" s="19">
        <v>899500</v>
      </c>
      <c r="H1477" s="8"/>
    </row>
    <row r="1478" spans="2:8">
      <c r="B1478" s="18">
        <v>8019</v>
      </c>
      <c r="C1478" s="17">
        <v>35</v>
      </c>
      <c r="D1478" s="17" t="s">
        <v>3091</v>
      </c>
      <c r="E1478" s="17">
        <v>36</v>
      </c>
      <c r="F1478" s="19">
        <v>167656</v>
      </c>
      <c r="G1478" s="19">
        <v>1067156</v>
      </c>
      <c r="H1478" s="8"/>
    </row>
    <row r="1479" spans="2:8">
      <c r="B1479" s="18">
        <v>8019</v>
      </c>
      <c r="C1479" s="17">
        <v>36</v>
      </c>
      <c r="D1479" s="17" t="s">
        <v>3092</v>
      </c>
      <c r="E1479" s="17">
        <v>37</v>
      </c>
      <c r="F1479" s="19">
        <v>194829</v>
      </c>
      <c r="G1479" s="19">
        <v>1261985</v>
      </c>
      <c r="H1479" s="8"/>
    </row>
    <row r="1480" spans="2:8">
      <c r="B1480" s="18">
        <v>8019</v>
      </c>
      <c r="C1480" s="17">
        <v>37</v>
      </c>
      <c r="D1480" s="17" t="s">
        <v>3093</v>
      </c>
      <c r="E1480" s="17">
        <v>38</v>
      </c>
      <c r="F1480" s="19">
        <v>225614</v>
      </c>
      <c r="G1480" s="19">
        <v>1487599</v>
      </c>
      <c r="H1480" s="8"/>
    </row>
    <row r="1481" spans="2:8">
      <c r="B1481" s="18">
        <v>8019</v>
      </c>
      <c r="C1481" s="17">
        <v>38</v>
      </c>
      <c r="D1481" s="17" t="s">
        <v>3094</v>
      </c>
      <c r="E1481" s="17">
        <v>39</v>
      </c>
      <c r="F1481" s="19">
        <v>260378</v>
      </c>
      <c r="G1481" s="19">
        <v>1747977</v>
      </c>
      <c r="H1481" s="8"/>
    </row>
    <row r="1482" spans="2:8">
      <c r="B1482" s="18">
        <v>8019</v>
      </c>
      <c r="C1482" s="17">
        <v>39</v>
      </c>
      <c r="D1482" s="17" t="s">
        <v>3095</v>
      </c>
      <c r="E1482" s="17">
        <v>40</v>
      </c>
      <c r="F1482" s="19">
        <v>299515</v>
      </c>
      <c r="G1482" s="19">
        <v>2047492</v>
      </c>
      <c r="H1482" s="8"/>
    </row>
    <row r="1483" spans="2:8">
      <c r="B1483" s="18">
        <v>8019</v>
      </c>
      <c r="C1483" s="17">
        <v>40</v>
      </c>
      <c r="D1483" s="17" t="s">
        <v>3096</v>
      </c>
      <c r="E1483" s="17">
        <v>41</v>
      </c>
      <c r="F1483" s="19">
        <v>343444</v>
      </c>
      <c r="G1483" s="19">
        <v>2390936</v>
      </c>
      <c r="H1483" s="8"/>
    </row>
    <row r="1484" spans="2:8">
      <c r="B1484" s="18">
        <v>8019</v>
      </c>
      <c r="C1484" s="17">
        <v>41</v>
      </c>
      <c r="D1484" s="17" t="s">
        <v>3097</v>
      </c>
      <c r="E1484" s="17">
        <v>42</v>
      </c>
      <c r="F1484" s="19">
        <v>392617</v>
      </c>
      <c r="G1484" s="19">
        <v>2783553</v>
      </c>
      <c r="H1484" s="8"/>
    </row>
    <row r="1485" spans="2:8">
      <c r="B1485" s="18">
        <v>8019</v>
      </c>
      <c r="C1485" s="17">
        <v>42</v>
      </c>
      <c r="D1485" s="17" t="s">
        <v>3098</v>
      </c>
      <c r="E1485" s="17">
        <v>43</v>
      </c>
      <c r="F1485" s="19">
        <v>447510</v>
      </c>
      <c r="G1485" s="19">
        <v>3231063</v>
      </c>
      <c r="H1485" s="8"/>
    </row>
    <row r="1486" spans="2:8">
      <c r="B1486" s="18">
        <v>8019</v>
      </c>
      <c r="C1486" s="17">
        <v>43</v>
      </c>
      <c r="D1486" s="17" t="s">
        <v>3099</v>
      </c>
      <c r="E1486" s="17">
        <v>44</v>
      </c>
      <c r="F1486" s="19">
        <v>508632</v>
      </c>
      <c r="G1486" s="19">
        <v>3739695</v>
      </c>
      <c r="H1486" s="8"/>
    </row>
    <row r="1487" spans="2:8">
      <c r="B1487" s="18">
        <v>8019</v>
      </c>
      <c r="C1487" s="17">
        <v>44</v>
      </c>
      <c r="D1487" s="17" t="s">
        <v>3100</v>
      </c>
      <c r="E1487" s="17">
        <v>45</v>
      </c>
      <c r="F1487" s="19">
        <v>576523</v>
      </c>
      <c r="G1487" s="19">
        <v>4316218</v>
      </c>
      <c r="H1487" s="8"/>
    </row>
    <row r="1488" spans="2:8">
      <c r="B1488" s="18">
        <v>8019</v>
      </c>
      <c r="C1488" s="17">
        <v>45</v>
      </c>
      <c r="D1488" s="17" t="s">
        <v>3101</v>
      </c>
      <c r="E1488" s="17">
        <v>46</v>
      </c>
      <c r="F1488" s="19">
        <v>651757</v>
      </c>
      <c r="G1488" s="19">
        <v>4967975</v>
      </c>
      <c r="H1488" s="8"/>
    </row>
    <row r="1489" spans="2:8">
      <c r="B1489" s="18">
        <v>8019</v>
      </c>
      <c r="C1489" s="17">
        <v>46</v>
      </c>
      <c r="D1489" s="17" t="s">
        <v>3102</v>
      </c>
      <c r="E1489" s="17">
        <v>47</v>
      </c>
      <c r="F1489" s="19">
        <v>734940</v>
      </c>
      <c r="G1489" s="19">
        <v>5702915</v>
      </c>
      <c r="H1489" s="8"/>
    </row>
    <row r="1490" spans="2:8">
      <c r="B1490" s="18">
        <v>8019</v>
      </c>
      <c r="C1490" s="17">
        <v>47</v>
      </c>
      <c r="D1490" s="17" t="s">
        <v>3103</v>
      </c>
      <c r="E1490" s="17">
        <v>48</v>
      </c>
      <c r="F1490" s="19">
        <v>826713</v>
      </c>
      <c r="G1490" s="19">
        <v>6529628</v>
      </c>
    </row>
    <row r="1491" spans="2:8">
      <c r="B1491" s="18">
        <v>8019</v>
      </c>
      <c r="C1491" s="17">
        <v>48</v>
      </c>
      <c r="D1491" s="17" t="s">
        <v>3104</v>
      </c>
      <c r="E1491" s="17">
        <v>49</v>
      </c>
      <c r="F1491" s="19">
        <v>927757</v>
      </c>
      <c r="G1491" s="19">
        <v>7457385</v>
      </c>
      <c r="H1491" s="8"/>
    </row>
    <row r="1492" spans="2:8">
      <c r="B1492" s="18">
        <v>8019</v>
      </c>
      <c r="C1492" s="17">
        <v>49</v>
      </c>
      <c r="D1492" s="17" t="s">
        <v>3105</v>
      </c>
      <c r="E1492" s="17">
        <v>50</v>
      </c>
      <c r="F1492" s="19">
        <v>1038786</v>
      </c>
      <c r="G1492" s="19">
        <v>8496171</v>
      </c>
      <c r="H1492" s="8"/>
    </row>
    <row r="1493" spans="2:8">
      <c r="B1493" s="18">
        <v>8019</v>
      </c>
      <c r="C1493" s="17">
        <v>50</v>
      </c>
      <c r="D1493" s="17" t="s">
        <v>3106</v>
      </c>
      <c r="E1493" s="17">
        <v>51</v>
      </c>
      <c r="F1493" s="19">
        <v>1160554</v>
      </c>
      <c r="G1493" s="19">
        <v>9656725</v>
      </c>
      <c r="H1493" s="8"/>
    </row>
    <row r="1494" spans="2:8">
      <c r="B1494" s="18">
        <v>8019</v>
      </c>
      <c r="C1494" s="17">
        <v>51</v>
      </c>
      <c r="D1494" s="17" t="s">
        <v>3107</v>
      </c>
      <c r="E1494" s="17">
        <v>52</v>
      </c>
      <c r="F1494" s="19">
        <v>1293856</v>
      </c>
      <c r="G1494" s="19">
        <v>10950581</v>
      </c>
      <c r="H1494" s="8"/>
    </row>
    <row r="1495" spans="2:8">
      <c r="B1495" s="18">
        <v>8019</v>
      </c>
      <c r="C1495" s="17">
        <v>52</v>
      </c>
      <c r="D1495" s="17" t="s">
        <v>3108</v>
      </c>
      <c r="E1495" s="17">
        <v>53</v>
      </c>
      <c r="F1495" s="19">
        <v>1439527</v>
      </c>
      <c r="G1495" s="19">
        <v>12390108</v>
      </c>
      <c r="H1495" s="8"/>
    </row>
    <row r="1496" spans="2:8">
      <c r="B1496" s="18">
        <v>8019</v>
      </c>
      <c r="C1496" s="17">
        <v>53</v>
      </c>
      <c r="D1496" s="17" t="s">
        <v>3109</v>
      </c>
      <c r="E1496" s="17">
        <v>54</v>
      </c>
      <c r="F1496" s="19">
        <v>1598445</v>
      </c>
      <c r="G1496" s="19">
        <v>13988553</v>
      </c>
      <c r="H1496" s="8"/>
    </row>
    <row r="1497" spans="2:8">
      <c r="B1497" s="18">
        <v>8019</v>
      </c>
      <c r="C1497" s="17">
        <v>54</v>
      </c>
      <c r="D1497" s="17" t="s">
        <v>3110</v>
      </c>
      <c r="E1497" s="17">
        <v>55</v>
      </c>
      <c r="F1497" s="19">
        <v>1771531</v>
      </c>
      <c r="G1497" s="19">
        <v>15760084</v>
      </c>
      <c r="H1497" s="8"/>
    </row>
    <row r="1498" spans="2:8">
      <c r="B1498" s="18">
        <v>8019</v>
      </c>
      <c r="C1498" s="17">
        <v>55</v>
      </c>
      <c r="D1498" s="17" t="s">
        <v>3111</v>
      </c>
      <c r="E1498" s="17">
        <v>56</v>
      </c>
      <c r="F1498" s="19">
        <v>1959752</v>
      </c>
      <c r="G1498" s="19">
        <v>17719836</v>
      </c>
      <c r="H1498" s="8"/>
    </row>
    <row r="1499" spans="2:8">
      <c r="B1499" s="18">
        <v>8019</v>
      </c>
      <c r="C1499" s="17">
        <v>56</v>
      </c>
      <c r="D1499" s="17" t="s">
        <v>3112</v>
      </c>
      <c r="E1499" s="17">
        <v>57</v>
      </c>
      <c r="F1499" s="19">
        <v>2164120</v>
      </c>
      <c r="G1499" s="19">
        <v>19883956</v>
      </c>
      <c r="H1499" s="8"/>
    </row>
    <row r="1500" spans="2:8">
      <c r="B1500" s="18">
        <v>8019</v>
      </c>
      <c r="C1500" s="17">
        <v>57</v>
      </c>
      <c r="D1500" s="17" t="s">
        <v>3113</v>
      </c>
      <c r="E1500" s="17">
        <v>58</v>
      </c>
      <c r="F1500" s="19">
        <v>2385696</v>
      </c>
      <c r="G1500" s="19">
        <v>22269652</v>
      </c>
      <c r="H1500" s="8"/>
    </row>
    <row r="1501" spans="2:8">
      <c r="B1501" s="18">
        <v>8019</v>
      </c>
      <c r="C1501" s="17">
        <v>58</v>
      </c>
      <c r="D1501" s="17" t="s">
        <v>3114</v>
      </c>
      <c r="E1501" s="17">
        <v>59</v>
      </c>
      <c r="F1501" s="19">
        <v>2625588</v>
      </c>
      <c r="G1501" s="19">
        <v>24895240</v>
      </c>
      <c r="H1501" s="8"/>
    </row>
    <row r="1502" spans="2:8">
      <c r="B1502" s="18">
        <v>8019</v>
      </c>
      <c r="C1502" s="17">
        <v>59</v>
      </c>
      <c r="D1502" s="17" t="s">
        <v>3115</v>
      </c>
      <c r="E1502" s="17">
        <v>60</v>
      </c>
      <c r="F1502" s="19">
        <v>2884954</v>
      </c>
      <c r="G1502" s="19">
        <v>27780194</v>
      </c>
      <c r="H1502" s="8"/>
    </row>
    <row r="1503" spans="2:8">
      <c r="B1503" s="18">
        <v>8019</v>
      </c>
      <c r="C1503" s="17">
        <v>60</v>
      </c>
      <c r="D1503" s="17" t="s">
        <v>3116</v>
      </c>
      <c r="E1503" s="17">
        <v>61</v>
      </c>
      <c r="F1503" s="19">
        <v>3165008</v>
      </c>
      <c r="G1503" s="19">
        <v>30945202</v>
      </c>
      <c r="H1503" s="8"/>
    </row>
    <row r="1504" spans="2:8">
      <c r="B1504" s="18">
        <v>8019</v>
      </c>
      <c r="C1504" s="17">
        <v>61</v>
      </c>
      <c r="D1504" s="17" t="s">
        <v>3117</v>
      </c>
      <c r="E1504" s="17">
        <v>62</v>
      </c>
      <c r="F1504" s="19">
        <v>3467011</v>
      </c>
      <c r="G1504" s="19">
        <v>34412213</v>
      </c>
      <c r="H1504" s="8"/>
    </row>
    <row r="1505" spans="2:8">
      <c r="B1505" s="18">
        <v>8019</v>
      </c>
      <c r="C1505" s="17">
        <v>62</v>
      </c>
      <c r="D1505" s="17" t="s">
        <v>3118</v>
      </c>
      <c r="E1505" s="17">
        <v>63</v>
      </c>
      <c r="F1505" s="19">
        <v>3792280</v>
      </c>
      <c r="G1505" s="19">
        <v>38204493</v>
      </c>
      <c r="H1505" s="8"/>
    </row>
    <row r="1506" spans="2:8">
      <c r="B1506" s="18">
        <v>8019</v>
      </c>
      <c r="C1506" s="17">
        <v>63</v>
      </c>
      <c r="D1506" s="17" t="s">
        <v>3119</v>
      </c>
      <c r="E1506" s="17">
        <v>64</v>
      </c>
      <c r="F1506" s="19">
        <v>4142191</v>
      </c>
      <c r="G1506" s="19">
        <v>42346684</v>
      </c>
      <c r="H1506" s="8"/>
    </row>
    <row r="1507" spans="2:8">
      <c r="B1507" s="18">
        <v>8019</v>
      </c>
      <c r="C1507" s="17">
        <v>64</v>
      </c>
      <c r="D1507" s="17" t="s">
        <v>3120</v>
      </c>
      <c r="E1507" s="17">
        <v>65</v>
      </c>
      <c r="F1507" s="19">
        <v>4518172</v>
      </c>
      <c r="G1507" s="19">
        <v>46864856</v>
      </c>
      <c r="H1507" s="8"/>
    </row>
    <row r="1508" spans="2:8">
      <c r="B1508" s="18">
        <v>8019</v>
      </c>
      <c r="C1508" s="17">
        <v>65</v>
      </c>
      <c r="D1508" s="17" t="s">
        <v>3121</v>
      </c>
      <c r="E1508" s="17">
        <v>66</v>
      </c>
      <c r="F1508" s="19">
        <v>4921713</v>
      </c>
      <c r="G1508" s="19">
        <v>51786569</v>
      </c>
      <c r="H1508" s="8"/>
    </row>
    <row r="1509" spans="2:8">
      <c r="B1509" s="18">
        <v>8019</v>
      </c>
      <c r="C1509" s="17">
        <v>66</v>
      </c>
      <c r="D1509" s="17" t="s">
        <v>3122</v>
      </c>
      <c r="E1509" s="17">
        <v>67</v>
      </c>
      <c r="F1509" s="19">
        <v>5354361</v>
      </c>
      <c r="G1509" s="19">
        <v>57140930</v>
      </c>
      <c r="H1509" s="8"/>
    </row>
    <row r="1510" spans="2:8">
      <c r="B1510" s="18">
        <v>8019</v>
      </c>
      <c r="C1510" s="17">
        <v>67</v>
      </c>
      <c r="D1510" s="17" t="s">
        <v>3123</v>
      </c>
      <c r="E1510" s="17">
        <v>68</v>
      </c>
      <c r="F1510" s="19">
        <v>5817727</v>
      </c>
      <c r="G1510" s="19">
        <v>62958657</v>
      </c>
      <c r="H1510" s="8"/>
    </row>
    <row r="1511" spans="2:8">
      <c r="B1511" s="18">
        <v>8019</v>
      </c>
      <c r="C1511" s="17">
        <v>68</v>
      </c>
      <c r="D1511" s="17" t="s">
        <v>3124</v>
      </c>
      <c r="E1511" s="17">
        <v>69</v>
      </c>
      <c r="F1511" s="19">
        <v>6313483</v>
      </c>
      <c r="G1511" s="19">
        <v>69272140</v>
      </c>
      <c r="H1511" s="8"/>
    </row>
    <row r="1512" spans="2:8">
      <c r="B1512" s="18">
        <v>8019</v>
      </c>
      <c r="C1512" s="17">
        <v>69</v>
      </c>
      <c r="D1512" s="17" t="s">
        <v>3125</v>
      </c>
      <c r="E1512" s="17">
        <v>70</v>
      </c>
      <c r="F1512" s="19">
        <v>6843364</v>
      </c>
      <c r="G1512" s="19">
        <v>76115504</v>
      </c>
      <c r="H1512" s="8"/>
    </row>
    <row r="1513" spans="2:8">
      <c r="B1513" s="18">
        <v>8019</v>
      </c>
      <c r="C1513" s="17">
        <v>70</v>
      </c>
      <c r="D1513" s="17" t="s">
        <v>3126</v>
      </c>
      <c r="E1513" s="17">
        <v>71</v>
      </c>
      <c r="F1513" s="19">
        <v>7409174</v>
      </c>
      <c r="G1513" s="19">
        <v>83524678</v>
      </c>
      <c r="H1513" s="8"/>
    </row>
    <row r="1514" spans="2:8">
      <c r="B1514" s="18">
        <v>8019</v>
      </c>
      <c r="C1514" s="17">
        <v>71</v>
      </c>
      <c r="D1514" s="17" t="s">
        <v>3127</v>
      </c>
      <c r="E1514" s="17">
        <v>72</v>
      </c>
      <c r="F1514" s="19">
        <v>8012780</v>
      </c>
      <c r="G1514" s="19">
        <v>91537458</v>
      </c>
      <c r="H1514" s="8"/>
    </row>
    <row r="1515" spans="2:8">
      <c r="B1515" s="18">
        <v>8019</v>
      </c>
      <c r="C1515" s="17">
        <v>72</v>
      </c>
      <c r="D1515" s="17" t="s">
        <v>3128</v>
      </c>
      <c r="E1515" s="17">
        <v>73</v>
      </c>
      <c r="F1515" s="19">
        <v>8656119</v>
      </c>
      <c r="G1515" s="19">
        <v>100193577</v>
      </c>
      <c r="H1515" s="8"/>
    </row>
    <row r="1516" spans="2:8">
      <c r="B1516" s="18">
        <v>8019</v>
      </c>
      <c r="C1516" s="17">
        <v>73</v>
      </c>
      <c r="D1516" s="17" t="s">
        <v>3129</v>
      </c>
      <c r="E1516" s="17">
        <v>74</v>
      </c>
      <c r="F1516" s="19">
        <v>9341199</v>
      </c>
      <c r="G1516" s="19">
        <v>109534776</v>
      </c>
      <c r="H1516" s="8"/>
    </row>
    <row r="1517" spans="2:8">
      <c r="B1517" s="18">
        <v>8019</v>
      </c>
      <c r="C1517" s="17">
        <v>74</v>
      </c>
      <c r="D1517" s="17" t="s">
        <v>3130</v>
      </c>
      <c r="E1517" s="17">
        <v>75</v>
      </c>
      <c r="F1517" s="19">
        <v>10070098</v>
      </c>
      <c r="G1517" s="19">
        <v>119604874</v>
      </c>
      <c r="H1517" s="8"/>
    </row>
    <row r="1518" spans="2:8">
      <c r="B1518" s="18">
        <v>8019</v>
      </c>
      <c r="C1518" s="17">
        <v>75</v>
      </c>
      <c r="D1518" s="17" t="s">
        <v>3131</v>
      </c>
      <c r="E1518" s="17">
        <v>76</v>
      </c>
      <c r="F1518" s="19">
        <v>10844968</v>
      </c>
      <c r="G1518" s="19">
        <v>130449842</v>
      </c>
      <c r="H1518" s="8"/>
    </row>
    <row r="1519" spans="2:8">
      <c r="B1519" s="18">
        <v>8019</v>
      </c>
      <c r="C1519" s="17">
        <v>76</v>
      </c>
      <c r="D1519" s="17" t="s">
        <v>3132</v>
      </c>
      <c r="E1519" s="17">
        <v>77</v>
      </c>
      <c r="F1519" s="19">
        <v>11668035</v>
      </c>
      <c r="G1519" s="19">
        <v>142117877</v>
      </c>
      <c r="H1519" s="8"/>
    </row>
    <row r="1520" spans="2:8">
      <c r="B1520" s="18">
        <v>8019</v>
      </c>
      <c r="C1520" s="17">
        <v>77</v>
      </c>
      <c r="D1520" s="17" t="s">
        <v>3133</v>
      </c>
      <c r="E1520" s="17">
        <v>78</v>
      </c>
      <c r="F1520" s="19">
        <v>12541600</v>
      </c>
      <c r="G1520" s="19">
        <v>154659477</v>
      </c>
      <c r="H1520" s="8"/>
    </row>
    <row r="1521" spans="2:8">
      <c r="B1521" s="18">
        <v>8019</v>
      </c>
      <c r="C1521" s="17">
        <v>78</v>
      </c>
      <c r="D1521" s="17" t="s">
        <v>3134</v>
      </c>
      <c r="E1521" s="17">
        <v>79</v>
      </c>
      <c r="F1521" s="19">
        <v>13468044</v>
      </c>
      <c r="G1521" s="19">
        <v>168127521</v>
      </c>
      <c r="H1521" s="8"/>
    </row>
    <row r="1522" spans="2:8">
      <c r="B1522" s="18">
        <v>8019</v>
      </c>
      <c r="C1522" s="17">
        <v>79</v>
      </c>
      <c r="D1522" s="17" t="s">
        <v>3135</v>
      </c>
      <c r="E1522" s="17">
        <v>80</v>
      </c>
      <c r="F1522" s="19">
        <v>14449824</v>
      </c>
      <c r="G1522" s="19">
        <v>182577345</v>
      </c>
      <c r="H1522" s="8"/>
    </row>
    <row r="1523" spans="2:8">
      <c r="B1523" s="18">
        <v>8019</v>
      </c>
      <c r="C1523" s="17">
        <v>80</v>
      </c>
      <c r="D1523" s="17" t="s">
        <v>3136</v>
      </c>
      <c r="E1523" s="17" t="s">
        <v>1762</v>
      </c>
      <c r="F1523" s="19">
        <v>15489478</v>
      </c>
      <c r="G1523" s="19">
        <v>198066823</v>
      </c>
      <c r="H1523" s="8"/>
    </row>
    <row r="1524" spans="2:8">
      <c r="B1524" s="18">
        <v>8020</v>
      </c>
      <c r="C1524" s="17">
        <v>1</v>
      </c>
      <c r="D1524" s="17" t="s">
        <v>3137</v>
      </c>
      <c r="E1524" s="17">
        <v>2</v>
      </c>
      <c r="F1524" s="19">
        <v>0</v>
      </c>
      <c r="G1524" s="19">
        <v>0</v>
      </c>
      <c r="H1524" s="8"/>
    </row>
    <row r="1525" spans="2:8">
      <c r="B1525" s="18">
        <v>8020</v>
      </c>
      <c r="C1525" s="17">
        <v>2</v>
      </c>
      <c r="D1525" s="17" t="s">
        <v>3138</v>
      </c>
      <c r="E1525" s="17">
        <v>3</v>
      </c>
      <c r="F1525" s="19">
        <v>132</v>
      </c>
      <c r="G1525" s="19">
        <v>132</v>
      </c>
      <c r="H1525" s="8"/>
    </row>
    <row r="1526" spans="2:8">
      <c r="B1526" s="18">
        <v>8020</v>
      </c>
      <c r="C1526" s="17">
        <v>3</v>
      </c>
      <c r="D1526" s="17" t="s">
        <v>2413</v>
      </c>
      <c r="E1526" s="17">
        <v>4</v>
      </c>
      <c r="F1526" s="19">
        <v>276</v>
      </c>
      <c r="G1526" s="19">
        <v>408</v>
      </c>
      <c r="H1526" s="8"/>
    </row>
    <row r="1527" spans="2:8">
      <c r="B1527" s="18">
        <v>8020</v>
      </c>
      <c r="C1527" s="17">
        <v>4</v>
      </c>
      <c r="D1527" s="17" t="s">
        <v>3139</v>
      </c>
      <c r="E1527" s="17">
        <v>5</v>
      </c>
      <c r="F1527" s="19">
        <v>432</v>
      </c>
      <c r="G1527" s="19">
        <v>840</v>
      </c>
      <c r="H1527" s="8"/>
    </row>
    <row r="1528" spans="2:8">
      <c r="B1528" s="18">
        <v>8020</v>
      </c>
      <c r="C1528" s="17">
        <v>5</v>
      </c>
      <c r="D1528" s="17" t="s">
        <v>3140</v>
      </c>
      <c r="E1528" s="17">
        <v>6</v>
      </c>
      <c r="F1528" s="19">
        <v>601</v>
      </c>
      <c r="G1528" s="19">
        <v>1441</v>
      </c>
      <c r="H1528" s="8"/>
    </row>
    <row r="1529" spans="2:8">
      <c r="B1529" s="18">
        <v>8020</v>
      </c>
      <c r="C1529" s="17">
        <v>6</v>
      </c>
      <c r="D1529" s="17" t="s">
        <v>3141</v>
      </c>
      <c r="E1529" s="17">
        <v>7</v>
      </c>
      <c r="F1529" s="19">
        <v>784</v>
      </c>
      <c r="G1529" s="19">
        <v>2225</v>
      </c>
      <c r="H1529" s="8"/>
    </row>
    <row r="1530" spans="2:8">
      <c r="B1530" s="18">
        <v>8020</v>
      </c>
      <c r="C1530" s="17">
        <v>7</v>
      </c>
      <c r="D1530" s="17" t="s">
        <v>3142</v>
      </c>
      <c r="E1530" s="17">
        <v>8</v>
      </c>
      <c r="F1530" s="19">
        <v>985</v>
      </c>
      <c r="G1530" s="19">
        <v>3210</v>
      </c>
      <c r="H1530" s="8"/>
    </row>
    <row r="1531" spans="2:8">
      <c r="B1531" s="18">
        <v>8020</v>
      </c>
      <c r="C1531" s="17">
        <v>8</v>
      </c>
      <c r="D1531" s="17" t="s">
        <v>3143</v>
      </c>
      <c r="E1531" s="17">
        <v>9</v>
      </c>
      <c r="F1531" s="19">
        <v>1207</v>
      </c>
      <c r="G1531" s="19">
        <v>4417</v>
      </c>
      <c r="H1531" s="8"/>
    </row>
    <row r="1532" spans="2:8">
      <c r="B1532" s="18">
        <v>8020</v>
      </c>
      <c r="C1532" s="17">
        <v>9</v>
      </c>
      <c r="D1532" s="17" t="s">
        <v>3144</v>
      </c>
      <c r="E1532" s="17">
        <v>10</v>
      </c>
      <c r="F1532" s="19">
        <v>1456</v>
      </c>
      <c r="G1532" s="19">
        <v>5873</v>
      </c>
      <c r="H1532" s="8"/>
    </row>
    <row r="1533" spans="2:8">
      <c r="B1533" s="18">
        <v>8020</v>
      </c>
      <c r="C1533" s="17">
        <v>10</v>
      </c>
      <c r="D1533" s="17" t="s">
        <v>3145</v>
      </c>
      <c r="E1533" s="17">
        <v>11</v>
      </c>
      <c r="F1533" s="19">
        <v>1743</v>
      </c>
      <c r="G1533" s="19">
        <v>7616</v>
      </c>
      <c r="H1533" s="8"/>
    </row>
    <row r="1534" spans="2:8">
      <c r="B1534" s="18">
        <v>8020</v>
      </c>
      <c r="C1534" s="17">
        <v>11</v>
      </c>
      <c r="D1534" s="17" t="s">
        <v>3146</v>
      </c>
      <c r="E1534" s="17">
        <v>12</v>
      </c>
      <c r="F1534" s="19">
        <v>2078</v>
      </c>
      <c r="G1534" s="19">
        <v>9694</v>
      </c>
      <c r="H1534" s="8"/>
    </row>
    <row r="1535" spans="2:8">
      <c r="B1535" s="18">
        <v>8020</v>
      </c>
      <c r="C1535" s="17">
        <v>12</v>
      </c>
      <c r="D1535" s="17" t="s">
        <v>3147</v>
      </c>
      <c r="E1535" s="17">
        <v>13</v>
      </c>
      <c r="F1535" s="19">
        <v>2475</v>
      </c>
      <c r="G1535" s="19">
        <v>12169</v>
      </c>
      <c r="H1535" s="8"/>
    </row>
    <row r="1536" spans="2:8">
      <c r="B1536" s="18">
        <v>8020</v>
      </c>
      <c r="C1536" s="17">
        <v>13</v>
      </c>
      <c r="D1536" s="17" t="s">
        <v>3148</v>
      </c>
      <c r="E1536" s="17">
        <v>14</v>
      </c>
      <c r="F1536" s="19">
        <v>2954</v>
      </c>
      <c r="G1536" s="19">
        <v>15123</v>
      </c>
      <c r="H1536" s="8"/>
    </row>
    <row r="1537" spans="2:8">
      <c r="B1537" s="18">
        <v>8020</v>
      </c>
      <c r="C1537" s="17">
        <v>14</v>
      </c>
      <c r="D1537" s="17" t="s">
        <v>2442</v>
      </c>
      <c r="E1537" s="17">
        <v>15</v>
      </c>
      <c r="F1537" s="19">
        <v>3538</v>
      </c>
      <c r="G1537" s="19">
        <v>18661</v>
      </c>
      <c r="H1537" s="8"/>
    </row>
    <row r="1538" spans="2:8">
      <c r="B1538" s="18">
        <v>8020</v>
      </c>
      <c r="C1538" s="17">
        <v>15</v>
      </c>
      <c r="D1538" s="17" t="s">
        <v>3149</v>
      </c>
      <c r="E1538" s="17">
        <v>16</v>
      </c>
      <c r="F1538" s="19">
        <v>4257</v>
      </c>
      <c r="G1538" s="19">
        <v>22918</v>
      </c>
      <c r="H1538" s="8"/>
    </row>
    <row r="1539" spans="2:8">
      <c r="B1539" s="18">
        <v>8020</v>
      </c>
      <c r="C1539" s="17">
        <v>16</v>
      </c>
      <c r="D1539" s="17" t="s">
        <v>2797</v>
      </c>
      <c r="E1539" s="17">
        <v>17</v>
      </c>
      <c r="F1539" s="19">
        <v>5145</v>
      </c>
      <c r="G1539" s="19">
        <v>28063</v>
      </c>
      <c r="H1539" s="8"/>
    </row>
    <row r="1540" spans="2:8">
      <c r="B1540" s="18">
        <v>8020</v>
      </c>
      <c r="C1540" s="17">
        <v>17</v>
      </c>
      <c r="D1540" s="17" t="s">
        <v>3150</v>
      </c>
      <c r="E1540" s="17">
        <v>18</v>
      </c>
      <c r="F1540" s="19">
        <v>6243</v>
      </c>
      <c r="G1540" s="19">
        <v>34306</v>
      </c>
      <c r="H1540" s="8"/>
    </row>
    <row r="1541" spans="2:8">
      <c r="B1541" s="18">
        <v>8020</v>
      </c>
      <c r="C1541" s="17">
        <v>18</v>
      </c>
      <c r="D1541" s="17" t="s">
        <v>3151</v>
      </c>
      <c r="E1541" s="17">
        <v>19</v>
      </c>
      <c r="F1541" s="19">
        <v>7599</v>
      </c>
      <c r="G1541" s="19">
        <v>41905</v>
      </c>
      <c r="H1541" s="8"/>
    </row>
    <row r="1542" spans="2:8">
      <c r="B1542" s="18">
        <v>8020</v>
      </c>
      <c r="C1542" s="17">
        <v>19</v>
      </c>
      <c r="D1542" s="17" t="s">
        <v>3152</v>
      </c>
      <c r="E1542" s="17">
        <v>20</v>
      </c>
      <c r="F1542" s="19">
        <v>9271</v>
      </c>
      <c r="G1542" s="19">
        <v>51176</v>
      </c>
      <c r="H1542" s="8"/>
    </row>
    <row r="1543" spans="2:8">
      <c r="B1543" s="18">
        <v>8020</v>
      </c>
      <c r="C1543" s="17">
        <v>20</v>
      </c>
      <c r="D1543" s="17" t="s">
        <v>3153</v>
      </c>
      <c r="E1543" s="17">
        <v>21</v>
      </c>
      <c r="F1543" s="19">
        <v>11323</v>
      </c>
      <c r="G1543" s="19">
        <v>62499</v>
      </c>
      <c r="H1543" s="8"/>
    </row>
    <row r="1544" spans="2:8">
      <c r="B1544" s="18">
        <v>8020</v>
      </c>
      <c r="C1544" s="17">
        <v>21</v>
      </c>
      <c r="D1544" s="17" t="s">
        <v>3154</v>
      </c>
      <c r="E1544" s="17">
        <v>22</v>
      </c>
      <c r="F1544" s="19">
        <v>13828</v>
      </c>
      <c r="G1544" s="19">
        <v>76327</v>
      </c>
      <c r="H1544" s="8"/>
    </row>
    <row r="1545" spans="2:8">
      <c r="B1545" s="18">
        <v>8020</v>
      </c>
      <c r="C1545" s="17">
        <v>22</v>
      </c>
      <c r="D1545" s="17" t="s">
        <v>3155</v>
      </c>
      <c r="E1545" s="17">
        <v>23</v>
      </c>
      <c r="F1545" s="19">
        <v>16874</v>
      </c>
      <c r="G1545" s="19">
        <v>93201</v>
      </c>
      <c r="H1545" s="8"/>
    </row>
    <row r="1546" spans="2:8">
      <c r="B1546" s="18">
        <v>8020</v>
      </c>
      <c r="C1546" s="17">
        <v>23</v>
      </c>
      <c r="D1546" s="17" t="s">
        <v>3156</v>
      </c>
      <c r="E1546" s="17">
        <v>24</v>
      </c>
      <c r="F1546" s="19">
        <v>20553</v>
      </c>
      <c r="G1546" s="19">
        <v>113754</v>
      </c>
      <c r="H1546" s="8"/>
    </row>
    <row r="1547" spans="2:8">
      <c r="B1547" s="18">
        <v>8020</v>
      </c>
      <c r="C1547" s="17">
        <v>24</v>
      </c>
      <c r="D1547" s="17" t="s">
        <v>3157</v>
      </c>
      <c r="E1547" s="17">
        <v>25</v>
      </c>
      <c r="F1547" s="19">
        <v>24975</v>
      </c>
      <c r="G1547" s="19">
        <v>138729</v>
      </c>
      <c r="H1547" s="8"/>
    </row>
    <row r="1548" spans="2:8">
      <c r="B1548" s="18">
        <v>8020</v>
      </c>
      <c r="C1548" s="17">
        <v>25</v>
      </c>
      <c r="D1548" s="17" t="s">
        <v>3158</v>
      </c>
      <c r="E1548" s="17">
        <v>26</v>
      </c>
      <c r="F1548" s="19">
        <v>30259</v>
      </c>
      <c r="G1548" s="19">
        <v>168988</v>
      </c>
      <c r="H1548" s="8"/>
    </row>
    <row r="1549" spans="2:8">
      <c r="B1549" s="18">
        <v>8020</v>
      </c>
      <c r="C1549" s="17">
        <v>26</v>
      </c>
      <c r="D1549" s="17" t="s">
        <v>3159</v>
      </c>
      <c r="E1549" s="17">
        <v>27</v>
      </c>
      <c r="F1549" s="19">
        <v>36537</v>
      </c>
      <c r="G1549" s="19">
        <v>205525</v>
      </c>
      <c r="H1549" s="8"/>
    </row>
    <row r="1550" spans="2:8">
      <c r="B1550" s="18">
        <v>8020</v>
      </c>
      <c r="C1550" s="17">
        <v>27</v>
      </c>
      <c r="D1550" s="17" t="s">
        <v>3160</v>
      </c>
      <c r="E1550" s="17">
        <v>28</v>
      </c>
      <c r="F1550" s="19">
        <v>43959</v>
      </c>
      <c r="G1550" s="19">
        <v>249484</v>
      </c>
      <c r="H1550" s="8"/>
    </row>
    <row r="1551" spans="2:8">
      <c r="B1551" s="18">
        <v>8020</v>
      </c>
      <c r="C1551" s="17">
        <v>28</v>
      </c>
      <c r="D1551" s="17" t="s">
        <v>3161</v>
      </c>
      <c r="E1551" s="17">
        <v>29</v>
      </c>
      <c r="F1551" s="19">
        <v>52687</v>
      </c>
      <c r="G1551" s="19">
        <v>302171</v>
      </c>
      <c r="H1551" s="8"/>
    </row>
    <row r="1552" spans="2:8">
      <c r="B1552" s="18">
        <v>8020</v>
      </c>
      <c r="C1552" s="17">
        <v>29</v>
      </c>
      <c r="D1552" s="17" t="s">
        <v>3162</v>
      </c>
      <c r="E1552" s="17">
        <v>30</v>
      </c>
      <c r="F1552" s="19">
        <v>62900</v>
      </c>
      <c r="G1552" s="19">
        <v>365071</v>
      </c>
      <c r="H1552" s="8"/>
    </row>
    <row r="1553" spans="2:8">
      <c r="B1553" s="18">
        <v>8020</v>
      </c>
      <c r="C1553" s="17">
        <v>30</v>
      </c>
      <c r="D1553" s="17" t="s">
        <v>3163</v>
      </c>
      <c r="E1553" s="17">
        <v>31</v>
      </c>
      <c r="F1553" s="19">
        <v>74794</v>
      </c>
      <c r="G1553" s="19">
        <v>439865</v>
      </c>
      <c r="H1553" s="8"/>
    </row>
    <row r="1554" spans="2:8">
      <c r="B1554" s="18">
        <v>8020</v>
      </c>
      <c r="C1554" s="17">
        <v>31</v>
      </c>
      <c r="D1554" s="17" t="s">
        <v>3164</v>
      </c>
      <c r="E1554" s="17">
        <v>32</v>
      </c>
      <c r="F1554" s="19">
        <v>88584</v>
      </c>
      <c r="G1554" s="19">
        <v>528449</v>
      </c>
      <c r="H1554" s="8"/>
    </row>
    <row r="1555" spans="2:8">
      <c r="B1555" s="18">
        <v>8020</v>
      </c>
      <c r="C1555" s="17">
        <v>32</v>
      </c>
      <c r="D1555" s="17" t="s">
        <v>2826</v>
      </c>
      <c r="E1555" s="17">
        <v>33</v>
      </c>
      <c r="F1555" s="19">
        <v>104500</v>
      </c>
      <c r="G1555" s="19">
        <v>632949</v>
      </c>
      <c r="H1555" s="8"/>
    </row>
    <row r="1556" spans="2:8">
      <c r="B1556" s="18">
        <v>8020</v>
      </c>
      <c r="C1556" s="17">
        <v>33</v>
      </c>
      <c r="D1556" s="17" t="s">
        <v>3165</v>
      </c>
      <c r="E1556" s="17">
        <v>34</v>
      </c>
      <c r="F1556" s="19">
        <v>122799</v>
      </c>
      <c r="G1556" s="19">
        <v>755748</v>
      </c>
      <c r="H1556" s="8"/>
    </row>
    <row r="1557" spans="2:8">
      <c r="B1557" s="18">
        <v>8020</v>
      </c>
      <c r="C1557" s="17">
        <v>34</v>
      </c>
      <c r="D1557" s="17" t="s">
        <v>3166</v>
      </c>
      <c r="E1557" s="17">
        <v>35</v>
      </c>
      <c r="F1557" s="19">
        <v>143752</v>
      </c>
      <c r="G1557" s="19">
        <v>899500</v>
      </c>
      <c r="H1557" s="8"/>
    </row>
    <row r="1558" spans="2:8">
      <c r="B1558" s="18">
        <v>8020</v>
      </c>
      <c r="C1558" s="17">
        <v>35</v>
      </c>
      <c r="D1558" s="17" t="s">
        <v>3167</v>
      </c>
      <c r="E1558" s="17">
        <v>36</v>
      </c>
      <c r="F1558" s="19">
        <v>167656</v>
      </c>
      <c r="G1558" s="19">
        <v>1067156</v>
      </c>
      <c r="H1558" s="8"/>
    </row>
    <row r="1559" spans="2:8">
      <c r="B1559" s="18">
        <v>8020</v>
      </c>
      <c r="C1559" s="17">
        <v>36</v>
      </c>
      <c r="D1559" s="17" t="s">
        <v>3168</v>
      </c>
      <c r="E1559" s="17">
        <v>37</v>
      </c>
      <c r="F1559" s="19">
        <v>194829</v>
      </c>
      <c r="G1559" s="19">
        <v>1261985</v>
      </c>
      <c r="H1559" s="8"/>
    </row>
    <row r="1560" spans="2:8">
      <c r="B1560" s="18">
        <v>8020</v>
      </c>
      <c r="C1560" s="17">
        <v>37</v>
      </c>
      <c r="D1560" s="17" t="s">
        <v>3169</v>
      </c>
      <c r="E1560" s="17">
        <v>38</v>
      </c>
      <c r="F1560" s="19">
        <v>225614</v>
      </c>
      <c r="G1560" s="19">
        <v>1487599</v>
      </c>
      <c r="H1560" s="8"/>
    </row>
    <row r="1561" spans="2:8">
      <c r="B1561" s="18">
        <v>8020</v>
      </c>
      <c r="C1561" s="17">
        <v>38</v>
      </c>
      <c r="D1561" s="17" t="s">
        <v>3170</v>
      </c>
      <c r="E1561" s="17">
        <v>39</v>
      </c>
      <c r="F1561" s="19">
        <v>260378</v>
      </c>
      <c r="G1561" s="19">
        <v>1747977</v>
      </c>
      <c r="H1561" s="8"/>
    </row>
    <row r="1562" spans="2:8">
      <c r="B1562" s="18">
        <v>8020</v>
      </c>
      <c r="C1562" s="17">
        <v>39</v>
      </c>
      <c r="D1562" s="17" t="s">
        <v>3171</v>
      </c>
      <c r="E1562" s="17">
        <v>40</v>
      </c>
      <c r="F1562" s="19">
        <v>299515</v>
      </c>
      <c r="G1562" s="19">
        <v>2047492</v>
      </c>
      <c r="H1562" s="8"/>
    </row>
    <row r="1563" spans="2:8">
      <c r="B1563" s="18">
        <v>8020</v>
      </c>
      <c r="C1563" s="17">
        <v>40</v>
      </c>
      <c r="D1563" s="17" t="s">
        <v>3172</v>
      </c>
      <c r="E1563" s="17">
        <v>41</v>
      </c>
      <c r="F1563" s="19">
        <v>343444</v>
      </c>
      <c r="G1563" s="19">
        <v>2390936</v>
      </c>
      <c r="H1563" s="8"/>
    </row>
    <row r="1564" spans="2:8">
      <c r="B1564" s="18">
        <v>8020</v>
      </c>
      <c r="C1564" s="17">
        <v>41</v>
      </c>
      <c r="D1564" s="17" t="s">
        <v>3173</v>
      </c>
      <c r="E1564" s="17">
        <v>42</v>
      </c>
      <c r="F1564" s="19">
        <v>392617</v>
      </c>
      <c r="G1564" s="19">
        <v>2783553</v>
      </c>
      <c r="H1564" s="8"/>
    </row>
    <row r="1565" spans="2:8">
      <c r="B1565" s="18">
        <v>8020</v>
      </c>
      <c r="C1565" s="17">
        <v>42</v>
      </c>
      <c r="D1565" s="17" t="s">
        <v>3174</v>
      </c>
      <c r="E1565" s="17">
        <v>43</v>
      </c>
      <c r="F1565" s="19">
        <v>447510</v>
      </c>
      <c r="G1565" s="19">
        <v>3231063</v>
      </c>
      <c r="H1565" s="8"/>
    </row>
    <row r="1566" spans="2:8">
      <c r="B1566" s="18">
        <v>8020</v>
      </c>
      <c r="C1566" s="17">
        <v>43</v>
      </c>
      <c r="D1566" s="17" t="s">
        <v>3175</v>
      </c>
      <c r="E1566" s="17">
        <v>44</v>
      </c>
      <c r="F1566" s="19">
        <v>508632</v>
      </c>
      <c r="G1566" s="19">
        <v>3739695</v>
      </c>
      <c r="H1566" s="8"/>
    </row>
    <row r="1567" spans="2:8">
      <c r="B1567" s="18">
        <v>8020</v>
      </c>
      <c r="C1567" s="17">
        <v>44</v>
      </c>
      <c r="D1567" s="17" t="s">
        <v>3176</v>
      </c>
      <c r="E1567" s="17">
        <v>45</v>
      </c>
      <c r="F1567" s="19">
        <v>576523</v>
      </c>
      <c r="G1567" s="19">
        <v>4316218</v>
      </c>
      <c r="H1567" s="8"/>
    </row>
    <row r="1568" spans="2:8">
      <c r="B1568" s="18">
        <v>8020</v>
      </c>
      <c r="C1568" s="17">
        <v>45</v>
      </c>
      <c r="D1568" s="17" t="s">
        <v>3177</v>
      </c>
      <c r="E1568" s="17">
        <v>46</v>
      </c>
      <c r="F1568" s="19">
        <v>651757</v>
      </c>
      <c r="G1568" s="19">
        <v>4967975</v>
      </c>
      <c r="H1568" s="8"/>
    </row>
    <row r="1569" spans="2:8">
      <c r="B1569" s="18">
        <v>8020</v>
      </c>
      <c r="C1569" s="17">
        <v>46</v>
      </c>
      <c r="D1569" s="17" t="s">
        <v>3178</v>
      </c>
      <c r="E1569" s="17">
        <v>47</v>
      </c>
      <c r="F1569" s="19">
        <v>734940</v>
      </c>
      <c r="G1569" s="19">
        <v>5702915</v>
      </c>
      <c r="H1569" s="8"/>
    </row>
    <row r="1570" spans="2:8">
      <c r="B1570" s="18">
        <v>8020</v>
      </c>
      <c r="C1570" s="17">
        <v>47</v>
      </c>
      <c r="D1570" s="17" t="s">
        <v>3179</v>
      </c>
      <c r="E1570" s="17">
        <v>48</v>
      </c>
      <c r="F1570" s="19">
        <v>826713</v>
      </c>
      <c r="G1570" s="19">
        <v>6529628</v>
      </c>
      <c r="H1570" s="8"/>
    </row>
    <row r="1571" spans="2:8">
      <c r="B1571" s="18">
        <v>8020</v>
      </c>
      <c r="C1571" s="17">
        <v>48</v>
      </c>
      <c r="D1571" s="17" t="s">
        <v>3180</v>
      </c>
      <c r="E1571" s="17">
        <v>49</v>
      </c>
      <c r="F1571" s="19">
        <v>927757</v>
      </c>
      <c r="G1571" s="19">
        <v>7457385</v>
      </c>
    </row>
    <row r="1572" spans="2:8">
      <c r="B1572" s="18">
        <v>8020</v>
      </c>
      <c r="C1572" s="17">
        <v>49</v>
      </c>
      <c r="D1572" s="17" t="s">
        <v>3181</v>
      </c>
      <c r="E1572" s="17">
        <v>50</v>
      </c>
      <c r="F1572" s="19">
        <v>1038786</v>
      </c>
      <c r="G1572" s="19">
        <v>8496171</v>
      </c>
      <c r="H1572" s="8"/>
    </row>
    <row r="1573" spans="2:8">
      <c r="B1573" s="18">
        <v>8020</v>
      </c>
      <c r="C1573" s="17">
        <v>50</v>
      </c>
      <c r="D1573" s="17" t="s">
        <v>3182</v>
      </c>
      <c r="E1573" s="17">
        <v>51</v>
      </c>
      <c r="F1573" s="19">
        <v>1160554</v>
      </c>
      <c r="G1573" s="19">
        <v>9656725</v>
      </c>
      <c r="H1573" s="8"/>
    </row>
    <row r="1574" spans="2:8">
      <c r="B1574" s="18">
        <v>8020</v>
      </c>
      <c r="C1574" s="17">
        <v>51</v>
      </c>
      <c r="D1574" s="17" t="s">
        <v>3183</v>
      </c>
      <c r="E1574" s="17">
        <v>52</v>
      </c>
      <c r="F1574" s="19">
        <v>1293856</v>
      </c>
      <c r="G1574" s="19">
        <v>10950581</v>
      </c>
      <c r="H1574" s="8"/>
    </row>
    <row r="1575" spans="2:8">
      <c r="B1575" s="18">
        <v>8020</v>
      </c>
      <c r="C1575" s="17">
        <v>52</v>
      </c>
      <c r="D1575" s="17" t="s">
        <v>3184</v>
      </c>
      <c r="E1575" s="17">
        <v>53</v>
      </c>
      <c r="F1575" s="19">
        <v>1439527</v>
      </c>
      <c r="G1575" s="19">
        <v>12390108</v>
      </c>
      <c r="H1575" s="8"/>
    </row>
    <row r="1576" spans="2:8">
      <c r="B1576" s="18">
        <v>8020</v>
      </c>
      <c r="C1576" s="17">
        <v>53</v>
      </c>
      <c r="D1576" s="17" t="s">
        <v>3185</v>
      </c>
      <c r="E1576" s="17">
        <v>54</v>
      </c>
      <c r="F1576" s="19">
        <v>1598445</v>
      </c>
      <c r="G1576" s="19">
        <v>13988553</v>
      </c>
      <c r="H1576" s="8"/>
    </row>
    <row r="1577" spans="2:8">
      <c r="B1577" s="18">
        <v>8020</v>
      </c>
      <c r="C1577" s="17">
        <v>54</v>
      </c>
      <c r="D1577" s="17" t="s">
        <v>3186</v>
      </c>
      <c r="E1577" s="17">
        <v>55</v>
      </c>
      <c r="F1577" s="19">
        <v>1771531</v>
      </c>
      <c r="G1577" s="19">
        <v>15760084</v>
      </c>
      <c r="H1577" s="8"/>
    </row>
    <row r="1578" spans="2:8">
      <c r="B1578" s="18">
        <v>8020</v>
      </c>
      <c r="C1578" s="17">
        <v>55</v>
      </c>
      <c r="D1578" s="17" t="s">
        <v>3187</v>
      </c>
      <c r="E1578" s="17">
        <v>56</v>
      </c>
      <c r="F1578" s="19">
        <v>1959752</v>
      </c>
      <c r="G1578" s="19">
        <v>17719836</v>
      </c>
      <c r="H1578" s="8"/>
    </row>
    <row r="1579" spans="2:8">
      <c r="B1579" s="18">
        <v>8020</v>
      </c>
      <c r="C1579" s="17">
        <v>56</v>
      </c>
      <c r="D1579" s="17" t="s">
        <v>3188</v>
      </c>
      <c r="E1579" s="17">
        <v>57</v>
      </c>
      <c r="F1579" s="19">
        <v>2164120</v>
      </c>
      <c r="G1579" s="19">
        <v>19883956</v>
      </c>
      <c r="H1579" s="8"/>
    </row>
    <row r="1580" spans="2:8">
      <c r="B1580" s="18">
        <v>8020</v>
      </c>
      <c r="C1580" s="17">
        <v>57</v>
      </c>
      <c r="D1580" s="17" t="s">
        <v>3189</v>
      </c>
      <c r="E1580" s="17">
        <v>58</v>
      </c>
      <c r="F1580" s="19">
        <v>2385696</v>
      </c>
      <c r="G1580" s="19">
        <v>22269652</v>
      </c>
      <c r="H1580" s="8"/>
    </row>
    <row r="1581" spans="2:8">
      <c r="B1581" s="18">
        <v>8020</v>
      </c>
      <c r="C1581" s="17">
        <v>58</v>
      </c>
      <c r="D1581" s="17" t="s">
        <v>3190</v>
      </c>
      <c r="E1581" s="17">
        <v>59</v>
      </c>
      <c r="F1581" s="19">
        <v>2625588</v>
      </c>
      <c r="G1581" s="19">
        <v>24895240</v>
      </c>
      <c r="H1581" s="8"/>
    </row>
    <row r="1582" spans="2:8">
      <c r="B1582" s="18">
        <v>8020</v>
      </c>
      <c r="C1582" s="17">
        <v>59</v>
      </c>
      <c r="D1582" s="17" t="s">
        <v>3191</v>
      </c>
      <c r="E1582" s="17">
        <v>60</v>
      </c>
      <c r="F1582" s="19">
        <v>2884954</v>
      </c>
      <c r="G1582" s="19">
        <v>27780194</v>
      </c>
      <c r="H1582" s="8"/>
    </row>
    <row r="1583" spans="2:8">
      <c r="B1583" s="18">
        <v>8020</v>
      </c>
      <c r="C1583" s="17">
        <v>60</v>
      </c>
      <c r="D1583" s="17" t="s">
        <v>3192</v>
      </c>
      <c r="E1583" s="17">
        <v>61</v>
      </c>
      <c r="F1583" s="19">
        <v>3165008</v>
      </c>
      <c r="G1583" s="19">
        <v>30945202</v>
      </c>
      <c r="H1583" s="8"/>
    </row>
    <row r="1584" spans="2:8">
      <c r="B1584" s="18">
        <v>8020</v>
      </c>
      <c r="C1584" s="17">
        <v>61</v>
      </c>
      <c r="D1584" s="17" t="s">
        <v>3193</v>
      </c>
      <c r="E1584" s="17">
        <v>62</v>
      </c>
      <c r="F1584" s="19">
        <v>3467011</v>
      </c>
      <c r="G1584" s="19">
        <v>34412213</v>
      </c>
      <c r="H1584" s="8"/>
    </row>
    <row r="1585" spans="2:8">
      <c r="B1585" s="18">
        <v>8020</v>
      </c>
      <c r="C1585" s="17">
        <v>62</v>
      </c>
      <c r="D1585" s="17" t="s">
        <v>3194</v>
      </c>
      <c r="E1585" s="17">
        <v>63</v>
      </c>
      <c r="F1585" s="19">
        <v>3792280</v>
      </c>
      <c r="G1585" s="19">
        <v>38204493</v>
      </c>
      <c r="H1585" s="8"/>
    </row>
    <row r="1586" spans="2:8">
      <c r="B1586" s="18">
        <v>8020</v>
      </c>
      <c r="C1586" s="17">
        <v>63</v>
      </c>
      <c r="D1586" s="17" t="s">
        <v>3195</v>
      </c>
      <c r="E1586" s="17">
        <v>64</v>
      </c>
      <c r="F1586" s="19">
        <v>4142191</v>
      </c>
      <c r="G1586" s="19">
        <v>42346684</v>
      </c>
      <c r="H1586" s="8"/>
    </row>
    <row r="1587" spans="2:8">
      <c r="B1587" s="18">
        <v>8020</v>
      </c>
      <c r="C1587" s="17">
        <v>64</v>
      </c>
      <c r="D1587" s="17" t="s">
        <v>3196</v>
      </c>
      <c r="E1587" s="17">
        <v>65</v>
      </c>
      <c r="F1587" s="19">
        <v>4518172</v>
      </c>
      <c r="G1587" s="19">
        <v>46864856</v>
      </c>
      <c r="H1587" s="8"/>
    </row>
    <row r="1588" spans="2:8">
      <c r="B1588" s="18">
        <v>8020</v>
      </c>
      <c r="C1588" s="17">
        <v>65</v>
      </c>
      <c r="D1588" s="17" t="s">
        <v>3197</v>
      </c>
      <c r="E1588" s="17">
        <v>66</v>
      </c>
      <c r="F1588" s="19">
        <v>4921713</v>
      </c>
      <c r="G1588" s="19">
        <v>51786569</v>
      </c>
      <c r="H1588" s="8"/>
    </row>
    <row r="1589" spans="2:8">
      <c r="B1589" s="18">
        <v>8020</v>
      </c>
      <c r="C1589" s="17">
        <v>66</v>
      </c>
      <c r="D1589" s="17" t="s">
        <v>3198</v>
      </c>
      <c r="E1589" s="17">
        <v>67</v>
      </c>
      <c r="F1589" s="19">
        <v>5354361</v>
      </c>
      <c r="G1589" s="19">
        <v>57140930</v>
      </c>
      <c r="H1589" s="8"/>
    </row>
    <row r="1590" spans="2:8">
      <c r="B1590" s="18">
        <v>8020</v>
      </c>
      <c r="C1590" s="17">
        <v>67</v>
      </c>
      <c r="D1590" s="17" t="s">
        <v>3199</v>
      </c>
      <c r="E1590" s="17">
        <v>68</v>
      </c>
      <c r="F1590" s="19">
        <v>5817727</v>
      </c>
      <c r="G1590" s="19">
        <v>62958657</v>
      </c>
      <c r="H1590" s="8"/>
    </row>
    <row r="1591" spans="2:8">
      <c r="B1591" s="18">
        <v>8020</v>
      </c>
      <c r="C1591" s="17">
        <v>68</v>
      </c>
      <c r="D1591" s="17" t="s">
        <v>3200</v>
      </c>
      <c r="E1591" s="17">
        <v>69</v>
      </c>
      <c r="F1591" s="19">
        <v>6313483</v>
      </c>
      <c r="G1591" s="19">
        <v>69272140</v>
      </c>
      <c r="H1591" s="8"/>
    </row>
    <row r="1592" spans="2:8">
      <c r="B1592" s="18">
        <v>8020</v>
      </c>
      <c r="C1592" s="17">
        <v>69</v>
      </c>
      <c r="D1592" s="17" t="s">
        <v>3201</v>
      </c>
      <c r="E1592" s="17">
        <v>70</v>
      </c>
      <c r="F1592" s="19">
        <v>6843364</v>
      </c>
      <c r="G1592" s="19">
        <v>76115504</v>
      </c>
      <c r="H1592" s="8"/>
    </row>
    <row r="1593" spans="2:8">
      <c r="B1593" s="18">
        <v>8020</v>
      </c>
      <c r="C1593" s="17">
        <v>70</v>
      </c>
      <c r="D1593" s="17" t="s">
        <v>3202</v>
      </c>
      <c r="E1593" s="17">
        <v>71</v>
      </c>
      <c r="F1593" s="19">
        <v>7409174</v>
      </c>
      <c r="G1593" s="19">
        <v>83524678</v>
      </c>
      <c r="H1593" s="8"/>
    </row>
    <row r="1594" spans="2:8">
      <c r="B1594" s="18">
        <v>8020</v>
      </c>
      <c r="C1594" s="17">
        <v>71</v>
      </c>
      <c r="D1594" s="17" t="s">
        <v>3203</v>
      </c>
      <c r="E1594" s="17">
        <v>72</v>
      </c>
      <c r="F1594" s="19">
        <v>8012780</v>
      </c>
      <c r="G1594" s="19">
        <v>91537458</v>
      </c>
      <c r="H1594" s="8"/>
    </row>
    <row r="1595" spans="2:8">
      <c r="B1595" s="18">
        <v>8020</v>
      </c>
      <c r="C1595" s="17">
        <v>72</v>
      </c>
      <c r="D1595" s="17" t="s">
        <v>3204</v>
      </c>
      <c r="E1595" s="17">
        <v>73</v>
      </c>
      <c r="F1595" s="19">
        <v>8656119</v>
      </c>
      <c r="G1595" s="19">
        <v>100193577</v>
      </c>
      <c r="H1595" s="8"/>
    </row>
    <row r="1596" spans="2:8">
      <c r="B1596" s="18">
        <v>8020</v>
      </c>
      <c r="C1596" s="17">
        <v>73</v>
      </c>
      <c r="D1596" s="17" t="s">
        <v>3205</v>
      </c>
      <c r="E1596" s="17">
        <v>74</v>
      </c>
      <c r="F1596" s="19">
        <v>9341199</v>
      </c>
      <c r="G1596" s="19">
        <v>109534776</v>
      </c>
      <c r="H1596" s="8"/>
    </row>
    <row r="1597" spans="2:8">
      <c r="B1597" s="18">
        <v>8020</v>
      </c>
      <c r="C1597" s="17">
        <v>74</v>
      </c>
      <c r="D1597" s="17" t="s">
        <v>3206</v>
      </c>
      <c r="E1597" s="17">
        <v>75</v>
      </c>
      <c r="F1597" s="19">
        <v>10070098</v>
      </c>
      <c r="G1597" s="19">
        <v>119604874</v>
      </c>
      <c r="H1597" s="8"/>
    </row>
    <row r="1598" spans="2:8">
      <c r="B1598" s="18">
        <v>8020</v>
      </c>
      <c r="C1598" s="17">
        <v>75</v>
      </c>
      <c r="D1598" s="17" t="s">
        <v>3207</v>
      </c>
      <c r="E1598" s="17">
        <v>76</v>
      </c>
      <c r="F1598" s="19">
        <v>10844968</v>
      </c>
      <c r="G1598" s="19">
        <v>130449842</v>
      </c>
      <c r="H1598" s="8"/>
    </row>
    <row r="1599" spans="2:8">
      <c r="B1599" s="18">
        <v>8020</v>
      </c>
      <c r="C1599" s="17">
        <v>76</v>
      </c>
      <c r="D1599" s="17" t="s">
        <v>3208</v>
      </c>
      <c r="E1599" s="17">
        <v>77</v>
      </c>
      <c r="F1599" s="19">
        <v>11668035</v>
      </c>
      <c r="G1599" s="19">
        <v>142117877</v>
      </c>
      <c r="H1599" s="8"/>
    </row>
    <row r="1600" spans="2:8">
      <c r="B1600" s="18">
        <v>8020</v>
      </c>
      <c r="C1600" s="17">
        <v>77</v>
      </c>
      <c r="D1600" s="17" t="s">
        <v>3209</v>
      </c>
      <c r="E1600" s="17">
        <v>78</v>
      </c>
      <c r="F1600" s="19">
        <v>12541600</v>
      </c>
      <c r="G1600" s="19">
        <v>154659477</v>
      </c>
      <c r="H1600" s="8"/>
    </row>
    <row r="1601" spans="2:8">
      <c r="B1601" s="18">
        <v>8020</v>
      </c>
      <c r="C1601" s="17">
        <v>78</v>
      </c>
      <c r="D1601" s="17" t="s">
        <v>3210</v>
      </c>
      <c r="E1601" s="17">
        <v>79</v>
      </c>
      <c r="F1601" s="19">
        <v>13468044</v>
      </c>
      <c r="G1601" s="19">
        <v>168127521</v>
      </c>
      <c r="H1601" s="8"/>
    </row>
    <row r="1602" spans="2:8">
      <c r="B1602" s="18">
        <v>8020</v>
      </c>
      <c r="C1602" s="17">
        <v>79</v>
      </c>
      <c r="D1602" s="17" t="s">
        <v>3211</v>
      </c>
      <c r="E1602" s="17">
        <v>80</v>
      </c>
      <c r="F1602" s="19">
        <v>14449824</v>
      </c>
      <c r="G1602" s="19">
        <v>182577345</v>
      </c>
      <c r="H1602" s="8"/>
    </row>
    <row r="1603" spans="2:8">
      <c r="B1603" s="18">
        <v>8020</v>
      </c>
      <c r="C1603" s="17">
        <v>80</v>
      </c>
      <c r="D1603" s="17" t="s">
        <v>3212</v>
      </c>
      <c r="E1603" s="17" t="s">
        <v>1762</v>
      </c>
      <c r="F1603" s="19">
        <v>15489478</v>
      </c>
      <c r="G1603" s="19">
        <v>198066823</v>
      </c>
      <c r="H1603" s="8"/>
    </row>
    <row r="1604" spans="2:8">
      <c r="B1604" s="18">
        <v>8021</v>
      </c>
      <c r="C1604" s="17">
        <v>1</v>
      </c>
      <c r="D1604" s="17" t="s">
        <v>3213</v>
      </c>
      <c r="E1604" s="17">
        <v>2</v>
      </c>
      <c r="F1604" s="19">
        <v>0</v>
      </c>
      <c r="G1604" s="19">
        <v>0</v>
      </c>
    </row>
    <row r="1605" spans="2:8">
      <c r="B1605" s="18">
        <v>8021</v>
      </c>
      <c r="C1605" s="17">
        <v>2</v>
      </c>
      <c r="D1605" s="17" t="s">
        <v>3214</v>
      </c>
      <c r="E1605" s="17">
        <v>3</v>
      </c>
      <c r="F1605" s="19">
        <v>121</v>
      </c>
      <c r="G1605" s="19">
        <v>121</v>
      </c>
    </row>
    <row r="1606" spans="2:8">
      <c r="B1606" s="18">
        <v>8021</v>
      </c>
      <c r="C1606" s="17">
        <v>3</v>
      </c>
      <c r="D1606" s="17" t="s">
        <v>2097</v>
      </c>
      <c r="E1606" s="17">
        <v>4</v>
      </c>
      <c r="F1606" s="19">
        <v>253</v>
      </c>
      <c r="G1606" s="19">
        <v>374</v>
      </c>
    </row>
    <row r="1607" spans="2:8">
      <c r="B1607" s="18">
        <v>8021</v>
      </c>
      <c r="C1607" s="17">
        <v>4</v>
      </c>
      <c r="D1607" s="17" t="s">
        <v>3215</v>
      </c>
      <c r="E1607" s="17">
        <v>5</v>
      </c>
      <c r="F1607" s="19">
        <v>396</v>
      </c>
      <c r="G1607" s="19">
        <v>770</v>
      </c>
    </row>
    <row r="1608" spans="2:8">
      <c r="B1608" s="18">
        <v>8021</v>
      </c>
      <c r="C1608" s="17">
        <v>5</v>
      </c>
      <c r="D1608" s="17" t="s">
        <v>3216</v>
      </c>
      <c r="E1608" s="17">
        <v>6</v>
      </c>
      <c r="F1608" s="19">
        <v>551</v>
      </c>
      <c r="G1608" s="19">
        <v>1321</v>
      </c>
    </row>
    <row r="1609" spans="2:8">
      <c r="B1609" s="18">
        <v>8021</v>
      </c>
      <c r="C1609" s="17">
        <v>6</v>
      </c>
      <c r="D1609" s="17" t="s">
        <v>2460</v>
      </c>
      <c r="E1609" s="17">
        <v>7</v>
      </c>
      <c r="F1609" s="19">
        <v>719</v>
      </c>
      <c r="G1609" s="19">
        <v>2040</v>
      </c>
    </row>
    <row r="1610" spans="2:8">
      <c r="B1610" s="18">
        <v>8021</v>
      </c>
      <c r="C1610" s="17">
        <v>7</v>
      </c>
      <c r="D1610" s="17" t="s">
        <v>3217</v>
      </c>
      <c r="E1610" s="17">
        <v>8</v>
      </c>
      <c r="F1610" s="19">
        <v>903</v>
      </c>
      <c r="G1610" s="19">
        <v>2943</v>
      </c>
    </row>
    <row r="1611" spans="2:8">
      <c r="B1611" s="18">
        <v>8021</v>
      </c>
      <c r="C1611" s="17">
        <v>8</v>
      </c>
      <c r="D1611" s="17" t="s">
        <v>3218</v>
      </c>
      <c r="E1611" s="17">
        <v>9</v>
      </c>
      <c r="F1611" s="19">
        <v>1106</v>
      </c>
      <c r="G1611" s="19">
        <v>4049</v>
      </c>
    </row>
    <row r="1612" spans="2:8">
      <c r="B1612" s="18">
        <v>8021</v>
      </c>
      <c r="C1612" s="17">
        <v>9</v>
      </c>
      <c r="D1612" s="17" t="s">
        <v>3219</v>
      </c>
      <c r="E1612" s="17">
        <v>10</v>
      </c>
      <c r="F1612" s="19">
        <v>1335</v>
      </c>
      <c r="G1612" s="19">
        <v>5384</v>
      </c>
    </row>
    <row r="1613" spans="2:8">
      <c r="B1613" s="18">
        <v>8021</v>
      </c>
      <c r="C1613" s="17">
        <v>10</v>
      </c>
      <c r="D1613" s="17" t="s">
        <v>3220</v>
      </c>
      <c r="E1613" s="17">
        <v>11</v>
      </c>
      <c r="F1613" s="19">
        <v>1598</v>
      </c>
      <c r="G1613" s="19">
        <v>6982</v>
      </c>
    </row>
    <row r="1614" spans="2:8">
      <c r="B1614" s="18">
        <v>8021</v>
      </c>
      <c r="C1614" s="17">
        <v>11</v>
      </c>
      <c r="D1614" s="17" t="s">
        <v>3221</v>
      </c>
      <c r="E1614" s="17">
        <v>12</v>
      </c>
      <c r="F1614" s="19">
        <v>1905</v>
      </c>
      <c r="G1614" s="19">
        <v>8887</v>
      </c>
    </row>
    <row r="1615" spans="2:8">
      <c r="B1615" s="18">
        <v>8021</v>
      </c>
      <c r="C1615" s="17">
        <v>12</v>
      </c>
      <c r="D1615" s="17" t="s">
        <v>3222</v>
      </c>
      <c r="E1615" s="17">
        <v>13</v>
      </c>
      <c r="F1615" s="19">
        <v>2269</v>
      </c>
      <c r="G1615" s="19">
        <v>11156</v>
      </c>
    </row>
    <row r="1616" spans="2:8">
      <c r="B1616" s="18">
        <v>8021</v>
      </c>
      <c r="C1616" s="17">
        <v>13</v>
      </c>
      <c r="D1616" s="17" t="s">
        <v>3223</v>
      </c>
      <c r="E1616" s="17">
        <v>14</v>
      </c>
      <c r="F1616" s="19">
        <v>2708</v>
      </c>
      <c r="G1616" s="19">
        <v>13864</v>
      </c>
    </row>
    <row r="1617" spans="2:7">
      <c r="B1617" s="18">
        <v>8021</v>
      </c>
      <c r="C1617" s="17">
        <v>14</v>
      </c>
      <c r="D1617" s="17" t="s">
        <v>3224</v>
      </c>
      <c r="E1617" s="17">
        <v>15</v>
      </c>
      <c r="F1617" s="19">
        <v>3243</v>
      </c>
      <c r="G1617" s="19">
        <v>17107</v>
      </c>
    </row>
    <row r="1618" spans="2:7">
      <c r="B1618" s="18">
        <v>8021</v>
      </c>
      <c r="C1618" s="17">
        <v>15</v>
      </c>
      <c r="D1618" s="17" t="s">
        <v>3225</v>
      </c>
      <c r="E1618" s="17">
        <v>16</v>
      </c>
      <c r="F1618" s="19">
        <v>3902</v>
      </c>
      <c r="G1618" s="19">
        <v>21009</v>
      </c>
    </row>
    <row r="1619" spans="2:7">
      <c r="B1619" s="18">
        <v>8021</v>
      </c>
      <c r="C1619" s="17">
        <v>16</v>
      </c>
      <c r="D1619" s="17" t="s">
        <v>3226</v>
      </c>
      <c r="E1619" s="17">
        <v>17</v>
      </c>
      <c r="F1619" s="19">
        <v>4716</v>
      </c>
      <c r="G1619" s="19">
        <v>25725</v>
      </c>
    </row>
    <row r="1620" spans="2:7">
      <c r="B1620" s="18">
        <v>8021</v>
      </c>
      <c r="C1620" s="17">
        <v>17</v>
      </c>
      <c r="D1620" s="17" t="s">
        <v>3227</v>
      </c>
      <c r="E1620" s="17">
        <v>18</v>
      </c>
      <c r="F1620" s="19">
        <v>5723</v>
      </c>
      <c r="G1620" s="19">
        <v>31448</v>
      </c>
    </row>
    <row r="1621" spans="2:7">
      <c r="B1621" s="18">
        <v>8021</v>
      </c>
      <c r="C1621" s="17">
        <v>18</v>
      </c>
      <c r="D1621" s="17" t="s">
        <v>3228</v>
      </c>
      <c r="E1621" s="17">
        <v>19</v>
      </c>
      <c r="F1621" s="19">
        <v>6966</v>
      </c>
      <c r="G1621" s="19">
        <v>38414</v>
      </c>
    </row>
    <row r="1622" spans="2:7">
      <c r="B1622" s="18">
        <v>8021</v>
      </c>
      <c r="C1622" s="17">
        <v>19</v>
      </c>
      <c r="D1622" s="17" t="s">
        <v>3229</v>
      </c>
      <c r="E1622" s="17">
        <v>20</v>
      </c>
      <c r="F1622" s="19">
        <v>8498</v>
      </c>
      <c r="G1622" s="19">
        <v>46912</v>
      </c>
    </row>
    <row r="1623" spans="2:7">
      <c r="B1623" s="18">
        <v>8021</v>
      </c>
      <c r="C1623" s="17">
        <v>20</v>
      </c>
      <c r="D1623" s="17" t="s">
        <v>2122</v>
      </c>
      <c r="E1623" s="17">
        <v>21</v>
      </c>
      <c r="F1623" s="19">
        <v>10379</v>
      </c>
      <c r="G1623" s="19">
        <v>57291</v>
      </c>
    </row>
    <row r="1624" spans="2:7">
      <c r="B1624" s="18">
        <v>8021</v>
      </c>
      <c r="C1624" s="17">
        <v>21</v>
      </c>
      <c r="D1624" s="17" t="s">
        <v>2476</v>
      </c>
      <c r="E1624" s="17">
        <v>22</v>
      </c>
      <c r="F1624" s="19">
        <v>12676</v>
      </c>
      <c r="G1624" s="19">
        <v>69967</v>
      </c>
    </row>
    <row r="1625" spans="2:7">
      <c r="B1625" s="18">
        <v>8021</v>
      </c>
      <c r="C1625" s="17">
        <v>22</v>
      </c>
      <c r="D1625" s="17" t="s">
        <v>3230</v>
      </c>
      <c r="E1625" s="17">
        <v>23</v>
      </c>
      <c r="F1625" s="19">
        <v>15468</v>
      </c>
      <c r="G1625" s="19">
        <v>85435</v>
      </c>
    </row>
    <row r="1626" spans="2:7">
      <c r="B1626" s="18">
        <v>8021</v>
      </c>
      <c r="C1626" s="17">
        <v>23</v>
      </c>
      <c r="D1626" s="17" t="s">
        <v>3231</v>
      </c>
      <c r="E1626" s="17">
        <v>24</v>
      </c>
      <c r="F1626" s="19">
        <v>18840</v>
      </c>
      <c r="G1626" s="19">
        <v>104275</v>
      </c>
    </row>
    <row r="1627" spans="2:7">
      <c r="B1627" s="18">
        <v>8021</v>
      </c>
      <c r="C1627" s="17">
        <v>24</v>
      </c>
      <c r="D1627" s="17" t="s">
        <v>3232</v>
      </c>
      <c r="E1627" s="17">
        <v>25</v>
      </c>
      <c r="F1627" s="19">
        <v>22894</v>
      </c>
      <c r="G1627" s="19">
        <v>127169</v>
      </c>
    </row>
    <row r="1628" spans="2:7">
      <c r="B1628" s="18">
        <v>8021</v>
      </c>
      <c r="C1628" s="17">
        <v>25</v>
      </c>
      <c r="D1628" s="17" t="s">
        <v>2839</v>
      </c>
      <c r="E1628" s="17">
        <v>26</v>
      </c>
      <c r="F1628" s="19">
        <v>27737</v>
      </c>
      <c r="G1628" s="19">
        <v>154906</v>
      </c>
    </row>
    <row r="1629" spans="2:7">
      <c r="B1629" s="18">
        <v>8021</v>
      </c>
      <c r="C1629" s="17">
        <v>26</v>
      </c>
      <c r="D1629" s="17" t="s">
        <v>3233</v>
      </c>
      <c r="E1629" s="17">
        <v>27</v>
      </c>
      <c r="F1629" s="19">
        <v>33492</v>
      </c>
      <c r="G1629" s="19">
        <v>188398</v>
      </c>
    </row>
    <row r="1630" spans="2:7">
      <c r="B1630" s="18">
        <v>8021</v>
      </c>
      <c r="C1630" s="17">
        <v>27</v>
      </c>
      <c r="D1630" s="17" t="s">
        <v>3234</v>
      </c>
      <c r="E1630" s="17">
        <v>28</v>
      </c>
      <c r="F1630" s="19">
        <v>40296</v>
      </c>
      <c r="G1630" s="19">
        <v>228694</v>
      </c>
    </row>
    <row r="1631" spans="2:7">
      <c r="B1631" s="18">
        <v>8021</v>
      </c>
      <c r="C1631" s="17">
        <v>28</v>
      </c>
      <c r="D1631" s="17" t="s">
        <v>3235</v>
      </c>
      <c r="E1631" s="17">
        <v>29</v>
      </c>
      <c r="F1631" s="19">
        <v>48296</v>
      </c>
      <c r="G1631" s="19">
        <v>276990</v>
      </c>
    </row>
    <row r="1632" spans="2:7">
      <c r="B1632" s="18">
        <v>8021</v>
      </c>
      <c r="C1632" s="17">
        <v>29</v>
      </c>
      <c r="D1632" s="17" t="s">
        <v>3236</v>
      </c>
      <c r="E1632" s="17">
        <v>30</v>
      </c>
      <c r="F1632" s="19">
        <v>57658</v>
      </c>
      <c r="G1632" s="19">
        <v>334648</v>
      </c>
    </row>
    <row r="1633" spans="2:7">
      <c r="B1633" s="18">
        <v>8021</v>
      </c>
      <c r="C1633" s="17">
        <v>30</v>
      </c>
      <c r="D1633" s="17" t="s">
        <v>3237</v>
      </c>
      <c r="E1633" s="17">
        <v>31</v>
      </c>
      <c r="F1633" s="19">
        <v>68561</v>
      </c>
      <c r="G1633" s="19">
        <v>403209</v>
      </c>
    </row>
    <row r="1634" spans="2:7">
      <c r="B1634" s="18">
        <v>8021</v>
      </c>
      <c r="C1634" s="17">
        <v>31</v>
      </c>
      <c r="D1634" s="17" t="s">
        <v>3238</v>
      </c>
      <c r="E1634" s="17">
        <v>32</v>
      </c>
      <c r="F1634" s="19">
        <v>81202</v>
      </c>
      <c r="G1634" s="19">
        <v>484411</v>
      </c>
    </row>
    <row r="1635" spans="2:7">
      <c r="B1635" s="18">
        <v>8021</v>
      </c>
      <c r="C1635" s="17">
        <v>32</v>
      </c>
      <c r="D1635" s="17" t="s">
        <v>3239</v>
      </c>
      <c r="E1635" s="17">
        <v>33</v>
      </c>
      <c r="F1635" s="19">
        <v>95792</v>
      </c>
      <c r="G1635" s="19">
        <v>580203</v>
      </c>
    </row>
    <row r="1636" spans="2:7">
      <c r="B1636" s="18">
        <v>8021</v>
      </c>
      <c r="C1636" s="17">
        <v>33</v>
      </c>
      <c r="D1636" s="17" t="s">
        <v>2844</v>
      </c>
      <c r="E1636" s="17">
        <v>34</v>
      </c>
      <c r="F1636" s="19">
        <v>112566</v>
      </c>
      <c r="G1636" s="19">
        <v>692769</v>
      </c>
    </row>
    <row r="1637" spans="2:7">
      <c r="B1637" s="18">
        <v>8021</v>
      </c>
      <c r="C1637" s="17">
        <v>34</v>
      </c>
      <c r="D1637" s="17" t="s">
        <v>2145</v>
      </c>
      <c r="E1637" s="17">
        <v>35</v>
      </c>
      <c r="F1637" s="19">
        <v>131773</v>
      </c>
      <c r="G1637" s="19">
        <v>824542</v>
      </c>
    </row>
    <row r="1638" spans="2:7">
      <c r="B1638" s="18">
        <v>8021</v>
      </c>
      <c r="C1638" s="17">
        <v>35</v>
      </c>
      <c r="D1638" s="17" t="s">
        <v>3240</v>
      </c>
      <c r="E1638" s="17">
        <v>36</v>
      </c>
      <c r="F1638" s="19">
        <v>153685</v>
      </c>
      <c r="G1638" s="19">
        <v>978227</v>
      </c>
    </row>
    <row r="1639" spans="2:7">
      <c r="B1639" s="18">
        <v>8021</v>
      </c>
      <c r="C1639" s="17">
        <v>36</v>
      </c>
      <c r="D1639" s="17" t="s">
        <v>3241</v>
      </c>
      <c r="E1639" s="17">
        <v>37</v>
      </c>
      <c r="F1639" s="19">
        <v>178593</v>
      </c>
      <c r="G1639" s="19">
        <v>1156820</v>
      </c>
    </row>
    <row r="1640" spans="2:7">
      <c r="B1640" s="18">
        <v>8021</v>
      </c>
      <c r="C1640" s="17">
        <v>37</v>
      </c>
      <c r="D1640" s="17" t="s">
        <v>2150</v>
      </c>
      <c r="E1640" s="17">
        <v>38</v>
      </c>
      <c r="F1640" s="19">
        <v>206813</v>
      </c>
      <c r="G1640" s="19">
        <v>1363633</v>
      </c>
    </row>
    <row r="1641" spans="2:7">
      <c r="B1641" s="18">
        <v>8021</v>
      </c>
      <c r="C1641" s="17">
        <v>38</v>
      </c>
      <c r="D1641" s="17" t="s">
        <v>3242</v>
      </c>
      <c r="E1641" s="17">
        <v>39</v>
      </c>
      <c r="F1641" s="19">
        <v>238680</v>
      </c>
      <c r="G1641" s="19">
        <v>1602313</v>
      </c>
    </row>
    <row r="1642" spans="2:7">
      <c r="B1642" s="18">
        <v>8021</v>
      </c>
      <c r="C1642" s="17">
        <v>39</v>
      </c>
      <c r="D1642" s="17" t="s">
        <v>3243</v>
      </c>
      <c r="E1642" s="17">
        <v>40</v>
      </c>
      <c r="F1642" s="19">
        <v>274555</v>
      </c>
      <c r="G1642" s="19">
        <v>1876868</v>
      </c>
    </row>
    <row r="1643" spans="2:7">
      <c r="B1643" s="18">
        <v>8021</v>
      </c>
      <c r="C1643" s="17">
        <v>40</v>
      </c>
      <c r="D1643" s="17" t="s">
        <v>3244</v>
      </c>
      <c r="E1643" s="17">
        <v>41</v>
      </c>
      <c r="F1643" s="19">
        <v>314824</v>
      </c>
      <c r="G1643" s="19">
        <v>2191692</v>
      </c>
    </row>
    <row r="1644" spans="2:7">
      <c r="B1644" s="18">
        <v>8021</v>
      </c>
      <c r="C1644" s="17">
        <v>41</v>
      </c>
      <c r="D1644" s="17" t="s">
        <v>2847</v>
      </c>
      <c r="E1644" s="17">
        <v>42</v>
      </c>
      <c r="F1644" s="19">
        <v>359899</v>
      </c>
      <c r="G1644" s="19">
        <v>2551591</v>
      </c>
    </row>
    <row r="1645" spans="2:7">
      <c r="B1645" s="18">
        <v>8021</v>
      </c>
      <c r="C1645" s="17">
        <v>42</v>
      </c>
      <c r="D1645" s="17" t="s">
        <v>3245</v>
      </c>
      <c r="E1645" s="17">
        <v>43</v>
      </c>
      <c r="F1645" s="19">
        <v>410217</v>
      </c>
      <c r="G1645" s="19">
        <v>2961808</v>
      </c>
    </row>
    <row r="1646" spans="2:7">
      <c r="B1646" s="18">
        <v>8021</v>
      </c>
      <c r="C1646" s="17">
        <v>43</v>
      </c>
      <c r="D1646" s="17" t="s">
        <v>3246</v>
      </c>
      <c r="E1646" s="17">
        <v>44</v>
      </c>
      <c r="F1646" s="19">
        <v>466246</v>
      </c>
      <c r="G1646" s="19">
        <v>3428054</v>
      </c>
    </row>
    <row r="1647" spans="2:7">
      <c r="B1647" s="18">
        <v>8021</v>
      </c>
      <c r="C1647" s="17">
        <v>44</v>
      </c>
      <c r="D1647" s="17" t="s">
        <v>2500</v>
      </c>
      <c r="E1647" s="17">
        <v>45</v>
      </c>
      <c r="F1647" s="19">
        <v>528479</v>
      </c>
      <c r="G1647" s="19">
        <v>3956533</v>
      </c>
    </row>
    <row r="1648" spans="2:7">
      <c r="B1648" s="18">
        <v>8021</v>
      </c>
      <c r="C1648" s="17">
        <v>45</v>
      </c>
      <c r="D1648" s="17" t="s">
        <v>3247</v>
      </c>
      <c r="E1648" s="17">
        <v>46</v>
      </c>
      <c r="F1648" s="19">
        <v>597444</v>
      </c>
      <c r="G1648" s="19">
        <v>4553977</v>
      </c>
    </row>
    <row r="1649" spans="2:7">
      <c r="B1649" s="18">
        <v>8021</v>
      </c>
      <c r="C1649" s="17">
        <v>46</v>
      </c>
      <c r="D1649" s="17" t="s">
        <v>3248</v>
      </c>
      <c r="E1649" s="17">
        <v>47</v>
      </c>
      <c r="F1649" s="19">
        <v>673695</v>
      </c>
      <c r="G1649" s="19">
        <v>5227672</v>
      </c>
    </row>
    <row r="1650" spans="2:7">
      <c r="B1650" s="18">
        <v>8021</v>
      </c>
      <c r="C1650" s="17">
        <v>47</v>
      </c>
      <c r="D1650" s="17" t="s">
        <v>3249</v>
      </c>
      <c r="E1650" s="17">
        <v>48</v>
      </c>
      <c r="F1650" s="19">
        <v>757820</v>
      </c>
      <c r="G1650" s="19">
        <v>5985492</v>
      </c>
    </row>
    <row r="1651" spans="2:7">
      <c r="B1651" s="18">
        <v>8021</v>
      </c>
      <c r="C1651" s="17">
        <v>48</v>
      </c>
      <c r="D1651" s="17" t="s">
        <v>3250</v>
      </c>
      <c r="E1651" s="17">
        <v>49</v>
      </c>
      <c r="F1651" s="19">
        <v>850444</v>
      </c>
      <c r="G1651" s="19">
        <v>6835936</v>
      </c>
    </row>
    <row r="1652" spans="2:7">
      <c r="B1652" s="18">
        <v>8021</v>
      </c>
      <c r="C1652" s="17">
        <v>49</v>
      </c>
      <c r="D1652" s="17" t="s">
        <v>2852</v>
      </c>
      <c r="E1652" s="17">
        <v>50</v>
      </c>
      <c r="F1652" s="19">
        <v>952220</v>
      </c>
      <c r="G1652" s="19">
        <v>7788156</v>
      </c>
    </row>
    <row r="1653" spans="2:7">
      <c r="B1653" s="18">
        <v>8021</v>
      </c>
      <c r="C1653" s="17">
        <v>50</v>
      </c>
      <c r="D1653" s="17" t="s">
        <v>3251</v>
      </c>
      <c r="E1653" s="17">
        <v>51</v>
      </c>
      <c r="F1653" s="19">
        <v>1063841</v>
      </c>
      <c r="G1653" s="19">
        <v>8851997</v>
      </c>
    </row>
    <row r="1654" spans="2:7">
      <c r="B1654" s="18">
        <v>8021</v>
      </c>
      <c r="C1654" s="17">
        <v>51</v>
      </c>
      <c r="D1654" s="17" t="s">
        <v>3252</v>
      </c>
      <c r="E1654" s="22">
        <v>52</v>
      </c>
      <c r="F1654" s="19">
        <v>1186035</v>
      </c>
      <c r="G1654" s="19">
        <v>10038032</v>
      </c>
    </row>
    <row r="1655" spans="2:7">
      <c r="B1655" s="18">
        <v>8021</v>
      </c>
      <c r="C1655" s="17">
        <v>52</v>
      </c>
      <c r="D1655" s="17" t="s">
        <v>3253</v>
      </c>
      <c r="E1655" s="22">
        <v>53</v>
      </c>
      <c r="F1655" s="19">
        <v>1319566</v>
      </c>
      <c r="G1655" s="19">
        <v>11357598</v>
      </c>
    </row>
    <row r="1656" spans="2:7">
      <c r="B1656" s="18">
        <v>8021</v>
      </c>
      <c r="C1656" s="17">
        <v>53</v>
      </c>
      <c r="D1656" s="17" t="s">
        <v>3254</v>
      </c>
      <c r="E1656" s="22">
        <v>54</v>
      </c>
      <c r="F1656" s="19">
        <v>1465241</v>
      </c>
      <c r="G1656" s="19">
        <v>12822839</v>
      </c>
    </row>
    <row r="1657" spans="2:7">
      <c r="B1657" s="18">
        <v>8021</v>
      </c>
      <c r="C1657" s="17">
        <v>54</v>
      </c>
      <c r="D1657" s="17" t="s">
        <v>3255</v>
      </c>
      <c r="E1657" s="22">
        <v>55</v>
      </c>
      <c r="F1657" s="19">
        <v>1623903</v>
      </c>
      <c r="G1657" s="19">
        <v>14446742</v>
      </c>
    </row>
    <row r="1658" spans="2:7">
      <c r="B1658" s="18">
        <v>8021</v>
      </c>
      <c r="C1658" s="17">
        <v>55</v>
      </c>
      <c r="D1658" s="17" t="s">
        <v>3256</v>
      </c>
      <c r="E1658" s="22">
        <v>56</v>
      </c>
      <c r="F1658" s="19">
        <v>1796439</v>
      </c>
      <c r="G1658" s="19">
        <v>16243181</v>
      </c>
    </row>
    <row r="1659" spans="2:7">
      <c r="B1659" s="18">
        <v>8021</v>
      </c>
      <c r="C1659" s="17">
        <v>56</v>
      </c>
      <c r="D1659" s="17" t="s">
        <v>3257</v>
      </c>
      <c r="E1659" s="22">
        <v>57</v>
      </c>
      <c r="F1659" s="19">
        <v>1983777</v>
      </c>
      <c r="G1659" s="19">
        <v>18226958</v>
      </c>
    </row>
    <row r="1660" spans="2:7">
      <c r="B1660" s="18">
        <v>8021</v>
      </c>
      <c r="C1660" s="17">
        <v>57</v>
      </c>
      <c r="D1660" s="17" t="s">
        <v>2857</v>
      </c>
      <c r="E1660" s="22">
        <v>58</v>
      </c>
      <c r="F1660" s="19">
        <v>2186888</v>
      </c>
      <c r="G1660" s="19">
        <v>20413846</v>
      </c>
    </row>
    <row r="1661" spans="2:7">
      <c r="B1661" s="18">
        <v>8021</v>
      </c>
      <c r="C1661" s="17">
        <v>58</v>
      </c>
      <c r="D1661" s="17" t="s">
        <v>3258</v>
      </c>
      <c r="E1661" s="22">
        <v>59</v>
      </c>
      <c r="F1661" s="19">
        <v>2406789</v>
      </c>
      <c r="G1661" s="19">
        <v>22820635</v>
      </c>
    </row>
    <row r="1662" spans="2:7">
      <c r="B1662" s="18">
        <v>8021</v>
      </c>
      <c r="C1662" s="17">
        <v>59</v>
      </c>
      <c r="D1662" s="17" t="s">
        <v>2517</v>
      </c>
      <c r="E1662" s="22">
        <v>60</v>
      </c>
      <c r="F1662" s="19">
        <v>2644541</v>
      </c>
      <c r="G1662" s="19">
        <v>25465176</v>
      </c>
    </row>
    <row r="1663" spans="2:7">
      <c r="B1663" s="18">
        <v>8021</v>
      </c>
      <c r="C1663" s="17">
        <v>60</v>
      </c>
      <c r="D1663" s="17" t="s">
        <v>3259</v>
      </c>
      <c r="E1663" s="22">
        <v>61</v>
      </c>
      <c r="F1663" s="19">
        <v>2901257</v>
      </c>
      <c r="G1663" s="19">
        <v>28366433</v>
      </c>
    </row>
    <row r="1664" spans="2:7">
      <c r="B1664" s="18">
        <v>8021</v>
      </c>
      <c r="C1664" s="17">
        <v>61</v>
      </c>
      <c r="D1664" s="17" t="s">
        <v>3260</v>
      </c>
      <c r="E1664" s="22">
        <v>62</v>
      </c>
      <c r="F1664" s="19">
        <v>3178093</v>
      </c>
      <c r="G1664" s="19">
        <v>31544526</v>
      </c>
    </row>
    <row r="1665" spans="2:7">
      <c r="B1665" s="18">
        <v>8021</v>
      </c>
      <c r="C1665" s="17">
        <v>62</v>
      </c>
      <c r="D1665" s="17" t="s">
        <v>3261</v>
      </c>
      <c r="E1665" s="22">
        <v>63</v>
      </c>
      <c r="F1665" s="19">
        <v>3476257</v>
      </c>
      <c r="G1665" s="19">
        <v>35020783</v>
      </c>
    </row>
    <row r="1666" spans="2:7">
      <c r="B1666" s="18">
        <v>8021</v>
      </c>
      <c r="C1666" s="17">
        <v>63</v>
      </c>
      <c r="D1666" s="17" t="s">
        <v>3262</v>
      </c>
      <c r="E1666" s="22">
        <v>64</v>
      </c>
      <c r="F1666" s="19">
        <v>3797008</v>
      </c>
      <c r="G1666" s="19">
        <v>38817791</v>
      </c>
    </row>
    <row r="1667" spans="2:7">
      <c r="B1667" s="18">
        <v>8021</v>
      </c>
      <c r="C1667" s="17">
        <v>64</v>
      </c>
      <c r="D1667" s="17" t="s">
        <v>3263</v>
      </c>
      <c r="E1667" s="22">
        <v>65</v>
      </c>
      <c r="F1667" s="19">
        <v>4141658</v>
      </c>
      <c r="G1667" s="19">
        <v>42959449</v>
      </c>
    </row>
    <row r="1668" spans="2:7">
      <c r="B1668" s="18">
        <v>8021</v>
      </c>
      <c r="C1668" s="17">
        <v>65</v>
      </c>
      <c r="D1668" s="17" t="s">
        <v>3264</v>
      </c>
      <c r="E1668" s="22">
        <v>66</v>
      </c>
      <c r="F1668" s="19">
        <v>4511570</v>
      </c>
      <c r="G1668" s="19">
        <v>47471019</v>
      </c>
    </row>
    <row r="1669" spans="2:7">
      <c r="B1669" s="18">
        <v>8021</v>
      </c>
      <c r="C1669" s="17">
        <v>66</v>
      </c>
      <c r="D1669" s="17" t="s">
        <v>3265</v>
      </c>
      <c r="E1669" s="22">
        <v>67</v>
      </c>
      <c r="F1669" s="19">
        <v>4908164</v>
      </c>
      <c r="G1669" s="19">
        <v>52379183</v>
      </c>
    </row>
    <row r="1670" spans="2:7">
      <c r="B1670" s="18">
        <v>8021</v>
      </c>
      <c r="C1670" s="17">
        <v>67</v>
      </c>
      <c r="D1670" s="17" t="s">
        <v>3266</v>
      </c>
      <c r="E1670" s="22">
        <v>68</v>
      </c>
      <c r="F1670" s="19">
        <v>5332916</v>
      </c>
      <c r="G1670" s="19">
        <v>57712099</v>
      </c>
    </row>
    <row r="1671" spans="2:7">
      <c r="B1671" s="18">
        <v>8021</v>
      </c>
      <c r="C1671" s="17">
        <v>68</v>
      </c>
      <c r="D1671" s="17" t="s">
        <v>3267</v>
      </c>
      <c r="E1671" s="22">
        <v>69</v>
      </c>
      <c r="F1671" s="19">
        <v>5787359</v>
      </c>
      <c r="G1671" s="19">
        <v>63499458</v>
      </c>
    </row>
    <row r="1672" spans="2:7">
      <c r="B1672" s="18">
        <v>8021</v>
      </c>
      <c r="C1672" s="17">
        <v>69</v>
      </c>
      <c r="D1672" s="17" t="s">
        <v>3268</v>
      </c>
      <c r="E1672" s="22">
        <v>70</v>
      </c>
      <c r="F1672" s="19">
        <v>6273084</v>
      </c>
      <c r="G1672" s="19">
        <v>69772542</v>
      </c>
    </row>
    <row r="1673" spans="2:7">
      <c r="B1673" s="18">
        <v>8021</v>
      </c>
      <c r="C1673" s="17">
        <v>70</v>
      </c>
      <c r="D1673" s="17" t="s">
        <v>3269</v>
      </c>
      <c r="E1673" s="22">
        <v>71</v>
      </c>
      <c r="F1673" s="19">
        <v>6791743</v>
      </c>
      <c r="G1673" s="19">
        <v>76564285</v>
      </c>
    </row>
    <row r="1674" spans="2:7">
      <c r="B1674" s="18">
        <v>8021</v>
      </c>
      <c r="C1674" s="17">
        <v>71</v>
      </c>
      <c r="D1674" s="17" t="s">
        <v>3270</v>
      </c>
      <c r="E1674" s="22">
        <v>72</v>
      </c>
      <c r="F1674" s="19">
        <v>7345048</v>
      </c>
      <c r="G1674" s="19">
        <v>83909333</v>
      </c>
    </row>
    <row r="1675" spans="2:7">
      <c r="B1675" s="18">
        <v>8021</v>
      </c>
      <c r="C1675" s="17">
        <v>72</v>
      </c>
      <c r="D1675" s="17" t="s">
        <v>3271</v>
      </c>
      <c r="E1675" s="22">
        <v>73</v>
      </c>
      <c r="F1675" s="19">
        <v>7934776</v>
      </c>
      <c r="G1675" s="19">
        <v>91844109</v>
      </c>
    </row>
    <row r="1676" spans="2:7">
      <c r="B1676" s="18">
        <v>8021</v>
      </c>
      <c r="C1676" s="17">
        <v>73</v>
      </c>
      <c r="D1676" s="17" t="s">
        <v>3272</v>
      </c>
      <c r="E1676" s="22">
        <v>74</v>
      </c>
      <c r="F1676" s="19">
        <v>8562766</v>
      </c>
      <c r="G1676" s="19">
        <v>100406875</v>
      </c>
    </row>
    <row r="1677" spans="2:7">
      <c r="B1677" s="18">
        <v>8021</v>
      </c>
      <c r="C1677" s="17">
        <v>74</v>
      </c>
      <c r="D1677" s="17" t="s">
        <v>3273</v>
      </c>
      <c r="E1677" s="22">
        <v>75</v>
      </c>
      <c r="F1677" s="19">
        <v>9230923</v>
      </c>
      <c r="G1677" s="19">
        <v>109637798</v>
      </c>
    </row>
    <row r="1678" spans="2:7">
      <c r="B1678" s="18">
        <v>8021</v>
      </c>
      <c r="C1678" s="17">
        <v>75</v>
      </c>
      <c r="D1678" s="17" t="s">
        <v>3274</v>
      </c>
      <c r="E1678" s="22">
        <v>76</v>
      </c>
      <c r="F1678" s="19">
        <v>9941221</v>
      </c>
      <c r="G1678" s="19">
        <v>119579019</v>
      </c>
    </row>
    <row r="1679" spans="2:7">
      <c r="B1679" s="18">
        <v>8021</v>
      </c>
      <c r="C1679" s="17">
        <v>76</v>
      </c>
      <c r="D1679" s="17" t="s">
        <v>3275</v>
      </c>
      <c r="E1679" s="22">
        <v>77</v>
      </c>
      <c r="F1679" s="19">
        <v>10695699</v>
      </c>
      <c r="G1679" s="19">
        <v>130274718</v>
      </c>
    </row>
    <row r="1680" spans="2:7">
      <c r="B1680" s="18">
        <v>8021</v>
      </c>
      <c r="C1680" s="17">
        <v>77</v>
      </c>
      <c r="D1680" s="17" t="s">
        <v>3276</v>
      </c>
      <c r="E1680" s="22">
        <v>78</v>
      </c>
      <c r="F1680" s="19">
        <v>11496467</v>
      </c>
      <c r="G1680" s="19">
        <v>141771185</v>
      </c>
    </row>
    <row r="1681" spans="2:7">
      <c r="B1681" s="18">
        <v>8021</v>
      </c>
      <c r="C1681" s="17">
        <v>78</v>
      </c>
      <c r="D1681" s="17" t="s">
        <v>3277</v>
      </c>
      <c r="E1681" s="22">
        <v>79</v>
      </c>
      <c r="F1681" s="19">
        <v>12345707</v>
      </c>
      <c r="G1681" s="19">
        <v>154116892</v>
      </c>
    </row>
    <row r="1682" spans="2:7">
      <c r="B1682" s="18">
        <v>8021</v>
      </c>
      <c r="C1682" s="17">
        <v>79</v>
      </c>
      <c r="D1682" s="17" t="s">
        <v>3278</v>
      </c>
      <c r="E1682" s="22">
        <v>80</v>
      </c>
      <c r="F1682" s="19">
        <v>13245672</v>
      </c>
      <c r="G1682" s="19">
        <v>167362564</v>
      </c>
    </row>
    <row r="1683" spans="2:7">
      <c r="B1683" s="18">
        <v>8021</v>
      </c>
      <c r="C1683" s="17">
        <v>80</v>
      </c>
      <c r="D1683" s="17" t="s">
        <v>3279</v>
      </c>
      <c r="E1683" s="22" t="s">
        <v>1762</v>
      </c>
      <c r="F1683" s="19">
        <v>14198688</v>
      </c>
      <c r="G1683" s="19">
        <v>181561252</v>
      </c>
    </row>
    <row r="1684" spans="2:7">
      <c r="B1684" s="18">
        <v>8022</v>
      </c>
      <c r="C1684" s="17">
        <v>1</v>
      </c>
      <c r="D1684" s="17" t="s">
        <v>3280</v>
      </c>
      <c r="E1684" s="17">
        <v>2</v>
      </c>
      <c r="F1684" s="19">
        <v>0</v>
      </c>
      <c r="G1684" s="19">
        <v>0</v>
      </c>
    </row>
    <row r="1685" spans="2:7">
      <c r="B1685" s="18">
        <v>8022</v>
      </c>
      <c r="C1685" s="17">
        <v>2</v>
      </c>
      <c r="D1685" s="17" t="s">
        <v>3281</v>
      </c>
      <c r="E1685" s="17">
        <v>3</v>
      </c>
      <c r="F1685" s="19">
        <v>121</v>
      </c>
      <c r="G1685" s="19">
        <v>121</v>
      </c>
    </row>
    <row r="1686" spans="2:7">
      <c r="B1686" s="18">
        <v>8022</v>
      </c>
      <c r="C1686" s="17">
        <v>3</v>
      </c>
      <c r="D1686" s="17" t="s">
        <v>2171</v>
      </c>
      <c r="E1686" s="17">
        <v>4</v>
      </c>
      <c r="F1686" s="19">
        <v>253</v>
      </c>
      <c r="G1686" s="19">
        <v>374</v>
      </c>
    </row>
    <row r="1687" spans="2:7">
      <c r="B1687" s="18">
        <v>8022</v>
      </c>
      <c r="C1687" s="17">
        <v>4</v>
      </c>
      <c r="D1687" s="17" t="s">
        <v>3282</v>
      </c>
      <c r="E1687" s="17">
        <v>5</v>
      </c>
      <c r="F1687" s="19">
        <v>396</v>
      </c>
      <c r="G1687" s="19">
        <v>770</v>
      </c>
    </row>
    <row r="1688" spans="2:7">
      <c r="B1688" s="18">
        <v>8022</v>
      </c>
      <c r="C1688" s="17">
        <v>5</v>
      </c>
      <c r="D1688" s="17" t="s">
        <v>3283</v>
      </c>
      <c r="E1688" s="17">
        <v>6</v>
      </c>
      <c r="F1688" s="19">
        <v>551</v>
      </c>
      <c r="G1688" s="19">
        <v>1321</v>
      </c>
    </row>
    <row r="1689" spans="2:7">
      <c r="B1689" s="18">
        <v>8022</v>
      </c>
      <c r="C1689" s="17">
        <v>6</v>
      </c>
      <c r="D1689" s="17" t="s">
        <v>2536</v>
      </c>
      <c r="E1689" s="17">
        <v>7</v>
      </c>
      <c r="F1689" s="19">
        <v>719</v>
      </c>
      <c r="G1689" s="19">
        <v>2040</v>
      </c>
    </row>
    <row r="1690" spans="2:7">
      <c r="B1690" s="18">
        <v>8022</v>
      </c>
      <c r="C1690" s="17">
        <v>7</v>
      </c>
      <c r="D1690" s="17" t="s">
        <v>3284</v>
      </c>
      <c r="E1690" s="17">
        <v>8</v>
      </c>
      <c r="F1690" s="19">
        <v>903</v>
      </c>
      <c r="G1690" s="19">
        <v>2943</v>
      </c>
    </row>
    <row r="1691" spans="2:7">
      <c r="B1691" s="18">
        <v>8022</v>
      </c>
      <c r="C1691" s="17">
        <v>8</v>
      </c>
      <c r="D1691" s="17" t="s">
        <v>3285</v>
      </c>
      <c r="E1691" s="17">
        <v>9</v>
      </c>
      <c r="F1691" s="19">
        <v>1106</v>
      </c>
      <c r="G1691" s="19">
        <v>4049</v>
      </c>
    </row>
    <row r="1692" spans="2:7">
      <c r="B1692" s="18">
        <v>8022</v>
      </c>
      <c r="C1692" s="17">
        <v>9</v>
      </c>
      <c r="D1692" s="17" t="s">
        <v>3286</v>
      </c>
      <c r="E1692" s="17">
        <v>10</v>
      </c>
      <c r="F1692" s="19">
        <v>1335</v>
      </c>
      <c r="G1692" s="19">
        <v>5384</v>
      </c>
    </row>
    <row r="1693" spans="2:7">
      <c r="B1693" s="18">
        <v>8022</v>
      </c>
      <c r="C1693" s="17">
        <v>10</v>
      </c>
      <c r="D1693" s="17" t="s">
        <v>3287</v>
      </c>
      <c r="E1693" s="17">
        <v>11</v>
      </c>
      <c r="F1693" s="19">
        <v>1598</v>
      </c>
      <c r="G1693" s="19">
        <v>6982</v>
      </c>
    </row>
    <row r="1694" spans="2:7">
      <c r="B1694" s="18">
        <v>8022</v>
      </c>
      <c r="C1694" s="17">
        <v>11</v>
      </c>
      <c r="D1694" s="17" t="s">
        <v>3288</v>
      </c>
      <c r="E1694" s="17">
        <v>12</v>
      </c>
      <c r="F1694" s="19">
        <v>1905</v>
      </c>
      <c r="G1694" s="19">
        <v>8887</v>
      </c>
    </row>
    <row r="1695" spans="2:7">
      <c r="B1695" s="18">
        <v>8022</v>
      </c>
      <c r="C1695" s="17">
        <v>12</v>
      </c>
      <c r="D1695" s="17" t="s">
        <v>3289</v>
      </c>
      <c r="E1695" s="17">
        <v>13</v>
      </c>
      <c r="F1695" s="19">
        <v>2269</v>
      </c>
      <c r="G1695" s="19">
        <v>11156</v>
      </c>
    </row>
    <row r="1696" spans="2:7">
      <c r="B1696" s="18">
        <v>8022</v>
      </c>
      <c r="C1696" s="17">
        <v>13</v>
      </c>
      <c r="D1696" s="17" t="s">
        <v>3290</v>
      </c>
      <c r="E1696" s="17">
        <v>14</v>
      </c>
      <c r="F1696" s="19">
        <v>2708</v>
      </c>
      <c r="G1696" s="19">
        <v>13864</v>
      </c>
    </row>
    <row r="1697" spans="2:7">
      <c r="B1697" s="18">
        <v>8022</v>
      </c>
      <c r="C1697" s="17">
        <v>14</v>
      </c>
      <c r="D1697" s="17" t="s">
        <v>3291</v>
      </c>
      <c r="E1697" s="17">
        <v>15</v>
      </c>
      <c r="F1697" s="19">
        <v>3243</v>
      </c>
      <c r="G1697" s="19">
        <v>17107</v>
      </c>
    </row>
    <row r="1698" spans="2:7">
      <c r="B1698" s="18">
        <v>8022</v>
      </c>
      <c r="C1698" s="17">
        <v>15</v>
      </c>
      <c r="D1698" s="17" t="s">
        <v>3292</v>
      </c>
      <c r="E1698" s="17">
        <v>16</v>
      </c>
      <c r="F1698" s="19">
        <v>3902</v>
      </c>
      <c r="G1698" s="19">
        <v>21009</v>
      </c>
    </row>
    <row r="1699" spans="2:7">
      <c r="B1699" s="18">
        <v>8022</v>
      </c>
      <c r="C1699" s="17">
        <v>16</v>
      </c>
      <c r="D1699" s="17" t="s">
        <v>3293</v>
      </c>
      <c r="E1699" s="17">
        <v>17</v>
      </c>
      <c r="F1699" s="19">
        <v>4716</v>
      </c>
      <c r="G1699" s="19">
        <v>25725</v>
      </c>
    </row>
    <row r="1700" spans="2:7">
      <c r="B1700" s="18">
        <v>8022</v>
      </c>
      <c r="C1700" s="17">
        <v>17</v>
      </c>
      <c r="D1700" s="17" t="s">
        <v>3294</v>
      </c>
      <c r="E1700" s="17">
        <v>18</v>
      </c>
      <c r="F1700" s="19">
        <v>5723</v>
      </c>
      <c r="G1700" s="19">
        <v>31448</v>
      </c>
    </row>
    <row r="1701" spans="2:7">
      <c r="B1701" s="18">
        <v>8022</v>
      </c>
      <c r="C1701" s="17">
        <v>18</v>
      </c>
      <c r="D1701" s="17" t="s">
        <v>3295</v>
      </c>
      <c r="E1701" s="17">
        <v>19</v>
      </c>
      <c r="F1701" s="19">
        <v>6966</v>
      </c>
      <c r="G1701" s="19">
        <v>38414</v>
      </c>
    </row>
    <row r="1702" spans="2:7">
      <c r="B1702" s="18">
        <v>8022</v>
      </c>
      <c r="C1702" s="17">
        <v>19</v>
      </c>
      <c r="D1702" s="17" t="s">
        <v>3296</v>
      </c>
      <c r="E1702" s="17">
        <v>20</v>
      </c>
      <c r="F1702" s="19">
        <v>8498</v>
      </c>
      <c r="G1702" s="19">
        <v>46912</v>
      </c>
    </row>
    <row r="1703" spans="2:7">
      <c r="B1703" s="18">
        <v>8022</v>
      </c>
      <c r="C1703" s="17">
        <v>20</v>
      </c>
      <c r="D1703" s="17" t="s">
        <v>2196</v>
      </c>
      <c r="E1703" s="17">
        <v>21</v>
      </c>
      <c r="F1703" s="19">
        <v>10379</v>
      </c>
      <c r="G1703" s="19">
        <v>57291</v>
      </c>
    </row>
    <row r="1704" spans="2:7">
      <c r="B1704" s="18">
        <v>8022</v>
      </c>
      <c r="C1704" s="17">
        <v>21</v>
      </c>
      <c r="D1704" s="17" t="s">
        <v>2552</v>
      </c>
      <c r="E1704" s="17">
        <v>22</v>
      </c>
      <c r="F1704" s="19">
        <v>12676</v>
      </c>
      <c r="G1704" s="19">
        <v>69967</v>
      </c>
    </row>
    <row r="1705" spans="2:7">
      <c r="B1705" s="18">
        <v>8022</v>
      </c>
      <c r="C1705" s="17">
        <v>22</v>
      </c>
      <c r="D1705" s="17" t="s">
        <v>3297</v>
      </c>
      <c r="E1705" s="17">
        <v>23</v>
      </c>
      <c r="F1705" s="19">
        <v>15468</v>
      </c>
      <c r="G1705" s="19">
        <v>85435</v>
      </c>
    </row>
    <row r="1706" spans="2:7">
      <c r="B1706" s="18">
        <v>8022</v>
      </c>
      <c r="C1706" s="17">
        <v>23</v>
      </c>
      <c r="D1706" s="17" t="s">
        <v>3298</v>
      </c>
      <c r="E1706" s="17">
        <v>24</v>
      </c>
      <c r="F1706" s="19">
        <v>18840</v>
      </c>
      <c r="G1706" s="19">
        <v>104275</v>
      </c>
    </row>
    <row r="1707" spans="2:7">
      <c r="B1707" s="18">
        <v>8022</v>
      </c>
      <c r="C1707" s="17">
        <v>24</v>
      </c>
      <c r="D1707" s="17" t="s">
        <v>3299</v>
      </c>
      <c r="E1707" s="17">
        <v>25</v>
      </c>
      <c r="F1707" s="19">
        <v>22894</v>
      </c>
      <c r="G1707" s="19">
        <v>127169</v>
      </c>
    </row>
    <row r="1708" spans="2:7">
      <c r="B1708" s="18">
        <v>8022</v>
      </c>
      <c r="C1708" s="17">
        <v>25</v>
      </c>
      <c r="D1708" s="17" t="s">
        <v>2915</v>
      </c>
      <c r="E1708" s="17">
        <v>26</v>
      </c>
      <c r="F1708" s="19">
        <v>27737</v>
      </c>
      <c r="G1708" s="19">
        <v>154906</v>
      </c>
    </row>
    <row r="1709" spans="2:7">
      <c r="B1709" s="18">
        <v>8022</v>
      </c>
      <c r="C1709" s="17">
        <v>26</v>
      </c>
      <c r="D1709" s="17" t="s">
        <v>3300</v>
      </c>
      <c r="E1709" s="17">
        <v>27</v>
      </c>
      <c r="F1709" s="19">
        <v>33492</v>
      </c>
      <c r="G1709" s="19">
        <v>188398</v>
      </c>
    </row>
    <row r="1710" spans="2:7">
      <c r="B1710" s="18">
        <v>8022</v>
      </c>
      <c r="C1710" s="17">
        <v>27</v>
      </c>
      <c r="D1710" s="17" t="s">
        <v>3301</v>
      </c>
      <c r="E1710" s="17">
        <v>28</v>
      </c>
      <c r="F1710" s="19">
        <v>40296</v>
      </c>
      <c r="G1710" s="19">
        <v>228694</v>
      </c>
    </row>
    <row r="1711" spans="2:7">
      <c r="B1711" s="18">
        <v>8022</v>
      </c>
      <c r="C1711" s="17">
        <v>28</v>
      </c>
      <c r="D1711" s="17" t="s">
        <v>3302</v>
      </c>
      <c r="E1711" s="17">
        <v>29</v>
      </c>
      <c r="F1711" s="19">
        <v>48296</v>
      </c>
      <c r="G1711" s="19">
        <v>276990</v>
      </c>
    </row>
    <row r="1712" spans="2:7">
      <c r="B1712" s="18">
        <v>8022</v>
      </c>
      <c r="C1712" s="17">
        <v>29</v>
      </c>
      <c r="D1712" s="17" t="s">
        <v>3303</v>
      </c>
      <c r="E1712" s="17">
        <v>30</v>
      </c>
      <c r="F1712" s="19">
        <v>57658</v>
      </c>
      <c r="G1712" s="19">
        <v>334648</v>
      </c>
    </row>
    <row r="1713" spans="2:7">
      <c r="B1713" s="18">
        <v>8022</v>
      </c>
      <c r="C1713" s="17">
        <v>30</v>
      </c>
      <c r="D1713" s="17" t="s">
        <v>3304</v>
      </c>
      <c r="E1713" s="17">
        <v>31</v>
      </c>
      <c r="F1713" s="19">
        <v>68561</v>
      </c>
      <c r="G1713" s="19">
        <v>403209</v>
      </c>
    </row>
    <row r="1714" spans="2:7">
      <c r="B1714" s="18">
        <v>8022</v>
      </c>
      <c r="C1714" s="17">
        <v>31</v>
      </c>
      <c r="D1714" s="17" t="s">
        <v>3305</v>
      </c>
      <c r="E1714" s="17">
        <v>32</v>
      </c>
      <c r="F1714" s="19">
        <v>81202</v>
      </c>
      <c r="G1714" s="19">
        <v>484411</v>
      </c>
    </row>
    <row r="1715" spans="2:7">
      <c r="B1715" s="18">
        <v>8022</v>
      </c>
      <c r="C1715" s="17">
        <v>32</v>
      </c>
      <c r="D1715" s="17" t="s">
        <v>3306</v>
      </c>
      <c r="E1715" s="17">
        <v>33</v>
      </c>
      <c r="F1715" s="19">
        <v>95792</v>
      </c>
      <c r="G1715" s="19">
        <v>580203</v>
      </c>
    </row>
    <row r="1716" spans="2:7">
      <c r="B1716" s="18">
        <v>8022</v>
      </c>
      <c r="C1716" s="17">
        <v>33</v>
      </c>
      <c r="D1716" s="17" t="s">
        <v>2920</v>
      </c>
      <c r="E1716" s="17">
        <v>34</v>
      </c>
      <c r="F1716" s="19">
        <v>112566</v>
      </c>
      <c r="G1716" s="19">
        <v>692769</v>
      </c>
    </row>
    <row r="1717" spans="2:7">
      <c r="B1717" s="18">
        <v>8022</v>
      </c>
      <c r="C1717" s="17">
        <v>34</v>
      </c>
      <c r="D1717" s="17" t="s">
        <v>2219</v>
      </c>
      <c r="E1717" s="17">
        <v>35</v>
      </c>
      <c r="F1717" s="19">
        <v>131773</v>
      </c>
      <c r="G1717" s="19">
        <v>824542</v>
      </c>
    </row>
    <row r="1718" spans="2:7">
      <c r="B1718" s="18">
        <v>8022</v>
      </c>
      <c r="C1718" s="17">
        <v>35</v>
      </c>
      <c r="D1718" s="17" t="s">
        <v>3307</v>
      </c>
      <c r="E1718" s="17">
        <v>36</v>
      </c>
      <c r="F1718" s="19">
        <v>153685</v>
      </c>
      <c r="G1718" s="19">
        <v>978227</v>
      </c>
    </row>
    <row r="1719" spans="2:7">
      <c r="B1719" s="18">
        <v>8022</v>
      </c>
      <c r="C1719" s="17">
        <v>36</v>
      </c>
      <c r="D1719" s="17" t="s">
        <v>3308</v>
      </c>
      <c r="E1719" s="17">
        <v>37</v>
      </c>
      <c r="F1719" s="19">
        <v>178593</v>
      </c>
      <c r="G1719" s="19">
        <v>1156820</v>
      </c>
    </row>
    <row r="1720" spans="2:7">
      <c r="B1720" s="18">
        <v>8022</v>
      </c>
      <c r="C1720" s="17">
        <v>37</v>
      </c>
      <c r="D1720" s="17" t="s">
        <v>2224</v>
      </c>
      <c r="E1720" s="17">
        <v>38</v>
      </c>
      <c r="F1720" s="19">
        <v>206813</v>
      </c>
      <c r="G1720" s="19">
        <v>1363633</v>
      </c>
    </row>
    <row r="1721" spans="2:7">
      <c r="B1721" s="18">
        <v>8022</v>
      </c>
      <c r="C1721" s="17">
        <v>38</v>
      </c>
      <c r="D1721" s="17" t="s">
        <v>3309</v>
      </c>
      <c r="E1721" s="17">
        <v>39</v>
      </c>
      <c r="F1721" s="19">
        <v>238680</v>
      </c>
      <c r="G1721" s="19">
        <v>1602313</v>
      </c>
    </row>
    <row r="1722" spans="2:7">
      <c r="B1722" s="18">
        <v>8022</v>
      </c>
      <c r="C1722" s="17">
        <v>39</v>
      </c>
      <c r="D1722" s="17" t="s">
        <v>3310</v>
      </c>
      <c r="E1722" s="17">
        <v>40</v>
      </c>
      <c r="F1722" s="19">
        <v>274555</v>
      </c>
      <c r="G1722" s="19">
        <v>1876868</v>
      </c>
    </row>
    <row r="1723" spans="2:7">
      <c r="B1723" s="18">
        <v>8022</v>
      </c>
      <c r="C1723" s="17">
        <v>40</v>
      </c>
      <c r="D1723" s="17" t="s">
        <v>3311</v>
      </c>
      <c r="E1723" s="17">
        <v>41</v>
      </c>
      <c r="F1723" s="19">
        <v>314824</v>
      </c>
      <c r="G1723" s="19">
        <v>2191692</v>
      </c>
    </row>
    <row r="1724" spans="2:7">
      <c r="B1724" s="18">
        <v>8022</v>
      </c>
      <c r="C1724" s="17">
        <v>41</v>
      </c>
      <c r="D1724" s="17" t="s">
        <v>2923</v>
      </c>
      <c r="E1724" s="17">
        <v>42</v>
      </c>
      <c r="F1724" s="19">
        <v>359899</v>
      </c>
      <c r="G1724" s="19">
        <v>2551591</v>
      </c>
    </row>
    <row r="1725" spans="2:7">
      <c r="B1725" s="18">
        <v>8022</v>
      </c>
      <c r="C1725" s="17">
        <v>42</v>
      </c>
      <c r="D1725" s="17" t="s">
        <v>3312</v>
      </c>
      <c r="E1725" s="17">
        <v>43</v>
      </c>
      <c r="F1725" s="19">
        <v>410217</v>
      </c>
      <c r="G1725" s="19">
        <v>2961808</v>
      </c>
    </row>
    <row r="1726" spans="2:7">
      <c r="B1726" s="18">
        <v>8022</v>
      </c>
      <c r="C1726" s="17">
        <v>43</v>
      </c>
      <c r="D1726" s="17" t="s">
        <v>3313</v>
      </c>
      <c r="E1726" s="17">
        <v>44</v>
      </c>
      <c r="F1726" s="19">
        <v>466246</v>
      </c>
      <c r="G1726" s="19">
        <v>3428054</v>
      </c>
    </row>
    <row r="1727" spans="2:7">
      <c r="B1727" s="18">
        <v>8022</v>
      </c>
      <c r="C1727" s="17">
        <v>44</v>
      </c>
      <c r="D1727" s="17" t="s">
        <v>2576</v>
      </c>
      <c r="E1727" s="17">
        <v>45</v>
      </c>
      <c r="F1727" s="19">
        <v>528479</v>
      </c>
      <c r="G1727" s="19">
        <v>3956533</v>
      </c>
    </row>
    <row r="1728" spans="2:7">
      <c r="B1728" s="18">
        <v>8022</v>
      </c>
      <c r="C1728" s="17">
        <v>45</v>
      </c>
      <c r="D1728" s="17" t="s">
        <v>3314</v>
      </c>
      <c r="E1728" s="17">
        <v>46</v>
      </c>
      <c r="F1728" s="19">
        <v>597444</v>
      </c>
      <c r="G1728" s="19">
        <v>4553977</v>
      </c>
    </row>
    <row r="1729" spans="2:7">
      <c r="B1729" s="18">
        <v>8022</v>
      </c>
      <c r="C1729" s="17">
        <v>46</v>
      </c>
      <c r="D1729" s="17" t="s">
        <v>3315</v>
      </c>
      <c r="E1729" s="17">
        <v>47</v>
      </c>
      <c r="F1729" s="19">
        <v>673695</v>
      </c>
      <c r="G1729" s="19">
        <v>5227672</v>
      </c>
    </row>
    <row r="1730" spans="2:7">
      <c r="B1730" s="18">
        <v>8022</v>
      </c>
      <c r="C1730" s="17">
        <v>47</v>
      </c>
      <c r="D1730" s="17" t="s">
        <v>3316</v>
      </c>
      <c r="E1730" s="17">
        <v>48</v>
      </c>
      <c r="F1730" s="19">
        <v>757820</v>
      </c>
      <c r="G1730" s="19">
        <v>5985492</v>
      </c>
    </row>
    <row r="1731" spans="2:7">
      <c r="B1731" s="18">
        <v>8022</v>
      </c>
      <c r="C1731" s="17">
        <v>48</v>
      </c>
      <c r="D1731" s="17" t="s">
        <v>3317</v>
      </c>
      <c r="E1731" s="17">
        <v>49</v>
      </c>
      <c r="F1731" s="19">
        <v>850444</v>
      </c>
      <c r="G1731" s="19">
        <v>6835936</v>
      </c>
    </row>
    <row r="1732" spans="2:7">
      <c r="B1732" s="18">
        <v>8022</v>
      </c>
      <c r="C1732" s="17">
        <v>49</v>
      </c>
      <c r="D1732" s="17" t="s">
        <v>2928</v>
      </c>
      <c r="E1732" s="17">
        <v>50</v>
      </c>
      <c r="F1732" s="19">
        <v>952220</v>
      </c>
      <c r="G1732" s="19">
        <v>7788156</v>
      </c>
    </row>
    <row r="1733" spans="2:7">
      <c r="B1733" s="18">
        <v>8022</v>
      </c>
      <c r="C1733" s="17">
        <v>50</v>
      </c>
      <c r="D1733" s="17" t="s">
        <v>3318</v>
      </c>
      <c r="E1733" s="17">
        <v>51</v>
      </c>
      <c r="F1733" s="19">
        <v>1063841</v>
      </c>
      <c r="G1733" s="19">
        <v>8851997</v>
      </c>
    </row>
    <row r="1734" spans="2:7">
      <c r="B1734" s="18">
        <v>8022</v>
      </c>
      <c r="C1734" s="17">
        <v>51</v>
      </c>
      <c r="D1734" s="17" t="s">
        <v>3319</v>
      </c>
      <c r="E1734" s="22">
        <v>52</v>
      </c>
      <c r="F1734" s="19">
        <v>1186035</v>
      </c>
      <c r="G1734" s="19">
        <v>10038032</v>
      </c>
    </row>
    <row r="1735" spans="2:7">
      <c r="B1735" s="18">
        <v>8022</v>
      </c>
      <c r="C1735" s="17">
        <v>52</v>
      </c>
      <c r="D1735" s="17" t="s">
        <v>3320</v>
      </c>
      <c r="E1735" s="22">
        <v>53</v>
      </c>
      <c r="F1735" s="19">
        <v>1319566</v>
      </c>
      <c r="G1735" s="19">
        <v>11357598</v>
      </c>
    </row>
    <row r="1736" spans="2:7">
      <c r="B1736" s="18">
        <v>8022</v>
      </c>
      <c r="C1736" s="17">
        <v>53</v>
      </c>
      <c r="D1736" s="17" t="s">
        <v>3321</v>
      </c>
      <c r="E1736" s="22">
        <v>54</v>
      </c>
      <c r="F1736" s="19">
        <v>1465241</v>
      </c>
      <c r="G1736" s="19">
        <v>12822839</v>
      </c>
    </row>
    <row r="1737" spans="2:7">
      <c r="B1737" s="18">
        <v>8022</v>
      </c>
      <c r="C1737" s="17">
        <v>54</v>
      </c>
      <c r="D1737" s="17" t="s">
        <v>3322</v>
      </c>
      <c r="E1737" s="22">
        <v>55</v>
      </c>
      <c r="F1737" s="19">
        <v>1623903</v>
      </c>
      <c r="G1737" s="19">
        <v>14446742</v>
      </c>
    </row>
    <row r="1738" spans="2:7">
      <c r="B1738" s="18">
        <v>8022</v>
      </c>
      <c r="C1738" s="17">
        <v>55</v>
      </c>
      <c r="D1738" s="17" t="s">
        <v>3323</v>
      </c>
      <c r="E1738" s="22">
        <v>56</v>
      </c>
      <c r="F1738" s="19">
        <v>1796439</v>
      </c>
      <c r="G1738" s="19">
        <v>16243181</v>
      </c>
    </row>
    <row r="1739" spans="2:7">
      <c r="B1739" s="18">
        <v>8022</v>
      </c>
      <c r="C1739" s="17">
        <v>56</v>
      </c>
      <c r="D1739" s="17" t="s">
        <v>3324</v>
      </c>
      <c r="E1739" s="22">
        <v>57</v>
      </c>
      <c r="F1739" s="19">
        <v>1983777</v>
      </c>
      <c r="G1739" s="19">
        <v>18226958</v>
      </c>
    </row>
    <row r="1740" spans="2:7">
      <c r="B1740" s="18">
        <v>8022</v>
      </c>
      <c r="C1740" s="17">
        <v>57</v>
      </c>
      <c r="D1740" s="17" t="s">
        <v>2933</v>
      </c>
      <c r="E1740" s="22">
        <v>58</v>
      </c>
      <c r="F1740" s="19">
        <v>2186888</v>
      </c>
      <c r="G1740" s="19">
        <v>20413846</v>
      </c>
    </row>
    <row r="1741" spans="2:7">
      <c r="B1741" s="18">
        <v>8022</v>
      </c>
      <c r="C1741" s="17">
        <v>58</v>
      </c>
      <c r="D1741" s="17" t="s">
        <v>3325</v>
      </c>
      <c r="E1741" s="22">
        <v>59</v>
      </c>
      <c r="F1741" s="19">
        <v>2406789</v>
      </c>
      <c r="G1741" s="19">
        <v>22820635</v>
      </c>
    </row>
    <row r="1742" spans="2:7">
      <c r="B1742" s="18">
        <v>8022</v>
      </c>
      <c r="C1742" s="17">
        <v>59</v>
      </c>
      <c r="D1742" s="17" t="s">
        <v>2593</v>
      </c>
      <c r="E1742" s="22">
        <v>60</v>
      </c>
      <c r="F1742" s="19">
        <v>2644541</v>
      </c>
      <c r="G1742" s="19">
        <v>25465176</v>
      </c>
    </row>
    <row r="1743" spans="2:7">
      <c r="B1743" s="18">
        <v>8022</v>
      </c>
      <c r="C1743" s="17">
        <v>60</v>
      </c>
      <c r="D1743" s="17" t="s">
        <v>3326</v>
      </c>
      <c r="E1743" s="22">
        <v>61</v>
      </c>
      <c r="F1743" s="19">
        <v>2901257</v>
      </c>
      <c r="G1743" s="19">
        <v>28366433</v>
      </c>
    </row>
    <row r="1744" spans="2:7">
      <c r="B1744" s="18">
        <v>8022</v>
      </c>
      <c r="C1744" s="17">
        <v>61</v>
      </c>
      <c r="D1744" s="17" t="s">
        <v>3327</v>
      </c>
      <c r="E1744" s="22">
        <v>62</v>
      </c>
      <c r="F1744" s="19">
        <v>3178093</v>
      </c>
      <c r="G1744" s="19">
        <v>31544526</v>
      </c>
    </row>
    <row r="1745" spans="2:7">
      <c r="B1745" s="18">
        <v>8022</v>
      </c>
      <c r="C1745" s="17">
        <v>62</v>
      </c>
      <c r="D1745" s="17" t="s">
        <v>3328</v>
      </c>
      <c r="E1745" s="22">
        <v>63</v>
      </c>
      <c r="F1745" s="19">
        <v>3476257</v>
      </c>
      <c r="G1745" s="19">
        <v>35020783</v>
      </c>
    </row>
    <row r="1746" spans="2:7">
      <c r="B1746" s="18">
        <v>8022</v>
      </c>
      <c r="C1746" s="17">
        <v>63</v>
      </c>
      <c r="D1746" s="17" t="s">
        <v>3329</v>
      </c>
      <c r="E1746" s="22">
        <v>64</v>
      </c>
      <c r="F1746" s="19">
        <v>3797008</v>
      </c>
      <c r="G1746" s="19">
        <v>38817791</v>
      </c>
    </row>
    <row r="1747" spans="2:7">
      <c r="B1747" s="18">
        <v>8022</v>
      </c>
      <c r="C1747" s="17">
        <v>64</v>
      </c>
      <c r="D1747" s="17" t="s">
        <v>3330</v>
      </c>
      <c r="E1747" s="22">
        <v>65</v>
      </c>
      <c r="F1747" s="19">
        <v>4141658</v>
      </c>
      <c r="G1747" s="19">
        <v>42959449</v>
      </c>
    </row>
    <row r="1748" spans="2:7">
      <c r="B1748" s="18">
        <v>8022</v>
      </c>
      <c r="C1748" s="17">
        <v>65</v>
      </c>
      <c r="D1748" s="17" t="s">
        <v>3331</v>
      </c>
      <c r="E1748" s="22">
        <v>66</v>
      </c>
      <c r="F1748" s="19">
        <v>4511570</v>
      </c>
      <c r="G1748" s="19">
        <v>47471019</v>
      </c>
    </row>
    <row r="1749" spans="2:7">
      <c r="B1749" s="18">
        <v>8022</v>
      </c>
      <c r="C1749" s="17">
        <v>66</v>
      </c>
      <c r="D1749" s="17" t="s">
        <v>3332</v>
      </c>
      <c r="E1749" s="22">
        <v>67</v>
      </c>
      <c r="F1749" s="19">
        <v>4908164</v>
      </c>
      <c r="G1749" s="19">
        <v>52379183</v>
      </c>
    </row>
    <row r="1750" spans="2:7">
      <c r="B1750" s="18">
        <v>8022</v>
      </c>
      <c r="C1750" s="17">
        <v>67</v>
      </c>
      <c r="D1750" s="17" t="s">
        <v>3333</v>
      </c>
      <c r="E1750" s="22">
        <v>68</v>
      </c>
      <c r="F1750" s="19">
        <v>5332916</v>
      </c>
      <c r="G1750" s="19">
        <v>57712099</v>
      </c>
    </row>
    <row r="1751" spans="2:7">
      <c r="B1751" s="18">
        <v>8022</v>
      </c>
      <c r="C1751" s="17">
        <v>68</v>
      </c>
      <c r="D1751" s="17" t="s">
        <v>3334</v>
      </c>
      <c r="E1751" s="22">
        <v>69</v>
      </c>
      <c r="F1751" s="19">
        <v>5787359</v>
      </c>
      <c r="G1751" s="19">
        <v>63499458</v>
      </c>
    </row>
    <row r="1752" spans="2:7">
      <c r="B1752" s="18">
        <v>8022</v>
      </c>
      <c r="C1752" s="17">
        <v>69</v>
      </c>
      <c r="D1752" s="17" t="s">
        <v>3335</v>
      </c>
      <c r="E1752" s="22">
        <v>70</v>
      </c>
      <c r="F1752" s="19">
        <v>6273084</v>
      </c>
      <c r="G1752" s="19">
        <v>69772542</v>
      </c>
    </row>
    <row r="1753" spans="2:7">
      <c r="B1753" s="18">
        <v>8022</v>
      </c>
      <c r="C1753" s="17">
        <v>70</v>
      </c>
      <c r="D1753" s="17" t="s">
        <v>3336</v>
      </c>
      <c r="E1753" s="22">
        <v>71</v>
      </c>
      <c r="F1753" s="19">
        <v>6791743</v>
      </c>
      <c r="G1753" s="19">
        <v>76564285</v>
      </c>
    </row>
    <row r="1754" spans="2:7">
      <c r="B1754" s="18">
        <v>8022</v>
      </c>
      <c r="C1754" s="17">
        <v>71</v>
      </c>
      <c r="D1754" s="17" t="s">
        <v>3337</v>
      </c>
      <c r="E1754" s="22">
        <v>72</v>
      </c>
      <c r="F1754" s="19">
        <v>7345048</v>
      </c>
      <c r="G1754" s="19">
        <v>83909333</v>
      </c>
    </row>
    <row r="1755" spans="2:7">
      <c r="B1755" s="18">
        <v>8022</v>
      </c>
      <c r="C1755" s="17">
        <v>72</v>
      </c>
      <c r="D1755" s="17" t="s">
        <v>3338</v>
      </c>
      <c r="E1755" s="22">
        <v>73</v>
      </c>
      <c r="F1755" s="19">
        <v>7934776</v>
      </c>
      <c r="G1755" s="19">
        <v>91844109</v>
      </c>
    </row>
    <row r="1756" spans="2:7">
      <c r="B1756" s="18">
        <v>8022</v>
      </c>
      <c r="C1756" s="17">
        <v>73</v>
      </c>
      <c r="D1756" s="17" t="s">
        <v>3339</v>
      </c>
      <c r="E1756" s="22">
        <v>74</v>
      </c>
      <c r="F1756" s="19">
        <v>8562766</v>
      </c>
      <c r="G1756" s="19">
        <v>100406875</v>
      </c>
    </row>
    <row r="1757" spans="2:7">
      <c r="B1757" s="18">
        <v>8022</v>
      </c>
      <c r="C1757" s="17">
        <v>74</v>
      </c>
      <c r="D1757" s="17" t="s">
        <v>3340</v>
      </c>
      <c r="E1757" s="22">
        <v>75</v>
      </c>
      <c r="F1757" s="19">
        <v>9230923</v>
      </c>
      <c r="G1757" s="19">
        <v>109637798</v>
      </c>
    </row>
    <row r="1758" spans="2:7">
      <c r="B1758" s="18">
        <v>8022</v>
      </c>
      <c r="C1758" s="17">
        <v>75</v>
      </c>
      <c r="D1758" s="17" t="s">
        <v>3341</v>
      </c>
      <c r="E1758" s="22">
        <v>76</v>
      </c>
      <c r="F1758" s="19">
        <v>9941221</v>
      </c>
      <c r="G1758" s="19">
        <v>119579019</v>
      </c>
    </row>
    <row r="1759" spans="2:7">
      <c r="B1759" s="18">
        <v>8022</v>
      </c>
      <c r="C1759" s="17">
        <v>76</v>
      </c>
      <c r="D1759" s="17" t="s">
        <v>3342</v>
      </c>
      <c r="E1759" s="22">
        <v>77</v>
      </c>
      <c r="F1759" s="19">
        <v>10695699</v>
      </c>
      <c r="G1759" s="19">
        <v>130274718</v>
      </c>
    </row>
    <row r="1760" spans="2:7">
      <c r="B1760" s="18">
        <v>8022</v>
      </c>
      <c r="C1760" s="17">
        <v>77</v>
      </c>
      <c r="D1760" s="17" t="s">
        <v>3343</v>
      </c>
      <c r="E1760" s="22">
        <v>78</v>
      </c>
      <c r="F1760" s="19">
        <v>11496467</v>
      </c>
      <c r="G1760" s="19">
        <v>141771185</v>
      </c>
    </row>
    <row r="1761" spans="2:7">
      <c r="B1761" s="18">
        <v>8022</v>
      </c>
      <c r="C1761" s="17">
        <v>78</v>
      </c>
      <c r="D1761" s="17" t="s">
        <v>3344</v>
      </c>
      <c r="E1761" s="22">
        <v>79</v>
      </c>
      <c r="F1761" s="19">
        <v>12345707</v>
      </c>
      <c r="G1761" s="19">
        <v>154116892</v>
      </c>
    </row>
    <row r="1762" spans="2:7">
      <c r="B1762" s="18">
        <v>8022</v>
      </c>
      <c r="C1762" s="17">
        <v>79</v>
      </c>
      <c r="D1762" s="17" t="s">
        <v>3345</v>
      </c>
      <c r="E1762" s="22">
        <v>80</v>
      </c>
      <c r="F1762" s="19">
        <v>13245672</v>
      </c>
      <c r="G1762" s="19">
        <v>167362564</v>
      </c>
    </row>
    <row r="1763" spans="2:7">
      <c r="B1763" s="18">
        <v>8022</v>
      </c>
      <c r="C1763" s="17">
        <v>80</v>
      </c>
      <c r="D1763" s="17" t="s">
        <v>3346</v>
      </c>
      <c r="E1763" s="22" t="s">
        <v>1762</v>
      </c>
      <c r="F1763" s="19">
        <v>14198688</v>
      </c>
      <c r="G1763" s="19">
        <v>181561252</v>
      </c>
    </row>
    <row r="1764" spans="2:7">
      <c r="B1764" s="18">
        <v>8023</v>
      </c>
      <c r="C1764" s="17">
        <v>1</v>
      </c>
      <c r="D1764" s="17" t="s">
        <v>3347</v>
      </c>
      <c r="E1764" s="17">
        <v>2</v>
      </c>
      <c r="F1764" s="19">
        <v>0</v>
      </c>
      <c r="G1764" s="19">
        <v>0</v>
      </c>
    </row>
    <row r="1765" spans="2:7">
      <c r="B1765" s="18">
        <v>8023</v>
      </c>
      <c r="C1765" s="17">
        <v>2</v>
      </c>
      <c r="D1765" s="17" t="s">
        <v>3348</v>
      </c>
      <c r="E1765" s="17">
        <v>3</v>
      </c>
      <c r="F1765" s="19">
        <v>121</v>
      </c>
      <c r="G1765" s="19">
        <v>121</v>
      </c>
    </row>
    <row r="1766" spans="2:7">
      <c r="B1766" s="18">
        <v>8023</v>
      </c>
      <c r="C1766" s="17">
        <v>3</v>
      </c>
      <c r="D1766" s="17" t="s">
        <v>2245</v>
      </c>
      <c r="E1766" s="17">
        <v>4</v>
      </c>
      <c r="F1766" s="19">
        <v>253</v>
      </c>
      <c r="G1766" s="19">
        <v>374</v>
      </c>
    </row>
    <row r="1767" spans="2:7">
      <c r="B1767" s="18">
        <v>8023</v>
      </c>
      <c r="C1767" s="17">
        <v>4</v>
      </c>
      <c r="D1767" s="17" t="s">
        <v>3349</v>
      </c>
      <c r="E1767" s="17">
        <v>5</v>
      </c>
      <c r="F1767" s="19">
        <v>396</v>
      </c>
      <c r="G1767" s="19">
        <v>770</v>
      </c>
    </row>
    <row r="1768" spans="2:7">
      <c r="B1768" s="18">
        <v>8023</v>
      </c>
      <c r="C1768" s="17">
        <v>5</v>
      </c>
      <c r="D1768" s="17" t="s">
        <v>3350</v>
      </c>
      <c r="E1768" s="17">
        <v>6</v>
      </c>
      <c r="F1768" s="19">
        <v>551</v>
      </c>
      <c r="G1768" s="19">
        <v>1321</v>
      </c>
    </row>
    <row r="1769" spans="2:7">
      <c r="B1769" s="18">
        <v>8023</v>
      </c>
      <c r="C1769" s="17">
        <v>6</v>
      </c>
      <c r="D1769" s="17" t="s">
        <v>2612</v>
      </c>
      <c r="E1769" s="17">
        <v>7</v>
      </c>
      <c r="F1769" s="19">
        <v>719</v>
      </c>
      <c r="G1769" s="19">
        <v>2040</v>
      </c>
    </row>
    <row r="1770" spans="2:7">
      <c r="B1770" s="18">
        <v>8023</v>
      </c>
      <c r="C1770" s="17">
        <v>7</v>
      </c>
      <c r="D1770" s="17" t="s">
        <v>3351</v>
      </c>
      <c r="E1770" s="17">
        <v>8</v>
      </c>
      <c r="F1770" s="19">
        <v>903</v>
      </c>
      <c r="G1770" s="19">
        <v>2943</v>
      </c>
    </row>
    <row r="1771" spans="2:7">
      <c r="B1771" s="18">
        <v>8023</v>
      </c>
      <c r="C1771" s="17">
        <v>8</v>
      </c>
      <c r="D1771" s="17" t="s">
        <v>3352</v>
      </c>
      <c r="E1771" s="17">
        <v>9</v>
      </c>
      <c r="F1771" s="19">
        <v>1106</v>
      </c>
      <c r="G1771" s="19">
        <v>4049</v>
      </c>
    </row>
    <row r="1772" spans="2:7">
      <c r="B1772" s="18">
        <v>8023</v>
      </c>
      <c r="C1772" s="17">
        <v>9</v>
      </c>
      <c r="D1772" s="17" t="s">
        <v>3353</v>
      </c>
      <c r="E1772" s="17">
        <v>10</v>
      </c>
      <c r="F1772" s="19">
        <v>1335</v>
      </c>
      <c r="G1772" s="19">
        <v>5384</v>
      </c>
    </row>
    <row r="1773" spans="2:7">
      <c r="B1773" s="18">
        <v>8023</v>
      </c>
      <c r="C1773" s="17">
        <v>10</v>
      </c>
      <c r="D1773" s="17" t="s">
        <v>3354</v>
      </c>
      <c r="E1773" s="17">
        <v>11</v>
      </c>
      <c r="F1773" s="19">
        <v>1598</v>
      </c>
      <c r="G1773" s="19">
        <v>6982</v>
      </c>
    </row>
    <row r="1774" spans="2:7">
      <c r="B1774" s="18">
        <v>8023</v>
      </c>
      <c r="C1774" s="17">
        <v>11</v>
      </c>
      <c r="D1774" s="17" t="s">
        <v>3355</v>
      </c>
      <c r="E1774" s="17">
        <v>12</v>
      </c>
      <c r="F1774" s="19">
        <v>1905</v>
      </c>
      <c r="G1774" s="19">
        <v>8887</v>
      </c>
    </row>
    <row r="1775" spans="2:7">
      <c r="B1775" s="18">
        <v>8023</v>
      </c>
      <c r="C1775" s="17">
        <v>12</v>
      </c>
      <c r="D1775" s="17" t="s">
        <v>3356</v>
      </c>
      <c r="E1775" s="17">
        <v>13</v>
      </c>
      <c r="F1775" s="19">
        <v>2269</v>
      </c>
      <c r="G1775" s="19">
        <v>11156</v>
      </c>
    </row>
    <row r="1776" spans="2:7">
      <c r="B1776" s="18">
        <v>8023</v>
      </c>
      <c r="C1776" s="17">
        <v>13</v>
      </c>
      <c r="D1776" s="17" t="s">
        <v>3357</v>
      </c>
      <c r="E1776" s="17">
        <v>14</v>
      </c>
      <c r="F1776" s="19">
        <v>2708</v>
      </c>
      <c r="G1776" s="19">
        <v>13864</v>
      </c>
    </row>
    <row r="1777" spans="2:7">
      <c r="B1777" s="18">
        <v>8023</v>
      </c>
      <c r="C1777" s="17">
        <v>14</v>
      </c>
      <c r="D1777" s="17" t="s">
        <v>3358</v>
      </c>
      <c r="E1777" s="17">
        <v>15</v>
      </c>
      <c r="F1777" s="19">
        <v>3243</v>
      </c>
      <c r="G1777" s="19">
        <v>17107</v>
      </c>
    </row>
    <row r="1778" spans="2:7">
      <c r="B1778" s="18">
        <v>8023</v>
      </c>
      <c r="C1778" s="17">
        <v>15</v>
      </c>
      <c r="D1778" s="17" t="s">
        <v>3359</v>
      </c>
      <c r="E1778" s="17">
        <v>16</v>
      </c>
      <c r="F1778" s="19">
        <v>3902</v>
      </c>
      <c r="G1778" s="19">
        <v>21009</v>
      </c>
    </row>
    <row r="1779" spans="2:7">
      <c r="B1779" s="18">
        <v>8023</v>
      </c>
      <c r="C1779" s="17">
        <v>16</v>
      </c>
      <c r="D1779" s="17" t="s">
        <v>3360</v>
      </c>
      <c r="E1779" s="17">
        <v>17</v>
      </c>
      <c r="F1779" s="19">
        <v>4716</v>
      </c>
      <c r="G1779" s="19">
        <v>25725</v>
      </c>
    </row>
    <row r="1780" spans="2:7">
      <c r="B1780" s="18">
        <v>8023</v>
      </c>
      <c r="C1780" s="17">
        <v>17</v>
      </c>
      <c r="D1780" s="17" t="s">
        <v>3361</v>
      </c>
      <c r="E1780" s="17">
        <v>18</v>
      </c>
      <c r="F1780" s="19">
        <v>5723</v>
      </c>
      <c r="G1780" s="19">
        <v>31448</v>
      </c>
    </row>
    <row r="1781" spans="2:7">
      <c r="B1781" s="18">
        <v>8023</v>
      </c>
      <c r="C1781" s="17">
        <v>18</v>
      </c>
      <c r="D1781" s="17" t="s">
        <v>3362</v>
      </c>
      <c r="E1781" s="17">
        <v>19</v>
      </c>
      <c r="F1781" s="19">
        <v>6966</v>
      </c>
      <c r="G1781" s="19">
        <v>38414</v>
      </c>
    </row>
    <row r="1782" spans="2:7">
      <c r="B1782" s="18">
        <v>8023</v>
      </c>
      <c r="C1782" s="17">
        <v>19</v>
      </c>
      <c r="D1782" s="17" t="s">
        <v>3363</v>
      </c>
      <c r="E1782" s="17">
        <v>20</v>
      </c>
      <c r="F1782" s="19">
        <v>8498</v>
      </c>
      <c r="G1782" s="19">
        <v>46912</v>
      </c>
    </row>
    <row r="1783" spans="2:7">
      <c r="B1783" s="18">
        <v>8023</v>
      </c>
      <c r="C1783" s="17">
        <v>20</v>
      </c>
      <c r="D1783" s="17" t="s">
        <v>2270</v>
      </c>
      <c r="E1783" s="17">
        <v>21</v>
      </c>
      <c r="F1783" s="19">
        <v>10379</v>
      </c>
      <c r="G1783" s="19">
        <v>57291</v>
      </c>
    </row>
    <row r="1784" spans="2:7">
      <c r="B1784" s="18">
        <v>8023</v>
      </c>
      <c r="C1784" s="17">
        <v>21</v>
      </c>
      <c r="D1784" s="17" t="s">
        <v>2628</v>
      </c>
      <c r="E1784" s="17">
        <v>22</v>
      </c>
      <c r="F1784" s="19">
        <v>12676</v>
      </c>
      <c r="G1784" s="19">
        <v>69967</v>
      </c>
    </row>
    <row r="1785" spans="2:7">
      <c r="B1785" s="18">
        <v>8023</v>
      </c>
      <c r="C1785" s="17">
        <v>22</v>
      </c>
      <c r="D1785" s="17" t="s">
        <v>3364</v>
      </c>
      <c r="E1785" s="17">
        <v>23</v>
      </c>
      <c r="F1785" s="19">
        <v>15468</v>
      </c>
      <c r="G1785" s="19">
        <v>85435</v>
      </c>
    </row>
    <row r="1786" spans="2:7">
      <c r="B1786" s="18">
        <v>8023</v>
      </c>
      <c r="C1786" s="17">
        <v>23</v>
      </c>
      <c r="D1786" s="17" t="s">
        <v>3365</v>
      </c>
      <c r="E1786" s="17">
        <v>24</v>
      </c>
      <c r="F1786" s="19">
        <v>18840</v>
      </c>
      <c r="G1786" s="19">
        <v>104275</v>
      </c>
    </row>
    <row r="1787" spans="2:7">
      <c r="B1787" s="18">
        <v>8023</v>
      </c>
      <c r="C1787" s="17">
        <v>24</v>
      </c>
      <c r="D1787" s="17" t="s">
        <v>3366</v>
      </c>
      <c r="E1787" s="17">
        <v>25</v>
      </c>
      <c r="F1787" s="19">
        <v>22894</v>
      </c>
      <c r="G1787" s="19">
        <v>127169</v>
      </c>
    </row>
    <row r="1788" spans="2:7">
      <c r="B1788" s="18">
        <v>8023</v>
      </c>
      <c r="C1788" s="17">
        <v>25</v>
      </c>
      <c r="D1788" s="17" t="s">
        <v>2991</v>
      </c>
      <c r="E1788" s="17">
        <v>26</v>
      </c>
      <c r="F1788" s="19">
        <v>27737</v>
      </c>
      <c r="G1788" s="19">
        <v>154906</v>
      </c>
    </row>
    <row r="1789" spans="2:7">
      <c r="B1789" s="18">
        <v>8023</v>
      </c>
      <c r="C1789" s="17">
        <v>26</v>
      </c>
      <c r="D1789" s="17" t="s">
        <v>3367</v>
      </c>
      <c r="E1789" s="17">
        <v>27</v>
      </c>
      <c r="F1789" s="19">
        <v>33492</v>
      </c>
      <c r="G1789" s="19">
        <v>188398</v>
      </c>
    </row>
    <row r="1790" spans="2:7">
      <c r="B1790" s="18">
        <v>8023</v>
      </c>
      <c r="C1790" s="17">
        <v>27</v>
      </c>
      <c r="D1790" s="17" t="s">
        <v>3368</v>
      </c>
      <c r="E1790" s="17">
        <v>28</v>
      </c>
      <c r="F1790" s="19">
        <v>40296</v>
      </c>
      <c r="G1790" s="19">
        <v>228694</v>
      </c>
    </row>
    <row r="1791" spans="2:7">
      <c r="B1791" s="18">
        <v>8023</v>
      </c>
      <c r="C1791" s="17">
        <v>28</v>
      </c>
      <c r="D1791" s="17" t="s">
        <v>3369</v>
      </c>
      <c r="E1791" s="17">
        <v>29</v>
      </c>
      <c r="F1791" s="19">
        <v>48296</v>
      </c>
      <c r="G1791" s="19">
        <v>276990</v>
      </c>
    </row>
    <row r="1792" spans="2:7">
      <c r="B1792" s="18">
        <v>8023</v>
      </c>
      <c r="C1792" s="17">
        <v>29</v>
      </c>
      <c r="D1792" s="17" t="s">
        <v>3370</v>
      </c>
      <c r="E1792" s="17">
        <v>30</v>
      </c>
      <c r="F1792" s="19">
        <v>57658</v>
      </c>
      <c r="G1792" s="19">
        <v>334648</v>
      </c>
    </row>
    <row r="1793" spans="2:7">
      <c r="B1793" s="18">
        <v>8023</v>
      </c>
      <c r="C1793" s="17">
        <v>30</v>
      </c>
      <c r="D1793" s="17" t="s">
        <v>3371</v>
      </c>
      <c r="E1793" s="17">
        <v>31</v>
      </c>
      <c r="F1793" s="19">
        <v>68561</v>
      </c>
      <c r="G1793" s="19">
        <v>403209</v>
      </c>
    </row>
    <row r="1794" spans="2:7">
      <c r="B1794" s="18">
        <v>8023</v>
      </c>
      <c r="C1794" s="17">
        <v>31</v>
      </c>
      <c r="D1794" s="17" t="s">
        <v>3372</v>
      </c>
      <c r="E1794" s="17">
        <v>32</v>
      </c>
      <c r="F1794" s="19">
        <v>81202</v>
      </c>
      <c r="G1794" s="19">
        <v>484411</v>
      </c>
    </row>
    <row r="1795" spans="2:7">
      <c r="B1795" s="18">
        <v>8023</v>
      </c>
      <c r="C1795" s="17">
        <v>32</v>
      </c>
      <c r="D1795" s="17" t="s">
        <v>3373</v>
      </c>
      <c r="E1795" s="17">
        <v>33</v>
      </c>
      <c r="F1795" s="19">
        <v>95792</v>
      </c>
      <c r="G1795" s="19">
        <v>580203</v>
      </c>
    </row>
    <row r="1796" spans="2:7">
      <c r="B1796" s="18">
        <v>8023</v>
      </c>
      <c r="C1796" s="17">
        <v>33</v>
      </c>
      <c r="D1796" s="17" t="s">
        <v>2996</v>
      </c>
      <c r="E1796" s="17">
        <v>34</v>
      </c>
      <c r="F1796" s="19">
        <v>112566</v>
      </c>
      <c r="G1796" s="19">
        <v>692769</v>
      </c>
    </row>
    <row r="1797" spans="2:7">
      <c r="B1797" s="18">
        <v>8023</v>
      </c>
      <c r="C1797" s="17">
        <v>34</v>
      </c>
      <c r="D1797" s="17" t="s">
        <v>2293</v>
      </c>
      <c r="E1797" s="17">
        <v>35</v>
      </c>
      <c r="F1797" s="19">
        <v>131773</v>
      </c>
      <c r="G1797" s="19">
        <v>824542</v>
      </c>
    </row>
    <row r="1798" spans="2:7">
      <c r="B1798" s="18">
        <v>8023</v>
      </c>
      <c r="C1798" s="17">
        <v>35</v>
      </c>
      <c r="D1798" s="17" t="s">
        <v>3374</v>
      </c>
      <c r="E1798" s="17">
        <v>36</v>
      </c>
      <c r="F1798" s="19">
        <v>153685</v>
      </c>
      <c r="G1798" s="19">
        <v>978227</v>
      </c>
    </row>
    <row r="1799" spans="2:7">
      <c r="B1799" s="18">
        <v>8023</v>
      </c>
      <c r="C1799" s="17">
        <v>36</v>
      </c>
      <c r="D1799" s="17" t="s">
        <v>3375</v>
      </c>
      <c r="E1799" s="17">
        <v>37</v>
      </c>
      <c r="F1799" s="19">
        <v>178593</v>
      </c>
      <c r="G1799" s="19">
        <v>1156820</v>
      </c>
    </row>
    <row r="1800" spans="2:7">
      <c r="B1800" s="18">
        <v>8023</v>
      </c>
      <c r="C1800" s="17">
        <v>37</v>
      </c>
      <c r="D1800" s="17" t="s">
        <v>2298</v>
      </c>
      <c r="E1800" s="17">
        <v>38</v>
      </c>
      <c r="F1800" s="19">
        <v>206813</v>
      </c>
      <c r="G1800" s="19">
        <v>1363633</v>
      </c>
    </row>
    <row r="1801" spans="2:7">
      <c r="B1801" s="18">
        <v>8023</v>
      </c>
      <c r="C1801" s="17">
        <v>38</v>
      </c>
      <c r="D1801" s="17" t="s">
        <v>3376</v>
      </c>
      <c r="E1801" s="17">
        <v>39</v>
      </c>
      <c r="F1801" s="19">
        <v>238680</v>
      </c>
      <c r="G1801" s="19">
        <v>1602313</v>
      </c>
    </row>
    <row r="1802" spans="2:7">
      <c r="B1802" s="18">
        <v>8023</v>
      </c>
      <c r="C1802" s="17">
        <v>39</v>
      </c>
      <c r="D1802" s="17" t="s">
        <v>3377</v>
      </c>
      <c r="E1802" s="17">
        <v>40</v>
      </c>
      <c r="F1802" s="19">
        <v>274555</v>
      </c>
      <c r="G1802" s="19">
        <v>1876868</v>
      </c>
    </row>
    <row r="1803" spans="2:7">
      <c r="B1803" s="18">
        <v>8023</v>
      </c>
      <c r="C1803" s="17">
        <v>40</v>
      </c>
      <c r="D1803" s="17" t="s">
        <v>3378</v>
      </c>
      <c r="E1803" s="17">
        <v>41</v>
      </c>
      <c r="F1803" s="19">
        <v>314824</v>
      </c>
      <c r="G1803" s="19">
        <v>2191692</v>
      </c>
    </row>
    <row r="1804" spans="2:7">
      <c r="B1804" s="18">
        <v>8023</v>
      </c>
      <c r="C1804" s="17">
        <v>41</v>
      </c>
      <c r="D1804" s="17" t="s">
        <v>2999</v>
      </c>
      <c r="E1804" s="17">
        <v>42</v>
      </c>
      <c r="F1804" s="19">
        <v>359899</v>
      </c>
      <c r="G1804" s="19">
        <v>2551591</v>
      </c>
    </row>
    <row r="1805" spans="2:7">
      <c r="B1805" s="18">
        <v>8023</v>
      </c>
      <c r="C1805" s="17">
        <v>42</v>
      </c>
      <c r="D1805" s="17" t="s">
        <v>3379</v>
      </c>
      <c r="E1805" s="17">
        <v>43</v>
      </c>
      <c r="F1805" s="19">
        <v>410217</v>
      </c>
      <c r="G1805" s="19">
        <v>2961808</v>
      </c>
    </row>
    <row r="1806" spans="2:7">
      <c r="B1806" s="18">
        <v>8023</v>
      </c>
      <c r="C1806" s="17">
        <v>43</v>
      </c>
      <c r="D1806" s="17" t="s">
        <v>3380</v>
      </c>
      <c r="E1806" s="17">
        <v>44</v>
      </c>
      <c r="F1806" s="19">
        <v>466246</v>
      </c>
      <c r="G1806" s="19">
        <v>3428054</v>
      </c>
    </row>
    <row r="1807" spans="2:7">
      <c r="B1807" s="18">
        <v>8023</v>
      </c>
      <c r="C1807" s="17">
        <v>44</v>
      </c>
      <c r="D1807" s="17" t="s">
        <v>2652</v>
      </c>
      <c r="E1807" s="17">
        <v>45</v>
      </c>
      <c r="F1807" s="19">
        <v>528479</v>
      </c>
      <c r="G1807" s="19">
        <v>3956533</v>
      </c>
    </row>
    <row r="1808" spans="2:7">
      <c r="B1808" s="18">
        <v>8023</v>
      </c>
      <c r="C1808" s="17">
        <v>45</v>
      </c>
      <c r="D1808" s="17" t="s">
        <v>3381</v>
      </c>
      <c r="E1808" s="17">
        <v>46</v>
      </c>
      <c r="F1808" s="19">
        <v>597444</v>
      </c>
      <c r="G1808" s="19">
        <v>4553977</v>
      </c>
    </row>
    <row r="1809" spans="2:7">
      <c r="B1809" s="18">
        <v>8023</v>
      </c>
      <c r="C1809" s="17">
        <v>46</v>
      </c>
      <c r="D1809" s="17" t="s">
        <v>3382</v>
      </c>
      <c r="E1809" s="17">
        <v>47</v>
      </c>
      <c r="F1809" s="19">
        <v>673695</v>
      </c>
      <c r="G1809" s="19">
        <v>5227672</v>
      </c>
    </row>
    <row r="1810" spans="2:7">
      <c r="B1810" s="18">
        <v>8023</v>
      </c>
      <c r="C1810" s="17">
        <v>47</v>
      </c>
      <c r="D1810" s="17" t="s">
        <v>3383</v>
      </c>
      <c r="E1810" s="17">
        <v>48</v>
      </c>
      <c r="F1810" s="19">
        <v>757820</v>
      </c>
      <c r="G1810" s="19">
        <v>5985492</v>
      </c>
    </row>
    <row r="1811" spans="2:7">
      <c r="B1811" s="18">
        <v>8023</v>
      </c>
      <c r="C1811" s="17">
        <v>48</v>
      </c>
      <c r="D1811" s="17" t="s">
        <v>3384</v>
      </c>
      <c r="E1811" s="17">
        <v>49</v>
      </c>
      <c r="F1811" s="19">
        <v>850444</v>
      </c>
      <c r="G1811" s="19">
        <v>6835936</v>
      </c>
    </row>
    <row r="1812" spans="2:7">
      <c r="B1812" s="18">
        <v>8023</v>
      </c>
      <c r="C1812" s="17">
        <v>49</v>
      </c>
      <c r="D1812" s="17" t="s">
        <v>3004</v>
      </c>
      <c r="E1812" s="17">
        <v>50</v>
      </c>
      <c r="F1812" s="19">
        <v>952220</v>
      </c>
      <c r="G1812" s="19">
        <v>7788156</v>
      </c>
    </row>
    <row r="1813" spans="2:7">
      <c r="B1813" s="18">
        <v>8023</v>
      </c>
      <c r="C1813" s="17">
        <v>50</v>
      </c>
      <c r="D1813" s="17" t="s">
        <v>3385</v>
      </c>
      <c r="E1813" s="17">
        <v>51</v>
      </c>
      <c r="F1813" s="19">
        <v>1063841</v>
      </c>
      <c r="G1813" s="19">
        <v>8851997</v>
      </c>
    </row>
    <row r="1814" spans="2:7">
      <c r="B1814" s="18">
        <v>8023</v>
      </c>
      <c r="C1814" s="17">
        <v>51</v>
      </c>
      <c r="D1814" s="17" t="s">
        <v>3386</v>
      </c>
      <c r="E1814" s="22">
        <v>52</v>
      </c>
      <c r="F1814" s="19">
        <v>1186035</v>
      </c>
      <c r="G1814" s="19">
        <v>10038032</v>
      </c>
    </row>
    <row r="1815" spans="2:7">
      <c r="B1815" s="18">
        <v>8023</v>
      </c>
      <c r="C1815" s="17">
        <v>52</v>
      </c>
      <c r="D1815" s="17" t="s">
        <v>3387</v>
      </c>
      <c r="E1815" s="22">
        <v>53</v>
      </c>
      <c r="F1815" s="19">
        <v>1319566</v>
      </c>
      <c r="G1815" s="19">
        <v>11357598</v>
      </c>
    </row>
    <row r="1816" spans="2:7">
      <c r="B1816" s="18">
        <v>8023</v>
      </c>
      <c r="C1816" s="17">
        <v>53</v>
      </c>
      <c r="D1816" s="17" t="s">
        <v>3388</v>
      </c>
      <c r="E1816" s="22">
        <v>54</v>
      </c>
      <c r="F1816" s="19">
        <v>1465241</v>
      </c>
      <c r="G1816" s="19">
        <v>12822839</v>
      </c>
    </row>
    <row r="1817" spans="2:7">
      <c r="B1817" s="18">
        <v>8023</v>
      </c>
      <c r="C1817" s="17">
        <v>54</v>
      </c>
      <c r="D1817" s="17" t="s">
        <v>3389</v>
      </c>
      <c r="E1817" s="22">
        <v>55</v>
      </c>
      <c r="F1817" s="19">
        <v>1623903</v>
      </c>
      <c r="G1817" s="19">
        <v>14446742</v>
      </c>
    </row>
    <row r="1818" spans="2:7">
      <c r="B1818" s="18">
        <v>8023</v>
      </c>
      <c r="C1818" s="17">
        <v>55</v>
      </c>
      <c r="D1818" s="17" t="s">
        <v>3390</v>
      </c>
      <c r="E1818" s="22">
        <v>56</v>
      </c>
      <c r="F1818" s="19">
        <v>1796439</v>
      </c>
      <c r="G1818" s="19">
        <v>16243181</v>
      </c>
    </row>
    <row r="1819" spans="2:7">
      <c r="B1819" s="18">
        <v>8023</v>
      </c>
      <c r="C1819" s="17">
        <v>56</v>
      </c>
      <c r="D1819" s="17" t="s">
        <v>3391</v>
      </c>
      <c r="E1819" s="22">
        <v>57</v>
      </c>
      <c r="F1819" s="19">
        <v>1983777</v>
      </c>
      <c r="G1819" s="19">
        <v>18226958</v>
      </c>
    </row>
    <row r="1820" spans="2:7">
      <c r="B1820" s="18">
        <v>8023</v>
      </c>
      <c r="C1820" s="17">
        <v>57</v>
      </c>
      <c r="D1820" s="17" t="s">
        <v>3009</v>
      </c>
      <c r="E1820" s="22">
        <v>58</v>
      </c>
      <c r="F1820" s="19">
        <v>2186888</v>
      </c>
      <c r="G1820" s="19">
        <v>20413846</v>
      </c>
    </row>
    <row r="1821" spans="2:7">
      <c r="B1821" s="18">
        <v>8023</v>
      </c>
      <c r="C1821" s="17">
        <v>58</v>
      </c>
      <c r="D1821" s="17" t="s">
        <v>3392</v>
      </c>
      <c r="E1821" s="22">
        <v>59</v>
      </c>
      <c r="F1821" s="19">
        <v>2406789</v>
      </c>
      <c r="G1821" s="19">
        <v>22820635</v>
      </c>
    </row>
    <row r="1822" spans="2:7">
      <c r="B1822" s="18">
        <v>8023</v>
      </c>
      <c r="C1822" s="17">
        <v>59</v>
      </c>
      <c r="D1822" s="17" t="s">
        <v>2669</v>
      </c>
      <c r="E1822" s="22">
        <v>60</v>
      </c>
      <c r="F1822" s="19">
        <v>2644541</v>
      </c>
      <c r="G1822" s="19">
        <v>25465176</v>
      </c>
    </row>
    <row r="1823" spans="2:7">
      <c r="B1823" s="18">
        <v>8023</v>
      </c>
      <c r="C1823" s="17">
        <v>60</v>
      </c>
      <c r="D1823" s="17" t="s">
        <v>3393</v>
      </c>
      <c r="E1823" s="22">
        <v>61</v>
      </c>
      <c r="F1823" s="19">
        <v>2901257</v>
      </c>
      <c r="G1823" s="19">
        <v>28366433</v>
      </c>
    </row>
    <row r="1824" spans="2:7">
      <c r="B1824" s="18">
        <v>8023</v>
      </c>
      <c r="C1824" s="17">
        <v>61</v>
      </c>
      <c r="D1824" s="17" t="s">
        <v>3394</v>
      </c>
      <c r="E1824" s="22">
        <v>62</v>
      </c>
      <c r="F1824" s="19">
        <v>3178093</v>
      </c>
      <c r="G1824" s="19">
        <v>31544526</v>
      </c>
    </row>
    <row r="1825" spans="2:7">
      <c r="B1825" s="18">
        <v>8023</v>
      </c>
      <c r="C1825" s="17">
        <v>62</v>
      </c>
      <c r="D1825" s="17" t="s">
        <v>3395</v>
      </c>
      <c r="E1825" s="22">
        <v>63</v>
      </c>
      <c r="F1825" s="19">
        <v>3476257</v>
      </c>
      <c r="G1825" s="19">
        <v>35020783</v>
      </c>
    </row>
    <row r="1826" spans="2:7">
      <c r="B1826" s="18">
        <v>8023</v>
      </c>
      <c r="C1826" s="17">
        <v>63</v>
      </c>
      <c r="D1826" s="17" t="s">
        <v>3396</v>
      </c>
      <c r="E1826" s="22">
        <v>64</v>
      </c>
      <c r="F1826" s="19">
        <v>3797008</v>
      </c>
      <c r="G1826" s="19">
        <v>38817791</v>
      </c>
    </row>
    <row r="1827" spans="2:7">
      <c r="B1827" s="18">
        <v>8023</v>
      </c>
      <c r="C1827" s="17">
        <v>64</v>
      </c>
      <c r="D1827" s="17" t="s">
        <v>3397</v>
      </c>
      <c r="E1827" s="22">
        <v>65</v>
      </c>
      <c r="F1827" s="19">
        <v>4141658</v>
      </c>
      <c r="G1827" s="19">
        <v>42959449</v>
      </c>
    </row>
    <row r="1828" spans="2:7">
      <c r="B1828" s="18">
        <v>8023</v>
      </c>
      <c r="C1828" s="17">
        <v>65</v>
      </c>
      <c r="D1828" s="17" t="s">
        <v>3398</v>
      </c>
      <c r="E1828" s="22">
        <v>66</v>
      </c>
      <c r="F1828" s="19">
        <v>4511570</v>
      </c>
      <c r="G1828" s="19">
        <v>47471019</v>
      </c>
    </row>
    <row r="1829" spans="2:7">
      <c r="B1829" s="18">
        <v>8023</v>
      </c>
      <c r="C1829" s="17">
        <v>66</v>
      </c>
      <c r="D1829" s="17" t="s">
        <v>3399</v>
      </c>
      <c r="E1829" s="22">
        <v>67</v>
      </c>
      <c r="F1829" s="19">
        <v>4908164</v>
      </c>
      <c r="G1829" s="19">
        <v>52379183</v>
      </c>
    </row>
    <row r="1830" spans="2:7">
      <c r="B1830" s="18">
        <v>8023</v>
      </c>
      <c r="C1830" s="17">
        <v>67</v>
      </c>
      <c r="D1830" s="17" t="s">
        <v>3400</v>
      </c>
      <c r="E1830" s="22">
        <v>68</v>
      </c>
      <c r="F1830" s="19">
        <v>5332916</v>
      </c>
      <c r="G1830" s="19">
        <v>57712099</v>
      </c>
    </row>
    <row r="1831" spans="2:7">
      <c r="B1831" s="18">
        <v>8023</v>
      </c>
      <c r="C1831" s="17">
        <v>68</v>
      </c>
      <c r="D1831" s="17" t="s">
        <v>3401</v>
      </c>
      <c r="E1831" s="22">
        <v>69</v>
      </c>
      <c r="F1831" s="19">
        <v>5787359</v>
      </c>
      <c r="G1831" s="19">
        <v>63499458</v>
      </c>
    </row>
    <row r="1832" spans="2:7">
      <c r="B1832" s="18">
        <v>8023</v>
      </c>
      <c r="C1832" s="17">
        <v>69</v>
      </c>
      <c r="D1832" s="17" t="s">
        <v>3402</v>
      </c>
      <c r="E1832" s="22">
        <v>70</v>
      </c>
      <c r="F1832" s="19">
        <v>6273084</v>
      </c>
      <c r="G1832" s="19">
        <v>69772542</v>
      </c>
    </row>
    <row r="1833" spans="2:7">
      <c r="B1833" s="18">
        <v>8023</v>
      </c>
      <c r="C1833" s="17">
        <v>70</v>
      </c>
      <c r="D1833" s="17" t="s">
        <v>3403</v>
      </c>
      <c r="E1833" s="22">
        <v>71</v>
      </c>
      <c r="F1833" s="19">
        <v>6791743</v>
      </c>
      <c r="G1833" s="19">
        <v>76564285</v>
      </c>
    </row>
    <row r="1834" spans="2:7">
      <c r="B1834" s="18">
        <v>8023</v>
      </c>
      <c r="C1834" s="17">
        <v>71</v>
      </c>
      <c r="D1834" s="17" t="s">
        <v>3404</v>
      </c>
      <c r="E1834" s="22">
        <v>72</v>
      </c>
      <c r="F1834" s="19">
        <v>7345048</v>
      </c>
      <c r="G1834" s="19">
        <v>83909333</v>
      </c>
    </row>
    <row r="1835" spans="2:7">
      <c r="B1835" s="18">
        <v>8023</v>
      </c>
      <c r="C1835" s="17">
        <v>72</v>
      </c>
      <c r="D1835" s="17" t="s">
        <v>3405</v>
      </c>
      <c r="E1835" s="22">
        <v>73</v>
      </c>
      <c r="F1835" s="19">
        <v>7934776</v>
      </c>
      <c r="G1835" s="19">
        <v>91844109</v>
      </c>
    </row>
    <row r="1836" spans="2:7">
      <c r="B1836" s="18">
        <v>8023</v>
      </c>
      <c r="C1836" s="17">
        <v>73</v>
      </c>
      <c r="D1836" s="17" t="s">
        <v>3406</v>
      </c>
      <c r="E1836" s="22">
        <v>74</v>
      </c>
      <c r="F1836" s="19">
        <v>8562766</v>
      </c>
      <c r="G1836" s="19">
        <v>100406875</v>
      </c>
    </row>
    <row r="1837" spans="2:7">
      <c r="B1837" s="18">
        <v>8023</v>
      </c>
      <c r="C1837" s="17">
        <v>74</v>
      </c>
      <c r="D1837" s="17" t="s">
        <v>3407</v>
      </c>
      <c r="E1837" s="22">
        <v>75</v>
      </c>
      <c r="F1837" s="19">
        <v>9230923</v>
      </c>
      <c r="G1837" s="19">
        <v>109637798</v>
      </c>
    </row>
    <row r="1838" spans="2:7">
      <c r="B1838" s="18">
        <v>8023</v>
      </c>
      <c r="C1838" s="17">
        <v>75</v>
      </c>
      <c r="D1838" s="17" t="s">
        <v>3408</v>
      </c>
      <c r="E1838" s="22">
        <v>76</v>
      </c>
      <c r="F1838" s="19">
        <v>9941221</v>
      </c>
      <c r="G1838" s="19">
        <v>119579019</v>
      </c>
    </row>
    <row r="1839" spans="2:7">
      <c r="B1839" s="18">
        <v>8023</v>
      </c>
      <c r="C1839" s="17">
        <v>76</v>
      </c>
      <c r="D1839" s="17" t="s">
        <v>3409</v>
      </c>
      <c r="E1839" s="22">
        <v>77</v>
      </c>
      <c r="F1839" s="19">
        <v>10695699</v>
      </c>
      <c r="G1839" s="19">
        <v>130274718</v>
      </c>
    </row>
    <row r="1840" spans="2:7">
      <c r="B1840" s="18">
        <v>8023</v>
      </c>
      <c r="C1840" s="17">
        <v>77</v>
      </c>
      <c r="D1840" s="17" t="s">
        <v>3410</v>
      </c>
      <c r="E1840" s="22">
        <v>78</v>
      </c>
      <c r="F1840" s="19">
        <v>11496467</v>
      </c>
      <c r="G1840" s="19">
        <v>141771185</v>
      </c>
    </row>
    <row r="1841" spans="2:7">
      <c r="B1841" s="18">
        <v>8023</v>
      </c>
      <c r="C1841" s="17">
        <v>78</v>
      </c>
      <c r="D1841" s="17" t="s">
        <v>3411</v>
      </c>
      <c r="E1841" s="22">
        <v>79</v>
      </c>
      <c r="F1841" s="19">
        <v>12345707</v>
      </c>
      <c r="G1841" s="19">
        <v>154116892</v>
      </c>
    </row>
    <row r="1842" spans="2:7">
      <c r="B1842" s="18">
        <v>8023</v>
      </c>
      <c r="C1842" s="17">
        <v>79</v>
      </c>
      <c r="D1842" s="17" t="s">
        <v>3412</v>
      </c>
      <c r="E1842" s="22">
        <v>80</v>
      </c>
      <c r="F1842" s="19">
        <v>13245672</v>
      </c>
      <c r="G1842" s="19">
        <v>167362564</v>
      </c>
    </row>
    <row r="1843" spans="2:7">
      <c r="B1843" s="18">
        <v>8023</v>
      </c>
      <c r="C1843" s="17">
        <v>80</v>
      </c>
      <c r="D1843" s="17" t="s">
        <v>3413</v>
      </c>
      <c r="E1843" s="22" t="s">
        <v>1762</v>
      </c>
      <c r="F1843" s="19">
        <v>14198688</v>
      </c>
      <c r="G1843" s="19">
        <v>181561252</v>
      </c>
    </row>
    <row r="1844" spans="2:7">
      <c r="B1844" s="18">
        <v>8024</v>
      </c>
      <c r="C1844" s="17">
        <v>1</v>
      </c>
      <c r="D1844" s="17" t="s">
        <v>3414</v>
      </c>
      <c r="E1844" s="17">
        <v>2</v>
      </c>
      <c r="F1844" s="19">
        <v>0</v>
      </c>
      <c r="G1844" s="19">
        <v>0</v>
      </c>
    </row>
    <row r="1845" spans="2:7">
      <c r="B1845" s="18">
        <v>8024</v>
      </c>
      <c r="C1845" s="17">
        <v>2</v>
      </c>
      <c r="D1845" s="17" t="s">
        <v>3415</v>
      </c>
      <c r="E1845" s="17">
        <v>3</v>
      </c>
      <c r="F1845" s="19">
        <v>121</v>
      </c>
      <c r="G1845" s="19">
        <v>121</v>
      </c>
    </row>
    <row r="1846" spans="2:7">
      <c r="B1846" s="18">
        <v>8024</v>
      </c>
      <c r="C1846" s="17">
        <v>3</v>
      </c>
      <c r="D1846" s="17" t="s">
        <v>2319</v>
      </c>
      <c r="E1846" s="17">
        <v>4</v>
      </c>
      <c r="F1846" s="19">
        <v>253</v>
      </c>
      <c r="G1846" s="19">
        <v>374</v>
      </c>
    </row>
    <row r="1847" spans="2:7">
      <c r="B1847" s="18">
        <v>8024</v>
      </c>
      <c r="C1847" s="17">
        <v>4</v>
      </c>
      <c r="D1847" s="17" t="s">
        <v>3416</v>
      </c>
      <c r="E1847" s="17">
        <v>5</v>
      </c>
      <c r="F1847" s="19">
        <v>396</v>
      </c>
      <c r="G1847" s="19">
        <v>770</v>
      </c>
    </row>
    <row r="1848" spans="2:7">
      <c r="B1848" s="18">
        <v>8024</v>
      </c>
      <c r="C1848" s="17">
        <v>5</v>
      </c>
      <c r="D1848" s="17" t="s">
        <v>3417</v>
      </c>
      <c r="E1848" s="17">
        <v>6</v>
      </c>
      <c r="F1848" s="19">
        <v>551</v>
      </c>
      <c r="G1848" s="19">
        <v>1321</v>
      </c>
    </row>
    <row r="1849" spans="2:7">
      <c r="B1849" s="18">
        <v>8024</v>
      </c>
      <c r="C1849" s="17">
        <v>6</v>
      </c>
      <c r="D1849" s="17" t="s">
        <v>2688</v>
      </c>
      <c r="E1849" s="17">
        <v>7</v>
      </c>
      <c r="F1849" s="19">
        <v>719</v>
      </c>
      <c r="G1849" s="19">
        <v>2040</v>
      </c>
    </row>
    <row r="1850" spans="2:7">
      <c r="B1850" s="18">
        <v>8024</v>
      </c>
      <c r="C1850" s="17">
        <v>7</v>
      </c>
      <c r="D1850" s="17" t="s">
        <v>3418</v>
      </c>
      <c r="E1850" s="17">
        <v>8</v>
      </c>
      <c r="F1850" s="19">
        <v>903</v>
      </c>
      <c r="G1850" s="19">
        <v>2943</v>
      </c>
    </row>
    <row r="1851" spans="2:7">
      <c r="B1851" s="18">
        <v>8024</v>
      </c>
      <c r="C1851" s="17">
        <v>8</v>
      </c>
      <c r="D1851" s="17" t="s">
        <v>3419</v>
      </c>
      <c r="E1851" s="17">
        <v>9</v>
      </c>
      <c r="F1851" s="19">
        <v>1106</v>
      </c>
      <c r="G1851" s="19">
        <v>4049</v>
      </c>
    </row>
    <row r="1852" spans="2:7">
      <c r="B1852" s="18">
        <v>8024</v>
      </c>
      <c r="C1852" s="17">
        <v>9</v>
      </c>
      <c r="D1852" s="17" t="s">
        <v>3420</v>
      </c>
      <c r="E1852" s="17">
        <v>10</v>
      </c>
      <c r="F1852" s="19">
        <v>1335</v>
      </c>
      <c r="G1852" s="19">
        <v>5384</v>
      </c>
    </row>
    <row r="1853" spans="2:7">
      <c r="B1853" s="18">
        <v>8024</v>
      </c>
      <c r="C1853" s="17">
        <v>10</v>
      </c>
      <c r="D1853" s="17" t="s">
        <v>3421</v>
      </c>
      <c r="E1853" s="17">
        <v>11</v>
      </c>
      <c r="F1853" s="19">
        <v>1598</v>
      </c>
      <c r="G1853" s="19">
        <v>6982</v>
      </c>
    </row>
    <row r="1854" spans="2:7">
      <c r="B1854" s="18">
        <v>8024</v>
      </c>
      <c r="C1854" s="17">
        <v>11</v>
      </c>
      <c r="D1854" s="17" t="s">
        <v>3422</v>
      </c>
      <c r="E1854" s="17">
        <v>12</v>
      </c>
      <c r="F1854" s="19">
        <v>1905</v>
      </c>
      <c r="G1854" s="19">
        <v>8887</v>
      </c>
    </row>
    <row r="1855" spans="2:7">
      <c r="B1855" s="18">
        <v>8024</v>
      </c>
      <c r="C1855" s="17">
        <v>12</v>
      </c>
      <c r="D1855" s="17" t="s">
        <v>3423</v>
      </c>
      <c r="E1855" s="17">
        <v>13</v>
      </c>
      <c r="F1855" s="19">
        <v>2269</v>
      </c>
      <c r="G1855" s="19">
        <v>11156</v>
      </c>
    </row>
    <row r="1856" spans="2:7">
      <c r="B1856" s="18">
        <v>8024</v>
      </c>
      <c r="C1856" s="17">
        <v>13</v>
      </c>
      <c r="D1856" s="17" t="s">
        <v>3424</v>
      </c>
      <c r="E1856" s="17">
        <v>14</v>
      </c>
      <c r="F1856" s="19">
        <v>2708</v>
      </c>
      <c r="G1856" s="19">
        <v>13864</v>
      </c>
    </row>
    <row r="1857" spans="2:7">
      <c r="B1857" s="18">
        <v>8024</v>
      </c>
      <c r="C1857" s="17">
        <v>14</v>
      </c>
      <c r="D1857" s="17" t="s">
        <v>3425</v>
      </c>
      <c r="E1857" s="17">
        <v>15</v>
      </c>
      <c r="F1857" s="19">
        <v>3243</v>
      </c>
      <c r="G1857" s="19">
        <v>17107</v>
      </c>
    </row>
    <row r="1858" spans="2:7">
      <c r="B1858" s="18">
        <v>8024</v>
      </c>
      <c r="C1858" s="17">
        <v>15</v>
      </c>
      <c r="D1858" s="17" t="s">
        <v>3426</v>
      </c>
      <c r="E1858" s="17">
        <v>16</v>
      </c>
      <c r="F1858" s="19">
        <v>3902</v>
      </c>
      <c r="G1858" s="19">
        <v>21009</v>
      </c>
    </row>
    <row r="1859" spans="2:7">
      <c r="B1859" s="18">
        <v>8024</v>
      </c>
      <c r="C1859" s="17">
        <v>16</v>
      </c>
      <c r="D1859" s="17" t="s">
        <v>3427</v>
      </c>
      <c r="E1859" s="17">
        <v>17</v>
      </c>
      <c r="F1859" s="19">
        <v>4716</v>
      </c>
      <c r="G1859" s="19">
        <v>25725</v>
      </c>
    </row>
    <row r="1860" spans="2:7">
      <c r="B1860" s="18">
        <v>8024</v>
      </c>
      <c r="C1860" s="17">
        <v>17</v>
      </c>
      <c r="D1860" s="17" t="s">
        <v>3428</v>
      </c>
      <c r="E1860" s="17">
        <v>18</v>
      </c>
      <c r="F1860" s="19">
        <v>5723</v>
      </c>
      <c r="G1860" s="19">
        <v>31448</v>
      </c>
    </row>
    <row r="1861" spans="2:7">
      <c r="B1861" s="18">
        <v>8024</v>
      </c>
      <c r="C1861" s="17">
        <v>18</v>
      </c>
      <c r="D1861" s="17" t="s">
        <v>3429</v>
      </c>
      <c r="E1861" s="17">
        <v>19</v>
      </c>
      <c r="F1861" s="19">
        <v>6966</v>
      </c>
      <c r="G1861" s="19">
        <v>38414</v>
      </c>
    </row>
    <row r="1862" spans="2:7">
      <c r="B1862" s="18">
        <v>8024</v>
      </c>
      <c r="C1862" s="17">
        <v>19</v>
      </c>
      <c r="D1862" s="17" t="s">
        <v>3430</v>
      </c>
      <c r="E1862" s="17">
        <v>20</v>
      </c>
      <c r="F1862" s="19">
        <v>8498</v>
      </c>
      <c r="G1862" s="19">
        <v>46912</v>
      </c>
    </row>
    <row r="1863" spans="2:7">
      <c r="B1863" s="18">
        <v>8024</v>
      </c>
      <c r="C1863" s="17">
        <v>20</v>
      </c>
      <c r="D1863" s="17" t="s">
        <v>2344</v>
      </c>
      <c r="E1863" s="17">
        <v>21</v>
      </c>
      <c r="F1863" s="19">
        <v>10379</v>
      </c>
      <c r="G1863" s="19">
        <v>57291</v>
      </c>
    </row>
    <row r="1864" spans="2:7">
      <c r="B1864" s="18">
        <v>8024</v>
      </c>
      <c r="C1864" s="17">
        <v>21</v>
      </c>
      <c r="D1864" s="17" t="s">
        <v>2704</v>
      </c>
      <c r="E1864" s="17">
        <v>22</v>
      </c>
      <c r="F1864" s="19">
        <v>12676</v>
      </c>
      <c r="G1864" s="19">
        <v>69967</v>
      </c>
    </row>
    <row r="1865" spans="2:7">
      <c r="B1865" s="18">
        <v>8024</v>
      </c>
      <c r="C1865" s="17">
        <v>22</v>
      </c>
      <c r="D1865" s="17" t="s">
        <v>3431</v>
      </c>
      <c r="E1865" s="17">
        <v>23</v>
      </c>
      <c r="F1865" s="19">
        <v>15468</v>
      </c>
      <c r="G1865" s="19">
        <v>85435</v>
      </c>
    </row>
    <row r="1866" spans="2:7">
      <c r="B1866" s="18">
        <v>8024</v>
      </c>
      <c r="C1866" s="17">
        <v>23</v>
      </c>
      <c r="D1866" s="17" t="s">
        <v>3432</v>
      </c>
      <c r="E1866" s="17">
        <v>24</v>
      </c>
      <c r="F1866" s="19">
        <v>18840</v>
      </c>
      <c r="G1866" s="19">
        <v>104275</v>
      </c>
    </row>
    <row r="1867" spans="2:7">
      <c r="B1867" s="18">
        <v>8024</v>
      </c>
      <c r="C1867" s="17">
        <v>24</v>
      </c>
      <c r="D1867" s="17" t="s">
        <v>3433</v>
      </c>
      <c r="E1867" s="17">
        <v>25</v>
      </c>
      <c r="F1867" s="19">
        <v>22894</v>
      </c>
      <c r="G1867" s="19">
        <v>127169</v>
      </c>
    </row>
    <row r="1868" spans="2:7">
      <c r="B1868" s="18">
        <v>8024</v>
      </c>
      <c r="C1868" s="17">
        <v>25</v>
      </c>
      <c r="D1868" s="17" t="s">
        <v>3067</v>
      </c>
      <c r="E1868" s="17">
        <v>26</v>
      </c>
      <c r="F1868" s="19">
        <v>27737</v>
      </c>
      <c r="G1868" s="19">
        <v>154906</v>
      </c>
    </row>
    <row r="1869" spans="2:7">
      <c r="B1869" s="18">
        <v>8024</v>
      </c>
      <c r="C1869" s="17">
        <v>26</v>
      </c>
      <c r="D1869" s="17" t="s">
        <v>3434</v>
      </c>
      <c r="E1869" s="17">
        <v>27</v>
      </c>
      <c r="F1869" s="19">
        <v>33492</v>
      </c>
      <c r="G1869" s="19">
        <v>188398</v>
      </c>
    </row>
    <row r="1870" spans="2:7">
      <c r="B1870" s="18">
        <v>8024</v>
      </c>
      <c r="C1870" s="17">
        <v>27</v>
      </c>
      <c r="D1870" s="17" t="s">
        <v>3435</v>
      </c>
      <c r="E1870" s="17">
        <v>28</v>
      </c>
      <c r="F1870" s="19">
        <v>40296</v>
      </c>
      <c r="G1870" s="19">
        <v>228694</v>
      </c>
    </row>
    <row r="1871" spans="2:7">
      <c r="B1871" s="18">
        <v>8024</v>
      </c>
      <c r="C1871" s="17">
        <v>28</v>
      </c>
      <c r="D1871" s="17" t="s">
        <v>3436</v>
      </c>
      <c r="E1871" s="17">
        <v>29</v>
      </c>
      <c r="F1871" s="19">
        <v>48296</v>
      </c>
      <c r="G1871" s="19">
        <v>276990</v>
      </c>
    </row>
    <row r="1872" spans="2:7">
      <c r="B1872" s="18">
        <v>8024</v>
      </c>
      <c r="C1872" s="17">
        <v>29</v>
      </c>
      <c r="D1872" s="17" t="s">
        <v>3437</v>
      </c>
      <c r="E1872" s="17">
        <v>30</v>
      </c>
      <c r="F1872" s="19">
        <v>57658</v>
      </c>
      <c r="G1872" s="19">
        <v>334648</v>
      </c>
    </row>
    <row r="1873" spans="2:7">
      <c r="B1873" s="18">
        <v>8024</v>
      </c>
      <c r="C1873" s="17">
        <v>30</v>
      </c>
      <c r="D1873" s="17" t="s">
        <v>3438</v>
      </c>
      <c r="E1873" s="17">
        <v>31</v>
      </c>
      <c r="F1873" s="19">
        <v>68561</v>
      </c>
      <c r="G1873" s="19">
        <v>403209</v>
      </c>
    </row>
    <row r="1874" spans="2:7">
      <c r="B1874" s="18">
        <v>8024</v>
      </c>
      <c r="C1874" s="17">
        <v>31</v>
      </c>
      <c r="D1874" s="17" t="s">
        <v>3439</v>
      </c>
      <c r="E1874" s="17">
        <v>32</v>
      </c>
      <c r="F1874" s="19">
        <v>81202</v>
      </c>
      <c r="G1874" s="19">
        <v>484411</v>
      </c>
    </row>
    <row r="1875" spans="2:7">
      <c r="B1875" s="18">
        <v>8024</v>
      </c>
      <c r="C1875" s="17">
        <v>32</v>
      </c>
      <c r="D1875" s="17" t="s">
        <v>3440</v>
      </c>
      <c r="E1875" s="17">
        <v>33</v>
      </c>
      <c r="F1875" s="19">
        <v>95792</v>
      </c>
      <c r="G1875" s="19">
        <v>580203</v>
      </c>
    </row>
    <row r="1876" spans="2:7">
      <c r="B1876" s="18">
        <v>8024</v>
      </c>
      <c r="C1876" s="17">
        <v>33</v>
      </c>
      <c r="D1876" s="17" t="s">
        <v>3072</v>
      </c>
      <c r="E1876" s="17">
        <v>34</v>
      </c>
      <c r="F1876" s="19">
        <v>112566</v>
      </c>
      <c r="G1876" s="19">
        <v>692769</v>
      </c>
    </row>
    <row r="1877" spans="2:7">
      <c r="B1877" s="18">
        <v>8024</v>
      </c>
      <c r="C1877" s="17">
        <v>34</v>
      </c>
      <c r="D1877" s="17" t="s">
        <v>2367</v>
      </c>
      <c r="E1877" s="17">
        <v>35</v>
      </c>
      <c r="F1877" s="19">
        <v>131773</v>
      </c>
      <c r="G1877" s="19">
        <v>824542</v>
      </c>
    </row>
    <row r="1878" spans="2:7">
      <c r="B1878" s="18">
        <v>8024</v>
      </c>
      <c r="C1878" s="17">
        <v>35</v>
      </c>
      <c r="D1878" s="17" t="s">
        <v>3441</v>
      </c>
      <c r="E1878" s="17">
        <v>36</v>
      </c>
      <c r="F1878" s="19">
        <v>153685</v>
      </c>
      <c r="G1878" s="19">
        <v>978227</v>
      </c>
    </row>
    <row r="1879" spans="2:7">
      <c r="B1879" s="18">
        <v>8024</v>
      </c>
      <c r="C1879" s="17">
        <v>36</v>
      </c>
      <c r="D1879" s="17" t="s">
        <v>3442</v>
      </c>
      <c r="E1879" s="17">
        <v>37</v>
      </c>
      <c r="F1879" s="19">
        <v>178593</v>
      </c>
      <c r="G1879" s="19">
        <v>1156820</v>
      </c>
    </row>
    <row r="1880" spans="2:7">
      <c r="B1880" s="18">
        <v>8024</v>
      </c>
      <c r="C1880" s="17">
        <v>37</v>
      </c>
      <c r="D1880" s="17" t="s">
        <v>2372</v>
      </c>
      <c r="E1880" s="17">
        <v>38</v>
      </c>
      <c r="F1880" s="19">
        <v>206813</v>
      </c>
      <c r="G1880" s="19">
        <v>1363633</v>
      </c>
    </row>
    <row r="1881" spans="2:7">
      <c r="B1881" s="18">
        <v>8024</v>
      </c>
      <c r="C1881" s="17">
        <v>38</v>
      </c>
      <c r="D1881" s="17" t="s">
        <v>3443</v>
      </c>
      <c r="E1881" s="17">
        <v>39</v>
      </c>
      <c r="F1881" s="19">
        <v>238680</v>
      </c>
      <c r="G1881" s="19">
        <v>1602313</v>
      </c>
    </row>
    <row r="1882" spans="2:7">
      <c r="B1882" s="18">
        <v>8024</v>
      </c>
      <c r="C1882" s="17">
        <v>39</v>
      </c>
      <c r="D1882" s="17" t="s">
        <v>3444</v>
      </c>
      <c r="E1882" s="17">
        <v>40</v>
      </c>
      <c r="F1882" s="19">
        <v>274555</v>
      </c>
      <c r="G1882" s="19">
        <v>1876868</v>
      </c>
    </row>
    <row r="1883" spans="2:7">
      <c r="B1883" s="18">
        <v>8024</v>
      </c>
      <c r="C1883" s="17">
        <v>40</v>
      </c>
      <c r="D1883" s="17" t="s">
        <v>3445</v>
      </c>
      <c r="E1883" s="17">
        <v>41</v>
      </c>
      <c r="F1883" s="19">
        <v>314824</v>
      </c>
      <c r="G1883" s="19">
        <v>2191692</v>
      </c>
    </row>
    <row r="1884" spans="2:7">
      <c r="B1884" s="18">
        <v>8024</v>
      </c>
      <c r="C1884" s="17">
        <v>41</v>
      </c>
      <c r="D1884" s="17" t="s">
        <v>3075</v>
      </c>
      <c r="E1884" s="17">
        <v>42</v>
      </c>
      <c r="F1884" s="19">
        <v>359899</v>
      </c>
      <c r="G1884" s="19">
        <v>2551591</v>
      </c>
    </row>
    <row r="1885" spans="2:7">
      <c r="B1885" s="18">
        <v>8024</v>
      </c>
      <c r="C1885" s="17">
        <v>42</v>
      </c>
      <c r="D1885" s="17" t="s">
        <v>3446</v>
      </c>
      <c r="E1885" s="17">
        <v>43</v>
      </c>
      <c r="F1885" s="19">
        <v>410217</v>
      </c>
      <c r="G1885" s="19">
        <v>2961808</v>
      </c>
    </row>
    <row r="1886" spans="2:7">
      <c r="B1886" s="18">
        <v>8024</v>
      </c>
      <c r="C1886" s="17">
        <v>43</v>
      </c>
      <c r="D1886" s="17" t="s">
        <v>3447</v>
      </c>
      <c r="E1886" s="17">
        <v>44</v>
      </c>
      <c r="F1886" s="19">
        <v>466246</v>
      </c>
      <c r="G1886" s="19">
        <v>3428054</v>
      </c>
    </row>
    <row r="1887" spans="2:7">
      <c r="B1887" s="18">
        <v>8024</v>
      </c>
      <c r="C1887" s="17">
        <v>44</v>
      </c>
      <c r="D1887" s="17" t="s">
        <v>2728</v>
      </c>
      <c r="E1887" s="17">
        <v>45</v>
      </c>
      <c r="F1887" s="19">
        <v>528479</v>
      </c>
      <c r="G1887" s="19">
        <v>3956533</v>
      </c>
    </row>
    <row r="1888" spans="2:7">
      <c r="B1888" s="18">
        <v>8024</v>
      </c>
      <c r="C1888" s="17">
        <v>45</v>
      </c>
      <c r="D1888" s="17" t="s">
        <v>3448</v>
      </c>
      <c r="E1888" s="17">
        <v>46</v>
      </c>
      <c r="F1888" s="19">
        <v>597444</v>
      </c>
      <c r="G1888" s="19">
        <v>4553977</v>
      </c>
    </row>
    <row r="1889" spans="2:7">
      <c r="B1889" s="18">
        <v>8024</v>
      </c>
      <c r="C1889" s="17">
        <v>46</v>
      </c>
      <c r="D1889" s="17" t="s">
        <v>3449</v>
      </c>
      <c r="E1889" s="17">
        <v>47</v>
      </c>
      <c r="F1889" s="19">
        <v>673695</v>
      </c>
      <c r="G1889" s="19">
        <v>5227672</v>
      </c>
    </row>
    <row r="1890" spans="2:7">
      <c r="B1890" s="18">
        <v>8024</v>
      </c>
      <c r="C1890" s="17">
        <v>47</v>
      </c>
      <c r="D1890" s="17" t="s">
        <v>3450</v>
      </c>
      <c r="E1890" s="17">
        <v>48</v>
      </c>
      <c r="F1890" s="19">
        <v>757820</v>
      </c>
      <c r="G1890" s="19">
        <v>5985492</v>
      </c>
    </row>
    <row r="1891" spans="2:7">
      <c r="B1891" s="18">
        <v>8024</v>
      </c>
      <c r="C1891" s="17">
        <v>48</v>
      </c>
      <c r="D1891" s="17" t="s">
        <v>3451</v>
      </c>
      <c r="E1891" s="17">
        <v>49</v>
      </c>
      <c r="F1891" s="19">
        <v>850444</v>
      </c>
      <c r="G1891" s="19">
        <v>6835936</v>
      </c>
    </row>
    <row r="1892" spans="2:7">
      <c r="B1892" s="18">
        <v>8024</v>
      </c>
      <c r="C1892" s="17">
        <v>49</v>
      </c>
      <c r="D1892" s="17" t="s">
        <v>3080</v>
      </c>
      <c r="E1892" s="17">
        <v>50</v>
      </c>
      <c r="F1892" s="19">
        <v>952220</v>
      </c>
      <c r="G1892" s="19">
        <v>7788156</v>
      </c>
    </row>
    <row r="1893" spans="2:7">
      <c r="B1893" s="18">
        <v>8024</v>
      </c>
      <c r="C1893" s="17">
        <v>50</v>
      </c>
      <c r="D1893" s="17" t="s">
        <v>3452</v>
      </c>
      <c r="E1893" s="17">
        <v>51</v>
      </c>
      <c r="F1893" s="19">
        <v>1063841</v>
      </c>
      <c r="G1893" s="19">
        <v>8851997</v>
      </c>
    </row>
    <row r="1894" spans="2:7">
      <c r="B1894" s="18">
        <v>8024</v>
      </c>
      <c r="C1894" s="17">
        <v>51</v>
      </c>
      <c r="D1894" s="17" t="s">
        <v>3453</v>
      </c>
      <c r="E1894" s="22">
        <v>52</v>
      </c>
      <c r="F1894" s="19">
        <v>1186035</v>
      </c>
      <c r="G1894" s="19">
        <v>10038032</v>
      </c>
    </row>
    <row r="1895" spans="2:7">
      <c r="B1895" s="18">
        <v>8024</v>
      </c>
      <c r="C1895" s="17">
        <v>52</v>
      </c>
      <c r="D1895" s="17" t="s">
        <v>3454</v>
      </c>
      <c r="E1895" s="22">
        <v>53</v>
      </c>
      <c r="F1895" s="19">
        <v>1319566</v>
      </c>
      <c r="G1895" s="19">
        <v>11357598</v>
      </c>
    </row>
    <row r="1896" spans="2:7">
      <c r="B1896" s="18">
        <v>8024</v>
      </c>
      <c r="C1896" s="17">
        <v>53</v>
      </c>
      <c r="D1896" s="17" t="s">
        <v>3455</v>
      </c>
      <c r="E1896" s="22">
        <v>54</v>
      </c>
      <c r="F1896" s="19">
        <v>1465241</v>
      </c>
      <c r="G1896" s="19">
        <v>12822839</v>
      </c>
    </row>
    <row r="1897" spans="2:7">
      <c r="B1897" s="18">
        <v>8024</v>
      </c>
      <c r="C1897" s="17">
        <v>54</v>
      </c>
      <c r="D1897" s="17" t="s">
        <v>3456</v>
      </c>
      <c r="E1897" s="22">
        <v>55</v>
      </c>
      <c r="F1897" s="19">
        <v>1623903</v>
      </c>
      <c r="G1897" s="19">
        <v>14446742</v>
      </c>
    </row>
    <row r="1898" spans="2:7">
      <c r="B1898" s="18">
        <v>8024</v>
      </c>
      <c r="C1898" s="17">
        <v>55</v>
      </c>
      <c r="D1898" s="17" t="s">
        <v>3457</v>
      </c>
      <c r="E1898" s="22">
        <v>56</v>
      </c>
      <c r="F1898" s="19">
        <v>1796439</v>
      </c>
      <c r="G1898" s="19">
        <v>16243181</v>
      </c>
    </row>
    <row r="1899" spans="2:7">
      <c r="B1899" s="18">
        <v>8024</v>
      </c>
      <c r="C1899" s="17">
        <v>56</v>
      </c>
      <c r="D1899" s="17" t="s">
        <v>3458</v>
      </c>
      <c r="E1899" s="22">
        <v>57</v>
      </c>
      <c r="F1899" s="19">
        <v>1983777</v>
      </c>
      <c r="G1899" s="19">
        <v>18226958</v>
      </c>
    </row>
    <row r="1900" spans="2:7">
      <c r="B1900" s="18">
        <v>8024</v>
      </c>
      <c r="C1900" s="17">
        <v>57</v>
      </c>
      <c r="D1900" s="17" t="s">
        <v>3085</v>
      </c>
      <c r="E1900" s="22">
        <v>58</v>
      </c>
      <c r="F1900" s="19">
        <v>2186888</v>
      </c>
      <c r="G1900" s="19">
        <v>20413846</v>
      </c>
    </row>
    <row r="1901" spans="2:7">
      <c r="B1901" s="18">
        <v>8024</v>
      </c>
      <c r="C1901" s="17">
        <v>58</v>
      </c>
      <c r="D1901" s="17" t="s">
        <v>3459</v>
      </c>
      <c r="E1901" s="22">
        <v>59</v>
      </c>
      <c r="F1901" s="19">
        <v>2406789</v>
      </c>
      <c r="G1901" s="19">
        <v>22820635</v>
      </c>
    </row>
    <row r="1902" spans="2:7">
      <c r="B1902" s="18">
        <v>8024</v>
      </c>
      <c r="C1902" s="17">
        <v>59</v>
      </c>
      <c r="D1902" s="17" t="s">
        <v>2745</v>
      </c>
      <c r="E1902" s="22">
        <v>60</v>
      </c>
      <c r="F1902" s="19">
        <v>2644541</v>
      </c>
      <c r="G1902" s="19">
        <v>25465176</v>
      </c>
    </row>
    <row r="1903" spans="2:7">
      <c r="B1903" s="18">
        <v>8024</v>
      </c>
      <c r="C1903" s="17">
        <v>60</v>
      </c>
      <c r="D1903" s="17" t="s">
        <v>3460</v>
      </c>
      <c r="E1903" s="22">
        <v>61</v>
      </c>
      <c r="F1903" s="19">
        <v>2901257</v>
      </c>
      <c r="G1903" s="19">
        <v>28366433</v>
      </c>
    </row>
    <row r="1904" spans="2:7">
      <c r="B1904" s="18">
        <v>8024</v>
      </c>
      <c r="C1904" s="17">
        <v>61</v>
      </c>
      <c r="D1904" s="17" t="s">
        <v>3461</v>
      </c>
      <c r="E1904" s="22">
        <v>62</v>
      </c>
      <c r="F1904" s="19">
        <v>3178093</v>
      </c>
      <c r="G1904" s="19">
        <v>31544526</v>
      </c>
    </row>
    <row r="1905" spans="2:7">
      <c r="B1905" s="18">
        <v>8024</v>
      </c>
      <c r="C1905" s="17">
        <v>62</v>
      </c>
      <c r="D1905" s="17" t="s">
        <v>3462</v>
      </c>
      <c r="E1905" s="22">
        <v>63</v>
      </c>
      <c r="F1905" s="19">
        <v>3476257</v>
      </c>
      <c r="G1905" s="19">
        <v>35020783</v>
      </c>
    </row>
    <row r="1906" spans="2:7">
      <c r="B1906" s="18">
        <v>8024</v>
      </c>
      <c r="C1906" s="17">
        <v>63</v>
      </c>
      <c r="D1906" s="17" t="s">
        <v>3463</v>
      </c>
      <c r="E1906" s="22">
        <v>64</v>
      </c>
      <c r="F1906" s="19">
        <v>3797008</v>
      </c>
      <c r="G1906" s="19">
        <v>38817791</v>
      </c>
    </row>
    <row r="1907" spans="2:7">
      <c r="B1907" s="18">
        <v>8024</v>
      </c>
      <c r="C1907" s="17">
        <v>64</v>
      </c>
      <c r="D1907" s="17" t="s">
        <v>3464</v>
      </c>
      <c r="E1907" s="22">
        <v>65</v>
      </c>
      <c r="F1907" s="19">
        <v>4141658</v>
      </c>
      <c r="G1907" s="19">
        <v>42959449</v>
      </c>
    </row>
    <row r="1908" spans="2:7">
      <c r="B1908" s="18">
        <v>8024</v>
      </c>
      <c r="C1908" s="17">
        <v>65</v>
      </c>
      <c r="D1908" s="17" t="s">
        <v>3465</v>
      </c>
      <c r="E1908" s="22">
        <v>66</v>
      </c>
      <c r="F1908" s="19">
        <v>4511570</v>
      </c>
      <c r="G1908" s="19">
        <v>47471019</v>
      </c>
    </row>
    <row r="1909" spans="2:7">
      <c r="B1909" s="18">
        <v>8024</v>
      </c>
      <c r="C1909" s="17">
        <v>66</v>
      </c>
      <c r="D1909" s="17" t="s">
        <v>3466</v>
      </c>
      <c r="E1909" s="22">
        <v>67</v>
      </c>
      <c r="F1909" s="19">
        <v>4908164</v>
      </c>
      <c r="G1909" s="19">
        <v>52379183</v>
      </c>
    </row>
    <row r="1910" spans="2:7">
      <c r="B1910" s="18">
        <v>8024</v>
      </c>
      <c r="C1910" s="17">
        <v>67</v>
      </c>
      <c r="D1910" s="17" t="s">
        <v>3467</v>
      </c>
      <c r="E1910" s="22">
        <v>68</v>
      </c>
      <c r="F1910" s="19">
        <v>5332916</v>
      </c>
      <c r="G1910" s="19">
        <v>57712099</v>
      </c>
    </row>
    <row r="1911" spans="2:7">
      <c r="B1911" s="18">
        <v>8024</v>
      </c>
      <c r="C1911" s="17">
        <v>68</v>
      </c>
      <c r="D1911" s="17" t="s">
        <v>3468</v>
      </c>
      <c r="E1911" s="22">
        <v>69</v>
      </c>
      <c r="F1911" s="19">
        <v>5787359</v>
      </c>
      <c r="G1911" s="19">
        <v>63499458</v>
      </c>
    </row>
    <row r="1912" spans="2:7">
      <c r="B1912" s="18">
        <v>8024</v>
      </c>
      <c r="C1912" s="17">
        <v>69</v>
      </c>
      <c r="D1912" s="17" t="s">
        <v>3469</v>
      </c>
      <c r="E1912" s="22">
        <v>70</v>
      </c>
      <c r="F1912" s="19">
        <v>6273084</v>
      </c>
      <c r="G1912" s="19">
        <v>69772542</v>
      </c>
    </row>
    <row r="1913" spans="2:7">
      <c r="B1913" s="18">
        <v>8024</v>
      </c>
      <c r="C1913" s="17">
        <v>70</v>
      </c>
      <c r="D1913" s="17" t="s">
        <v>3470</v>
      </c>
      <c r="E1913" s="22">
        <v>71</v>
      </c>
      <c r="F1913" s="19">
        <v>6791743</v>
      </c>
      <c r="G1913" s="19">
        <v>76564285</v>
      </c>
    </row>
    <row r="1914" spans="2:7">
      <c r="B1914" s="18">
        <v>8024</v>
      </c>
      <c r="C1914" s="17">
        <v>71</v>
      </c>
      <c r="D1914" s="17" t="s">
        <v>3471</v>
      </c>
      <c r="E1914" s="22">
        <v>72</v>
      </c>
      <c r="F1914" s="19">
        <v>7345048</v>
      </c>
      <c r="G1914" s="19">
        <v>83909333</v>
      </c>
    </row>
    <row r="1915" spans="2:7">
      <c r="B1915" s="18">
        <v>8024</v>
      </c>
      <c r="C1915" s="17">
        <v>72</v>
      </c>
      <c r="D1915" s="17" t="s">
        <v>3472</v>
      </c>
      <c r="E1915" s="22">
        <v>73</v>
      </c>
      <c r="F1915" s="19">
        <v>7934776</v>
      </c>
      <c r="G1915" s="19">
        <v>91844109</v>
      </c>
    </row>
    <row r="1916" spans="2:7">
      <c r="B1916" s="18">
        <v>8024</v>
      </c>
      <c r="C1916" s="17">
        <v>73</v>
      </c>
      <c r="D1916" s="17" t="s">
        <v>3473</v>
      </c>
      <c r="E1916" s="22">
        <v>74</v>
      </c>
      <c r="F1916" s="19">
        <v>8562766</v>
      </c>
      <c r="G1916" s="19">
        <v>100406875</v>
      </c>
    </row>
    <row r="1917" spans="2:7">
      <c r="B1917" s="18">
        <v>8024</v>
      </c>
      <c r="C1917" s="17">
        <v>74</v>
      </c>
      <c r="D1917" s="17" t="s">
        <v>3474</v>
      </c>
      <c r="E1917" s="22">
        <v>75</v>
      </c>
      <c r="F1917" s="19">
        <v>9230923</v>
      </c>
      <c r="G1917" s="19">
        <v>109637798</v>
      </c>
    </row>
    <row r="1918" spans="2:7">
      <c r="B1918" s="18">
        <v>8024</v>
      </c>
      <c r="C1918" s="17">
        <v>75</v>
      </c>
      <c r="D1918" s="17" t="s">
        <v>3475</v>
      </c>
      <c r="E1918" s="22">
        <v>76</v>
      </c>
      <c r="F1918" s="19">
        <v>9941221</v>
      </c>
      <c r="G1918" s="19">
        <v>119579019</v>
      </c>
    </row>
    <row r="1919" spans="2:7">
      <c r="B1919" s="18">
        <v>8024</v>
      </c>
      <c r="C1919" s="17">
        <v>76</v>
      </c>
      <c r="D1919" s="17" t="s">
        <v>3476</v>
      </c>
      <c r="E1919" s="22">
        <v>77</v>
      </c>
      <c r="F1919" s="19">
        <v>10695699</v>
      </c>
      <c r="G1919" s="19">
        <v>130274718</v>
      </c>
    </row>
    <row r="1920" spans="2:7">
      <c r="B1920" s="18">
        <v>8024</v>
      </c>
      <c r="C1920" s="17">
        <v>77</v>
      </c>
      <c r="D1920" s="17" t="s">
        <v>3477</v>
      </c>
      <c r="E1920" s="22">
        <v>78</v>
      </c>
      <c r="F1920" s="19">
        <v>11496467</v>
      </c>
      <c r="G1920" s="19">
        <v>141771185</v>
      </c>
    </row>
    <row r="1921" spans="2:7">
      <c r="B1921" s="18">
        <v>8024</v>
      </c>
      <c r="C1921" s="17">
        <v>78</v>
      </c>
      <c r="D1921" s="17" t="s">
        <v>3478</v>
      </c>
      <c r="E1921" s="22">
        <v>79</v>
      </c>
      <c r="F1921" s="19">
        <v>12345707</v>
      </c>
      <c r="G1921" s="19">
        <v>154116892</v>
      </c>
    </row>
    <row r="1922" spans="2:7">
      <c r="B1922" s="18">
        <v>8024</v>
      </c>
      <c r="C1922" s="17">
        <v>79</v>
      </c>
      <c r="D1922" s="17" t="s">
        <v>3479</v>
      </c>
      <c r="E1922" s="22">
        <v>80</v>
      </c>
      <c r="F1922" s="19">
        <v>13245672</v>
      </c>
      <c r="G1922" s="19">
        <v>167362564</v>
      </c>
    </row>
    <row r="1923" spans="2:7">
      <c r="B1923" s="18">
        <v>8024</v>
      </c>
      <c r="C1923" s="17">
        <v>80</v>
      </c>
      <c r="D1923" s="17" t="s">
        <v>3480</v>
      </c>
      <c r="E1923" s="22" t="s">
        <v>1762</v>
      </c>
      <c r="F1923" s="19">
        <v>14198688</v>
      </c>
      <c r="G1923" s="19">
        <v>181561252</v>
      </c>
    </row>
    <row r="1924" spans="2:7">
      <c r="B1924" s="18">
        <v>8025</v>
      </c>
      <c r="C1924" s="17">
        <v>1</v>
      </c>
      <c r="D1924" s="17" t="s">
        <v>3481</v>
      </c>
      <c r="E1924" s="17">
        <v>2</v>
      </c>
      <c r="F1924" s="19">
        <v>0</v>
      </c>
      <c r="G1924" s="19">
        <v>0</v>
      </c>
    </row>
    <row r="1925" spans="2:7">
      <c r="B1925" s="18">
        <v>8025</v>
      </c>
      <c r="C1925" s="17">
        <v>2</v>
      </c>
      <c r="D1925" s="17" t="s">
        <v>3482</v>
      </c>
      <c r="E1925" s="17">
        <v>3</v>
      </c>
      <c r="F1925" s="19">
        <v>121</v>
      </c>
      <c r="G1925" s="19">
        <v>121</v>
      </c>
    </row>
    <row r="1926" spans="2:7">
      <c r="B1926" s="18">
        <v>8025</v>
      </c>
      <c r="C1926" s="17">
        <v>3</v>
      </c>
      <c r="D1926" s="17" t="s">
        <v>2393</v>
      </c>
      <c r="E1926" s="17">
        <v>4</v>
      </c>
      <c r="F1926" s="19">
        <v>253</v>
      </c>
      <c r="G1926" s="19">
        <v>374</v>
      </c>
    </row>
    <row r="1927" spans="2:7">
      <c r="B1927" s="18">
        <v>8025</v>
      </c>
      <c r="C1927" s="17">
        <v>4</v>
      </c>
      <c r="D1927" s="17" t="s">
        <v>3483</v>
      </c>
      <c r="E1927" s="17">
        <v>5</v>
      </c>
      <c r="F1927" s="19">
        <v>396</v>
      </c>
      <c r="G1927" s="19">
        <v>770</v>
      </c>
    </row>
    <row r="1928" spans="2:7">
      <c r="B1928" s="18">
        <v>8025</v>
      </c>
      <c r="C1928" s="17">
        <v>5</v>
      </c>
      <c r="D1928" s="17" t="s">
        <v>3484</v>
      </c>
      <c r="E1928" s="17">
        <v>6</v>
      </c>
      <c r="F1928" s="19">
        <v>551</v>
      </c>
      <c r="G1928" s="19">
        <v>1321</v>
      </c>
    </row>
    <row r="1929" spans="2:7">
      <c r="B1929" s="18">
        <v>8025</v>
      </c>
      <c r="C1929" s="17">
        <v>6</v>
      </c>
      <c r="D1929" s="17" t="s">
        <v>2764</v>
      </c>
      <c r="E1929" s="17">
        <v>7</v>
      </c>
      <c r="F1929" s="19">
        <v>719</v>
      </c>
      <c r="G1929" s="19">
        <v>2040</v>
      </c>
    </row>
    <row r="1930" spans="2:7">
      <c r="B1930" s="18">
        <v>8025</v>
      </c>
      <c r="C1930" s="17">
        <v>7</v>
      </c>
      <c r="D1930" s="17" t="s">
        <v>3485</v>
      </c>
      <c r="E1930" s="17">
        <v>8</v>
      </c>
      <c r="F1930" s="19">
        <v>903</v>
      </c>
      <c r="G1930" s="19">
        <v>2943</v>
      </c>
    </row>
    <row r="1931" spans="2:7">
      <c r="B1931" s="18">
        <v>8025</v>
      </c>
      <c r="C1931" s="17">
        <v>8</v>
      </c>
      <c r="D1931" s="17" t="s">
        <v>3486</v>
      </c>
      <c r="E1931" s="17">
        <v>9</v>
      </c>
      <c r="F1931" s="19">
        <v>1106</v>
      </c>
      <c r="G1931" s="19">
        <v>4049</v>
      </c>
    </row>
    <row r="1932" spans="2:7">
      <c r="B1932" s="18">
        <v>8025</v>
      </c>
      <c r="C1932" s="17">
        <v>9</v>
      </c>
      <c r="D1932" s="17" t="s">
        <v>3487</v>
      </c>
      <c r="E1932" s="17">
        <v>10</v>
      </c>
      <c r="F1932" s="19">
        <v>1335</v>
      </c>
      <c r="G1932" s="19">
        <v>5384</v>
      </c>
    </row>
    <row r="1933" spans="2:7">
      <c r="B1933" s="18">
        <v>8025</v>
      </c>
      <c r="C1933" s="17">
        <v>10</v>
      </c>
      <c r="D1933" s="17" t="s">
        <v>3488</v>
      </c>
      <c r="E1933" s="17">
        <v>11</v>
      </c>
      <c r="F1933" s="19">
        <v>1598</v>
      </c>
      <c r="G1933" s="19">
        <v>6982</v>
      </c>
    </row>
    <row r="1934" spans="2:7">
      <c r="B1934" s="18">
        <v>8025</v>
      </c>
      <c r="C1934" s="17">
        <v>11</v>
      </c>
      <c r="D1934" s="17" t="s">
        <v>3489</v>
      </c>
      <c r="E1934" s="17">
        <v>12</v>
      </c>
      <c r="F1934" s="19">
        <v>1905</v>
      </c>
      <c r="G1934" s="19">
        <v>8887</v>
      </c>
    </row>
    <row r="1935" spans="2:7">
      <c r="B1935" s="18">
        <v>8025</v>
      </c>
      <c r="C1935" s="17">
        <v>12</v>
      </c>
      <c r="D1935" s="17" t="s">
        <v>3490</v>
      </c>
      <c r="E1935" s="17">
        <v>13</v>
      </c>
      <c r="F1935" s="19">
        <v>2269</v>
      </c>
      <c r="G1935" s="19">
        <v>11156</v>
      </c>
    </row>
    <row r="1936" spans="2:7">
      <c r="B1936" s="18">
        <v>8025</v>
      </c>
      <c r="C1936" s="17">
        <v>13</v>
      </c>
      <c r="D1936" s="17" t="s">
        <v>3491</v>
      </c>
      <c r="E1936" s="17">
        <v>14</v>
      </c>
      <c r="F1936" s="19">
        <v>2708</v>
      </c>
      <c r="G1936" s="19">
        <v>13864</v>
      </c>
    </row>
    <row r="1937" spans="2:7">
      <c r="B1937" s="18">
        <v>8025</v>
      </c>
      <c r="C1937" s="17">
        <v>14</v>
      </c>
      <c r="D1937" s="17" t="s">
        <v>3492</v>
      </c>
      <c r="E1937" s="17">
        <v>15</v>
      </c>
      <c r="F1937" s="19">
        <v>3243</v>
      </c>
      <c r="G1937" s="19">
        <v>17107</v>
      </c>
    </row>
    <row r="1938" spans="2:7">
      <c r="B1938" s="18">
        <v>8025</v>
      </c>
      <c r="C1938" s="17">
        <v>15</v>
      </c>
      <c r="D1938" s="17" t="s">
        <v>3493</v>
      </c>
      <c r="E1938" s="17">
        <v>16</v>
      </c>
      <c r="F1938" s="19">
        <v>3902</v>
      </c>
      <c r="G1938" s="19">
        <v>21009</v>
      </c>
    </row>
    <row r="1939" spans="2:7">
      <c r="B1939" s="18">
        <v>8025</v>
      </c>
      <c r="C1939" s="17">
        <v>16</v>
      </c>
      <c r="D1939" s="17" t="s">
        <v>3494</v>
      </c>
      <c r="E1939" s="17">
        <v>17</v>
      </c>
      <c r="F1939" s="19">
        <v>4716</v>
      </c>
      <c r="G1939" s="19">
        <v>25725</v>
      </c>
    </row>
    <row r="1940" spans="2:7">
      <c r="B1940" s="18">
        <v>8025</v>
      </c>
      <c r="C1940" s="17">
        <v>17</v>
      </c>
      <c r="D1940" s="17" t="s">
        <v>3495</v>
      </c>
      <c r="E1940" s="17">
        <v>18</v>
      </c>
      <c r="F1940" s="19">
        <v>5723</v>
      </c>
      <c r="G1940" s="19">
        <v>31448</v>
      </c>
    </row>
    <row r="1941" spans="2:7">
      <c r="B1941" s="18">
        <v>8025</v>
      </c>
      <c r="C1941" s="17">
        <v>18</v>
      </c>
      <c r="D1941" s="17" t="s">
        <v>3496</v>
      </c>
      <c r="E1941" s="17">
        <v>19</v>
      </c>
      <c r="F1941" s="19">
        <v>6966</v>
      </c>
      <c r="G1941" s="19">
        <v>38414</v>
      </c>
    </row>
    <row r="1942" spans="2:7">
      <c r="B1942" s="18">
        <v>8025</v>
      </c>
      <c r="C1942" s="17">
        <v>19</v>
      </c>
      <c r="D1942" s="17" t="s">
        <v>3497</v>
      </c>
      <c r="E1942" s="17">
        <v>20</v>
      </c>
      <c r="F1942" s="19">
        <v>8498</v>
      </c>
      <c r="G1942" s="19">
        <v>46912</v>
      </c>
    </row>
    <row r="1943" spans="2:7">
      <c r="B1943" s="18">
        <v>8025</v>
      </c>
      <c r="C1943" s="17">
        <v>20</v>
      </c>
      <c r="D1943" s="17" t="s">
        <v>2418</v>
      </c>
      <c r="E1943" s="17">
        <v>21</v>
      </c>
      <c r="F1943" s="19">
        <v>10379</v>
      </c>
      <c r="G1943" s="19">
        <v>57291</v>
      </c>
    </row>
    <row r="1944" spans="2:7">
      <c r="B1944" s="18">
        <v>8025</v>
      </c>
      <c r="C1944" s="17">
        <v>21</v>
      </c>
      <c r="D1944" s="17" t="s">
        <v>2780</v>
      </c>
      <c r="E1944" s="17">
        <v>22</v>
      </c>
      <c r="F1944" s="19">
        <v>12676</v>
      </c>
      <c r="G1944" s="19">
        <v>69967</v>
      </c>
    </row>
    <row r="1945" spans="2:7">
      <c r="B1945" s="18">
        <v>8025</v>
      </c>
      <c r="C1945" s="17">
        <v>22</v>
      </c>
      <c r="D1945" s="17" t="s">
        <v>3498</v>
      </c>
      <c r="E1945" s="17">
        <v>23</v>
      </c>
      <c r="F1945" s="19">
        <v>15468</v>
      </c>
      <c r="G1945" s="19">
        <v>85435</v>
      </c>
    </row>
    <row r="1946" spans="2:7">
      <c r="B1946" s="18">
        <v>8025</v>
      </c>
      <c r="C1946" s="17">
        <v>23</v>
      </c>
      <c r="D1946" s="17" t="s">
        <v>3499</v>
      </c>
      <c r="E1946" s="17">
        <v>24</v>
      </c>
      <c r="F1946" s="19">
        <v>18840</v>
      </c>
      <c r="G1946" s="19">
        <v>104275</v>
      </c>
    </row>
    <row r="1947" spans="2:7">
      <c r="B1947" s="18">
        <v>8025</v>
      </c>
      <c r="C1947" s="17">
        <v>24</v>
      </c>
      <c r="D1947" s="17" t="s">
        <v>3500</v>
      </c>
      <c r="E1947" s="17">
        <v>25</v>
      </c>
      <c r="F1947" s="19">
        <v>22894</v>
      </c>
      <c r="G1947" s="19">
        <v>127169</v>
      </c>
    </row>
    <row r="1948" spans="2:7">
      <c r="B1948" s="18">
        <v>8025</v>
      </c>
      <c r="C1948" s="17">
        <v>25</v>
      </c>
      <c r="D1948" s="17" t="s">
        <v>3143</v>
      </c>
      <c r="E1948" s="17">
        <v>26</v>
      </c>
      <c r="F1948" s="19">
        <v>27737</v>
      </c>
      <c r="G1948" s="19">
        <v>154906</v>
      </c>
    </row>
    <row r="1949" spans="2:7">
      <c r="B1949" s="18">
        <v>8025</v>
      </c>
      <c r="C1949" s="17">
        <v>26</v>
      </c>
      <c r="D1949" s="17" t="s">
        <v>3501</v>
      </c>
      <c r="E1949" s="17">
        <v>27</v>
      </c>
      <c r="F1949" s="19">
        <v>33492</v>
      </c>
      <c r="G1949" s="19">
        <v>188398</v>
      </c>
    </row>
    <row r="1950" spans="2:7">
      <c r="B1950" s="18">
        <v>8025</v>
      </c>
      <c r="C1950" s="17">
        <v>27</v>
      </c>
      <c r="D1950" s="17" t="s">
        <v>3502</v>
      </c>
      <c r="E1950" s="17">
        <v>28</v>
      </c>
      <c r="F1950" s="19">
        <v>40296</v>
      </c>
      <c r="G1950" s="19">
        <v>228694</v>
      </c>
    </row>
    <row r="1951" spans="2:7">
      <c r="B1951" s="18">
        <v>8025</v>
      </c>
      <c r="C1951" s="17">
        <v>28</v>
      </c>
      <c r="D1951" s="17" t="s">
        <v>3503</v>
      </c>
      <c r="E1951" s="17">
        <v>29</v>
      </c>
      <c r="F1951" s="19">
        <v>48296</v>
      </c>
      <c r="G1951" s="19">
        <v>276990</v>
      </c>
    </row>
    <row r="1952" spans="2:7">
      <c r="B1952" s="18">
        <v>8025</v>
      </c>
      <c r="C1952" s="17">
        <v>29</v>
      </c>
      <c r="D1952" s="17" t="s">
        <v>3504</v>
      </c>
      <c r="E1952" s="17">
        <v>30</v>
      </c>
      <c r="F1952" s="19">
        <v>57658</v>
      </c>
      <c r="G1952" s="19">
        <v>334648</v>
      </c>
    </row>
    <row r="1953" spans="2:7">
      <c r="B1953" s="18">
        <v>8025</v>
      </c>
      <c r="C1953" s="17">
        <v>30</v>
      </c>
      <c r="D1953" s="17" t="s">
        <v>3505</v>
      </c>
      <c r="E1953" s="17">
        <v>31</v>
      </c>
      <c r="F1953" s="19">
        <v>68561</v>
      </c>
      <c r="G1953" s="19">
        <v>403209</v>
      </c>
    </row>
    <row r="1954" spans="2:7">
      <c r="B1954" s="18">
        <v>8025</v>
      </c>
      <c r="C1954" s="17">
        <v>31</v>
      </c>
      <c r="D1954" s="17" t="s">
        <v>3506</v>
      </c>
      <c r="E1954" s="17">
        <v>32</v>
      </c>
      <c r="F1954" s="19">
        <v>81202</v>
      </c>
      <c r="G1954" s="19">
        <v>484411</v>
      </c>
    </row>
    <row r="1955" spans="2:7">
      <c r="B1955" s="18">
        <v>8025</v>
      </c>
      <c r="C1955" s="17">
        <v>32</v>
      </c>
      <c r="D1955" s="17" t="s">
        <v>3507</v>
      </c>
      <c r="E1955" s="17">
        <v>33</v>
      </c>
      <c r="F1955" s="19">
        <v>95792</v>
      </c>
      <c r="G1955" s="19">
        <v>580203</v>
      </c>
    </row>
    <row r="1956" spans="2:7">
      <c r="B1956" s="18">
        <v>8025</v>
      </c>
      <c r="C1956" s="17">
        <v>33</v>
      </c>
      <c r="D1956" s="17" t="s">
        <v>3148</v>
      </c>
      <c r="E1956" s="17">
        <v>34</v>
      </c>
      <c r="F1956" s="19">
        <v>112566</v>
      </c>
      <c r="G1956" s="19">
        <v>692769</v>
      </c>
    </row>
    <row r="1957" spans="2:7">
      <c r="B1957" s="18">
        <v>8025</v>
      </c>
      <c r="C1957" s="17">
        <v>34</v>
      </c>
      <c r="D1957" s="17" t="s">
        <v>2441</v>
      </c>
      <c r="E1957" s="17">
        <v>35</v>
      </c>
      <c r="F1957" s="19">
        <v>131773</v>
      </c>
      <c r="G1957" s="19">
        <v>824542</v>
      </c>
    </row>
    <row r="1958" spans="2:7">
      <c r="B1958" s="18">
        <v>8025</v>
      </c>
      <c r="C1958" s="17">
        <v>35</v>
      </c>
      <c r="D1958" s="17" t="s">
        <v>3508</v>
      </c>
      <c r="E1958" s="17">
        <v>36</v>
      </c>
      <c r="F1958" s="19">
        <v>153685</v>
      </c>
      <c r="G1958" s="19">
        <v>978227</v>
      </c>
    </row>
    <row r="1959" spans="2:7">
      <c r="B1959" s="18">
        <v>8025</v>
      </c>
      <c r="C1959" s="17">
        <v>36</v>
      </c>
      <c r="D1959" s="17" t="s">
        <v>3509</v>
      </c>
      <c r="E1959" s="17">
        <v>37</v>
      </c>
      <c r="F1959" s="19">
        <v>178593</v>
      </c>
      <c r="G1959" s="19">
        <v>1156820</v>
      </c>
    </row>
    <row r="1960" spans="2:7">
      <c r="B1960" s="18">
        <v>8025</v>
      </c>
      <c r="C1960" s="17">
        <v>37</v>
      </c>
      <c r="D1960" s="17" t="s">
        <v>2446</v>
      </c>
      <c r="E1960" s="17">
        <v>38</v>
      </c>
      <c r="F1960" s="19">
        <v>206813</v>
      </c>
      <c r="G1960" s="19">
        <v>1363633</v>
      </c>
    </row>
    <row r="1961" spans="2:7">
      <c r="B1961" s="18">
        <v>8025</v>
      </c>
      <c r="C1961" s="17">
        <v>38</v>
      </c>
      <c r="D1961" s="17" t="s">
        <v>3510</v>
      </c>
      <c r="E1961" s="17">
        <v>39</v>
      </c>
      <c r="F1961" s="19">
        <v>238680</v>
      </c>
      <c r="G1961" s="19">
        <v>1602313</v>
      </c>
    </row>
    <row r="1962" spans="2:7">
      <c r="B1962" s="18">
        <v>8025</v>
      </c>
      <c r="C1962" s="17">
        <v>39</v>
      </c>
      <c r="D1962" s="17" t="s">
        <v>3511</v>
      </c>
      <c r="E1962" s="17">
        <v>40</v>
      </c>
      <c r="F1962" s="19">
        <v>274555</v>
      </c>
      <c r="G1962" s="19">
        <v>1876868</v>
      </c>
    </row>
    <row r="1963" spans="2:7">
      <c r="B1963" s="18">
        <v>8025</v>
      </c>
      <c r="C1963" s="17">
        <v>40</v>
      </c>
      <c r="D1963" s="17" t="s">
        <v>3512</v>
      </c>
      <c r="E1963" s="17">
        <v>41</v>
      </c>
      <c r="F1963" s="19">
        <v>314824</v>
      </c>
      <c r="G1963" s="19">
        <v>2191692</v>
      </c>
    </row>
    <row r="1964" spans="2:7">
      <c r="B1964" s="18">
        <v>8025</v>
      </c>
      <c r="C1964" s="17">
        <v>41</v>
      </c>
      <c r="D1964" s="17" t="s">
        <v>3151</v>
      </c>
      <c r="E1964" s="17">
        <v>42</v>
      </c>
      <c r="F1964" s="19">
        <v>359899</v>
      </c>
      <c r="G1964" s="19">
        <v>2551591</v>
      </c>
    </row>
    <row r="1965" spans="2:7">
      <c r="B1965" s="18">
        <v>8025</v>
      </c>
      <c r="C1965" s="17">
        <v>42</v>
      </c>
      <c r="D1965" s="17" t="s">
        <v>3513</v>
      </c>
      <c r="E1965" s="17">
        <v>43</v>
      </c>
      <c r="F1965" s="19">
        <v>410217</v>
      </c>
      <c r="G1965" s="19">
        <v>2961808</v>
      </c>
    </row>
    <row r="1966" spans="2:7">
      <c r="B1966" s="18">
        <v>8025</v>
      </c>
      <c r="C1966" s="17">
        <v>43</v>
      </c>
      <c r="D1966" s="17" t="s">
        <v>3514</v>
      </c>
      <c r="E1966" s="17">
        <v>44</v>
      </c>
      <c r="F1966" s="19">
        <v>466246</v>
      </c>
      <c r="G1966" s="19">
        <v>3428054</v>
      </c>
    </row>
    <row r="1967" spans="2:7">
      <c r="B1967" s="18">
        <v>8025</v>
      </c>
      <c r="C1967" s="17">
        <v>44</v>
      </c>
      <c r="D1967" s="17" t="s">
        <v>2804</v>
      </c>
      <c r="E1967" s="17">
        <v>45</v>
      </c>
      <c r="F1967" s="19">
        <v>528479</v>
      </c>
      <c r="G1967" s="19">
        <v>3956533</v>
      </c>
    </row>
    <row r="1968" spans="2:7">
      <c r="B1968" s="18">
        <v>8025</v>
      </c>
      <c r="C1968" s="17">
        <v>45</v>
      </c>
      <c r="D1968" s="17" t="s">
        <v>3515</v>
      </c>
      <c r="E1968" s="17">
        <v>46</v>
      </c>
      <c r="F1968" s="19">
        <v>597444</v>
      </c>
      <c r="G1968" s="19">
        <v>4553977</v>
      </c>
    </row>
    <row r="1969" spans="2:7">
      <c r="B1969" s="18">
        <v>8025</v>
      </c>
      <c r="C1969" s="17">
        <v>46</v>
      </c>
      <c r="D1969" s="17" t="s">
        <v>3516</v>
      </c>
      <c r="E1969" s="17">
        <v>47</v>
      </c>
      <c r="F1969" s="19">
        <v>673695</v>
      </c>
      <c r="G1969" s="19">
        <v>5227672</v>
      </c>
    </row>
    <row r="1970" spans="2:7">
      <c r="B1970" s="18">
        <v>8025</v>
      </c>
      <c r="C1970" s="17">
        <v>47</v>
      </c>
      <c r="D1970" s="17" t="s">
        <v>3517</v>
      </c>
      <c r="E1970" s="17">
        <v>48</v>
      </c>
      <c r="F1970" s="19">
        <v>757820</v>
      </c>
      <c r="G1970" s="19">
        <v>5985492</v>
      </c>
    </row>
    <row r="1971" spans="2:7">
      <c r="B1971" s="18">
        <v>8025</v>
      </c>
      <c r="C1971" s="17">
        <v>48</v>
      </c>
      <c r="D1971" s="17" t="s">
        <v>3518</v>
      </c>
      <c r="E1971" s="17">
        <v>49</v>
      </c>
      <c r="F1971" s="19">
        <v>850444</v>
      </c>
      <c r="G1971" s="19">
        <v>6835936</v>
      </c>
    </row>
    <row r="1972" spans="2:7">
      <c r="B1972" s="18">
        <v>8025</v>
      </c>
      <c r="C1972" s="17">
        <v>49</v>
      </c>
      <c r="D1972" s="17" t="s">
        <v>3156</v>
      </c>
      <c r="E1972" s="17">
        <v>50</v>
      </c>
      <c r="F1972" s="19">
        <v>952220</v>
      </c>
      <c r="G1972" s="19">
        <v>7788156</v>
      </c>
    </row>
    <row r="1973" spans="2:7">
      <c r="B1973" s="18">
        <v>8025</v>
      </c>
      <c r="C1973" s="17">
        <v>50</v>
      </c>
      <c r="D1973" s="17" t="s">
        <v>3519</v>
      </c>
      <c r="E1973" s="17">
        <v>51</v>
      </c>
      <c r="F1973" s="19">
        <v>1063841</v>
      </c>
      <c r="G1973" s="19">
        <v>8851997</v>
      </c>
    </row>
    <row r="1974" spans="2:7">
      <c r="B1974" s="18">
        <v>8025</v>
      </c>
      <c r="C1974" s="17">
        <v>51</v>
      </c>
      <c r="D1974" s="17" t="s">
        <v>3520</v>
      </c>
      <c r="E1974" s="22">
        <v>52</v>
      </c>
      <c r="F1974" s="19">
        <v>1186035</v>
      </c>
      <c r="G1974" s="19">
        <v>10038032</v>
      </c>
    </row>
    <row r="1975" spans="2:7">
      <c r="B1975" s="18">
        <v>8025</v>
      </c>
      <c r="C1975" s="17">
        <v>52</v>
      </c>
      <c r="D1975" s="17" t="s">
        <v>3521</v>
      </c>
      <c r="E1975" s="22">
        <v>53</v>
      </c>
      <c r="F1975" s="19">
        <v>1319566</v>
      </c>
      <c r="G1975" s="19">
        <v>11357598</v>
      </c>
    </row>
    <row r="1976" spans="2:7">
      <c r="B1976" s="18">
        <v>8025</v>
      </c>
      <c r="C1976" s="17">
        <v>53</v>
      </c>
      <c r="D1976" s="17" t="s">
        <v>3522</v>
      </c>
      <c r="E1976" s="22">
        <v>54</v>
      </c>
      <c r="F1976" s="19">
        <v>1465241</v>
      </c>
      <c r="G1976" s="19">
        <v>12822839</v>
      </c>
    </row>
    <row r="1977" spans="2:7">
      <c r="B1977" s="18">
        <v>8025</v>
      </c>
      <c r="C1977" s="17">
        <v>54</v>
      </c>
      <c r="D1977" s="17" t="s">
        <v>3523</v>
      </c>
      <c r="E1977" s="22">
        <v>55</v>
      </c>
      <c r="F1977" s="19">
        <v>1623903</v>
      </c>
      <c r="G1977" s="19">
        <v>14446742</v>
      </c>
    </row>
    <row r="1978" spans="2:7">
      <c r="B1978" s="18">
        <v>8025</v>
      </c>
      <c r="C1978" s="17">
        <v>55</v>
      </c>
      <c r="D1978" s="17" t="s">
        <v>3524</v>
      </c>
      <c r="E1978" s="22">
        <v>56</v>
      </c>
      <c r="F1978" s="19">
        <v>1796439</v>
      </c>
      <c r="G1978" s="19">
        <v>16243181</v>
      </c>
    </row>
    <row r="1979" spans="2:7">
      <c r="B1979" s="18">
        <v>8025</v>
      </c>
      <c r="C1979" s="17">
        <v>56</v>
      </c>
      <c r="D1979" s="17" t="s">
        <v>3525</v>
      </c>
      <c r="E1979" s="22">
        <v>57</v>
      </c>
      <c r="F1979" s="19">
        <v>1983777</v>
      </c>
      <c r="G1979" s="19">
        <v>18226958</v>
      </c>
    </row>
    <row r="1980" spans="2:7">
      <c r="B1980" s="18">
        <v>8025</v>
      </c>
      <c r="C1980" s="17">
        <v>57</v>
      </c>
      <c r="D1980" s="17" t="s">
        <v>3161</v>
      </c>
      <c r="E1980" s="22">
        <v>58</v>
      </c>
      <c r="F1980" s="19">
        <v>2186888</v>
      </c>
      <c r="G1980" s="19">
        <v>20413846</v>
      </c>
    </row>
    <row r="1981" spans="2:7">
      <c r="B1981" s="18">
        <v>8025</v>
      </c>
      <c r="C1981" s="17">
        <v>58</v>
      </c>
      <c r="D1981" s="17" t="s">
        <v>3526</v>
      </c>
      <c r="E1981" s="22">
        <v>59</v>
      </c>
      <c r="F1981" s="19">
        <v>2406789</v>
      </c>
      <c r="G1981" s="19">
        <v>22820635</v>
      </c>
    </row>
    <row r="1982" spans="2:7">
      <c r="B1982" s="18">
        <v>8025</v>
      </c>
      <c r="C1982" s="17">
        <v>59</v>
      </c>
      <c r="D1982" s="17" t="s">
        <v>2821</v>
      </c>
      <c r="E1982" s="22">
        <v>60</v>
      </c>
      <c r="F1982" s="19">
        <v>2644541</v>
      </c>
      <c r="G1982" s="19">
        <v>25465176</v>
      </c>
    </row>
    <row r="1983" spans="2:7">
      <c r="B1983" s="18">
        <v>8025</v>
      </c>
      <c r="C1983" s="17">
        <v>60</v>
      </c>
      <c r="D1983" s="17" t="s">
        <v>3527</v>
      </c>
      <c r="E1983" s="22">
        <v>61</v>
      </c>
      <c r="F1983" s="19">
        <v>2901257</v>
      </c>
      <c r="G1983" s="19">
        <v>28366433</v>
      </c>
    </row>
    <row r="1984" spans="2:7">
      <c r="B1984" s="18">
        <v>8025</v>
      </c>
      <c r="C1984" s="17">
        <v>61</v>
      </c>
      <c r="D1984" s="17" t="s">
        <v>3528</v>
      </c>
      <c r="E1984" s="22">
        <v>62</v>
      </c>
      <c r="F1984" s="19">
        <v>3178093</v>
      </c>
      <c r="G1984" s="19">
        <v>31544526</v>
      </c>
    </row>
    <row r="1985" spans="2:7">
      <c r="B1985" s="18">
        <v>8025</v>
      </c>
      <c r="C1985" s="17">
        <v>62</v>
      </c>
      <c r="D1985" s="17" t="s">
        <v>3529</v>
      </c>
      <c r="E1985" s="22">
        <v>63</v>
      </c>
      <c r="F1985" s="19">
        <v>3476257</v>
      </c>
      <c r="G1985" s="19">
        <v>35020783</v>
      </c>
    </row>
    <row r="1986" spans="2:7">
      <c r="B1986" s="18">
        <v>8025</v>
      </c>
      <c r="C1986" s="17">
        <v>63</v>
      </c>
      <c r="D1986" s="17" t="s">
        <v>3530</v>
      </c>
      <c r="E1986" s="22">
        <v>64</v>
      </c>
      <c r="F1986" s="19">
        <v>3797008</v>
      </c>
      <c r="G1986" s="19">
        <v>38817791</v>
      </c>
    </row>
    <row r="1987" spans="2:7">
      <c r="B1987" s="18">
        <v>8025</v>
      </c>
      <c r="C1987" s="17">
        <v>64</v>
      </c>
      <c r="D1987" s="17" t="s">
        <v>3531</v>
      </c>
      <c r="E1987" s="22">
        <v>65</v>
      </c>
      <c r="F1987" s="19">
        <v>4141658</v>
      </c>
      <c r="G1987" s="19">
        <v>42959449</v>
      </c>
    </row>
    <row r="1988" spans="2:7">
      <c r="B1988" s="18">
        <v>8025</v>
      </c>
      <c r="C1988" s="17">
        <v>65</v>
      </c>
      <c r="D1988" s="17" t="s">
        <v>3532</v>
      </c>
      <c r="E1988" s="22">
        <v>66</v>
      </c>
      <c r="F1988" s="19">
        <v>4511570</v>
      </c>
      <c r="G1988" s="19">
        <v>47471019</v>
      </c>
    </row>
    <row r="1989" spans="2:7">
      <c r="B1989" s="18">
        <v>8025</v>
      </c>
      <c r="C1989" s="17">
        <v>66</v>
      </c>
      <c r="D1989" s="17" t="s">
        <v>3533</v>
      </c>
      <c r="E1989" s="22">
        <v>67</v>
      </c>
      <c r="F1989" s="19">
        <v>4908164</v>
      </c>
      <c r="G1989" s="19">
        <v>52379183</v>
      </c>
    </row>
    <row r="1990" spans="2:7">
      <c r="B1990" s="18">
        <v>8025</v>
      </c>
      <c r="C1990" s="17">
        <v>67</v>
      </c>
      <c r="D1990" s="17" t="s">
        <v>3534</v>
      </c>
      <c r="E1990" s="22">
        <v>68</v>
      </c>
      <c r="F1990" s="19">
        <v>5332916</v>
      </c>
      <c r="G1990" s="19">
        <v>57712099</v>
      </c>
    </row>
    <row r="1991" spans="2:7">
      <c r="B1991" s="18">
        <v>8025</v>
      </c>
      <c r="C1991" s="17">
        <v>68</v>
      </c>
      <c r="D1991" s="17" t="s">
        <v>3535</v>
      </c>
      <c r="E1991" s="22">
        <v>69</v>
      </c>
      <c r="F1991" s="19">
        <v>5787359</v>
      </c>
      <c r="G1991" s="19">
        <v>63499458</v>
      </c>
    </row>
    <row r="1992" spans="2:7">
      <c r="B1992" s="18">
        <v>8025</v>
      </c>
      <c r="C1992" s="17">
        <v>69</v>
      </c>
      <c r="D1992" s="17" t="s">
        <v>3536</v>
      </c>
      <c r="E1992" s="22">
        <v>70</v>
      </c>
      <c r="F1992" s="19">
        <v>6273084</v>
      </c>
      <c r="G1992" s="19">
        <v>69772542</v>
      </c>
    </row>
    <row r="1993" spans="2:7">
      <c r="B1993" s="18">
        <v>8025</v>
      </c>
      <c r="C1993" s="17">
        <v>70</v>
      </c>
      <c r="D1993" s="17" t="s">
        <v>3537</v>
      </c>
      <c r="E1993" s="22">
        <v>71</v>
      </c>
      <c r="F1993" s="19">
        <v>6791743</v>
      </c>
      <c r="G1993" s="19">
        <v>76564285</v>
      </c>
    </row>
    <row r="1994" spans="2:7">
      <c r="B1994" s="18">
        <v>8025</v>
      </c>
      <c r="C1994" s="17">
        <v>71</v>
      </c>
      <c r="D1994" s="17" t="s">
        <v>3538</v>
      </c>
      <c r="E1994" s="22">
        <v>72</v>
      </c>
      <c r="F1994" s="19">
        <v>7345048</v>
      </c>
      <c r="G1994" s="19">
        <v>83909333</v>
      </c>
    </row>
    <row r="1995" spans="2:7">
      <c r="B1995" s="18">
        <v>8025</v>
      </c>
      <c r="C1995" s="17">
        <v>72</v>
      </c>
      <c r="D1995" s="17" t="s">
        <v>3539</v>
      </c>
      <c r="E1995" s="22">
        <v>73</v>
      </c>
      <c r="F1995" s="19">
        <v>7934776</v>
      </c>
      <c r="G1995" s="19">
        <v>91844109</v>
      </c>
    </row>
    <row r="1996" spans="2:7">
      <c r="B1996" s="18">
        <v>8025</v>
      </c>
      <c r="C1996" s="17">
        <v>73</v>
      </c>
      <c r="D1996" s="17" t="s">
        <v>3540</v>
      </c>
      <c r="E1996" s="22">
        <v>74</v>
      </c>
      <c r="F1996" s="19">
        <v>8562766</v>
      </c>
      <c r="G1996" s="19">
        <v>100406875</v>
      </c>
    </row>
    <row r="1997" spans="2:7">
      <c r="B1997" s="18">
        <v>8025</v>
      </c>
      <c r="C1997" s="17">
        <v>74</v>
      </c>
      <c r="D1997" s="17" t="s">
        <v>3541</v>
      </c>
      <c r="E1997" s="22">
        <v>75</v>
      </c>
      <c r="F1997" s="19">
        <v>9230923</v>
      </c>
      <c r="G1997" s="19">
        <v>109637798</v>
      </c>
    </row>
    <row r="1998" spans="2:7">
      <c r="B1998" s="18">
        <v>8025</v>
      </c>
      <c r="C1998" s="17">
        <v>75</v>
      </c>
      <c r="D1998" s="17" t="s">
        <v>3542</v>
      </c>
      <c r="E1998" s="22">
        <v>76</v>
      </c>
      <c r="F1998" s="19">
        <v>9941221</v>
      </c>
      <c r="G1998" s="19">
        <v>119579019</v>
      </c>
    </row>
    <row r="1999" spans="2:7">
      <c r="B1999" s="18">
        <v>8025</v>
      </c>
      <c r="C1999" s="17">
        <v>76</v>
      </c>
      <c r="D1999" s="17" t="s">
        <v>3543</v>
      </c>
      <c r="E1999" s="22">
        <v>77</v>
      </c>
      <c r="F1999" s="19">
        <v>10695699</v>
      </c>
      <c r="G1999" s="19">
        <v>130274718</v>
      </c>
    </row>
    <row r="2000" spans="2:7">
      <c r="B2000" s="18">
        <v>8025</v>
      </c>
      <c r="C2000" s="17">
        <v>77</v>
      </c>
      <c r="D2000" s="17" t="s">
        <v>3544</v>
      </c>
      <c r="E2000" s="22">
        <v>78</v>
      </c>
      <c r="F2000" s="19">
        <v>11496467</v>
      </c>
      <c r="G2000" s="19">
        <v>141771185</v>
      </c>
    </row>
    <row r="2001" spans="2:7">
      <c r="B2001" s="18">
        <v>8025</v>
      </c>
      <c r="C2001" s="17">
        <v>78</v>
      </c>
      <c r="D2001" s="17" t="s">
        <v>3545</v>
      </c>
      <c r="E2001" s="22">
        <v>79</v>
      </c>
      <c r="F2001" s="19">
        <v>12345707</v>
      </c>
      <c r="G2001" s="19">
        <v>154116892</v>
      </c>
    </row>
    <row r="2002" spans="2:7">
      <c r="B2002" s="18">
        <v>8025</v>
      </c>
      <c r="C2002" s="17">
        <v>79</v>
      </c>
      <c r="D2002" s="17" t="s">
        <v>3546</v>
      </c>
      <c r="E2002" s="22">
        <v>80</v>
      </c>
      <c r="F2002" s="19">
        <v>13245672</v>
      </c>
      <c r="G2002" s="19">
        <v>167362564</v>
      </c>
    </row>
    <row r="2003" spans="2:7">
      <c r="B2003" s="18">
        <v>8025</v>
      </c>
      <c r="C2003" s="17">
        <v>80</v>
      </c>
      <c r="D2003" s="17" t="s">
        <v>3547</v>
      </c>
      <c r="E2003" s="22" t="s">
        <v>1762</v>
      </c>
      <c r="F2003" s="19">
        <v>14198688</v>
      </c>
      <c r="G2003" s="19">
        <v>181561252</v>
      </c>
    </row>
    <row r="2004" spans="2:7">
      <c r="B2004" s="18">
        <v>8026</v>
      </c>
      <c r="C2004" s="17">
        <v>1</v>
      </c>
      <c r="D2004" s="17" t="s">
        <v>3548</v>
      </c>
      <c r="E2004" s="17">
        <v>2</v>
      </c>
      <c r="F2004" s="26">
        <v>0</v>
      </c>
      <c r="G2004" s="19">
        <v>0</v>
      </c>
    </row>
    <row r="2005" spans="2:7">
      <c r="B2005" s="18">
        <v>8026</v>
      </c>
      <c r="C2005" s="17">
        <v>2</v>
      </c>
      <c r="D2005" s="17" t="s">
        <v>3549</v>
      </c>
      <c r="E2005" s="17">
        <v>3</v>
      </c>
      <c r="F2005" s="19">
        <v>143</v>
      </c>
      <c r="G2005" s="19">
        <v>143</v>
      </c>
    </row>
    <row r="2006" spans="2:7">
      <c r="B2006" s="18">
        <v>8026</v>
      </c>
      <c r="C2006" s="17">
        <v>3</v>
      </c>
      <c r="D2006" s="17" t="s">
        <v>3550</v>
      </c>
      <c r="E2006" s="17">
        <v>4</v>
      </c>
      <c r="F2006" s="19">
        <v>299</v>
      </c>
      <c r="G2006" s="19">
        <v>442</v>
      </c>
    </row>
    <row r="2007" spans="2:7">
      <c r="B2007" s="18">
        <v>8026</v>
      </c>
      <c r="C2007" s="17">
        <v>4</v>
      </c>
      <c r="D2007" s="17" t="s">
        <v>3551</v>
      </c>
      <c r="E2007" s="17">
        <v>5</v>
      </c>
      <c r="F2007" s="19">
        <v>468</v>
      </c>
      <c r="G2007" s="19">
        <v>910</v>
      </c>
    </row>
    <row r="2008" spans="2:7">
      <c r="B2008" s="18">
        <v>8026</v>
      </c>
      <c r="C2008" s="17">
        <v>5</v>
      </c>
      <c r="D2008" s="17" t="s">
        <v>3552</v>
      </c>
      <c r="E2008" s="17">
        <v>6</v>
      </c>
      <c r="F2008" s="19">
        <v>651</v>
      </c>
      <c r="G2008" s="19">
        <v>1561</v>
      </c>
    </row>
    <row r="2009" spans="2:7">
      <c r="B2009" s="18">
        <v>8026</v>
      </c>
      <c r="C2009" s="17">
        <v>6</v>
      </c>
      <c r="D2009" s="17" t="s">
        <v>3553</v>
      </c>
      <c r="E2009" s="17">
        <v>7</v>
      </c>
      <c r="F2009" s="19">
        <v>850</v>
      </c>
      <c r="G2009" s="19">
        <v>2411</v>
      </c>
    </row>
    <row r="2010" spans="2:7">
      <c r="B2010" s="18">
        <v>8026</v>
      </c>
      <c r="C2010" s="17">
        <v>7</v>
      </c>
      <c r="D2010" s="17" t="s">
        <v>3554</v>
      </c>
      <c r="E2010" s="17">
        <v>8</v>
      </c>
      <c r="F2010" s="19">
        <v>1067</v>
      </c>
      <c r="G2010" s="19">
        <v>3478</v>
      </c>
    </row>
    <row r="2011" spans="2:7">
      <c r="B2011" s="18">
        <v>8026</v>
      </c>
      <c r="C2011" s="17">
        <v>8</v>
      </c>
      <c r="D2011" s="17" t="s">
        <v>3555</v>
      </c>
      <c r="E2011" s="17">
        <v>9</v>
      </c>
      <c r="F2011" s="19">
        <v>1307</v>
      </c>
      <c r="G2011" s="19">
        <v>4785</v>
      </c>
    </row>
    <row r="2012" spans="2:7">
      <c r="B2012" s="18">
        <v>8026</v>
      </c>
      <c r="C2012" s="17">
        <v>9</v>
      </c>
      <c r="D2012" s="17" t="s">
        <v>3556</v>
      </c>
      <c r="E2012" s="17">
        <v>10</v>
      </c>
      <c r="F2012" s="19">
        <v>1578</v>
      </c>
      <c r="G2012" s="19">
        <v>6363</v>
      </c>
    </row>
    <row r="2013" spans="2:7">
      <c r="B2013" s="18">
        <v>8026</v>
      </c>
      <c r="C2013" s="17">
        <v>10</v>
      </c>
      <c r="D2013" s="17" t="s">
        <v>3557</v>
      </c>
      <c r="E2013" s="17">
        <v>11</v>
      </c>
      <c r="F2013" s="19">
        <v>1888</v>
      </c>
      <c r="G2013" s="19">
        <v>8251</v>
      </c>
    </row>
    <row r="2014" spans="2:7">
      <c r="B2014" s="18">
        <v>8026</v>
      </c>
      <c r="C2014" s="17">
        <v>11</v>
      </c>
      <c r="D2014" s="17" t="s">
        <v>3558</v>
      </c>
      <c r="E2014" s="17">
        <v>12</v>
      </c>
      <c r="F2014" s="19">
        <v>2251</v>
      </c>
      <c r="G2014" s="19">
        <v>10502</v>
      </c>
    </row>
    <row r="2015" spans="2:7">
      <c r="B2015" s="18">
        <v>8026</v>
      </c>
      <c r="C2015" s="17">
        <v>12</v>
      </c>
      <c r="D2015" s="17" t="s">
        <v>3559</v>
      </c>
      <c r="E2015" s="17">
        <v>13</v>
      </c>
      <c r="F2015" s="19">
        <v>2681</v>
      </c>
      <c r="G2015" s="19">
        <v>13183</v>
      </c>
    </row>
    <row r="2016" spans="2:7">
      <c r="B2016" s="18">
        <v>8026</v>
      </c>
      <c r="C2016" s="17">
        <v>13</v>
      </c>
      <c r="D2016" s="17" t="s">
        <v>2495</v>
      </c>
      <c r="E2016" s="17">
        <v>14</v>
      </c>
      <c r="F2016" s="19">
        <v>3200</v>
      </c>
      <c r="G2016" s="19">
        <v>16383</v>
      </c>
    </row>
    <row r="2017" spans="2:7">
      <c r="B2017" s="18">
        <v>8026</v>
      </c>
      <c r="C2017" s="17">
        <v>14</v>
      </c>
      <c r="D2017" s="17" t="s">
        <v>2497</v>
      </c>
      <c r="E2017" s="17">
        <v>15</v>
      </c>
      <c r="F2017" s="19">
        <v>3833</v>
      </c>
      <c r="G2017" s="19">
        <v>20216</v>
      </c>
    </row>
    <row r="2018" spans="2:7">
      <c r="B2018" s="18">
        <v>8026</v>
      </c>
      <c r="C2018" s="17">
        <v>15</v>
      </c>
      <c r="D2018" s="17" t="s">
        <v>3560</v>
      </c>
      <c r="E2018" s="17">
        <v>16</v>
      </c>
      <c r="F2018" s="19">
        <v>4612</v>
      </c>
      <c r="G2018" s="19">
        <v>24828</v>
      </c>
    </row>
    <row r="2019" spans="2:7">
      <c r="B2019" s="18">
        <v>8026</v>
      </c>
      <c r="C2019" s="17">
        <v>16</v>
      </c>
      <c r="D2019" s="17" t="s">
        <v>3561</v>
      </c>
      <c r="E2019" s="17">
        <v>17</v>
      </c>
      <c r="F2019" s="19">
        <v>5574</v>
      </c>
      <c r="G2019" s="19">
        <v>30402</v>
      </c>
    </row>
    <row r="2020" spans="2:7">
      <c r="B2020" s="18">
        <v>8026</v>
      </c>
      <c r="C2020" s="17">
        <v>17</v>
      </c>
      <c r="D2020" s="17" t="s">
        <v>3562</v>
      </c>
      <c r="E2020" s="17">
        <v>18</v>
      </c>
      <c r="F2020" s="19">
        <v>6763</v>
      </c>
      <c r="G2020" s="19">
        <v>37165</v>
      </c>
    </row>
    <row r="2021" spans="2:7">
      <c r="B2021" s="18">
        <v>8026</v>
      </c>
      <c r="C2021" s="17">
        <v>18</v>
      </c>
      <c r="D2021" s="17" t="s">
        <v>3563</v>
      </c>
      <c r="E2021" s="17">
        <v>19</v>
      </c>
      <c r="F2021" s="19">
        <v>8232</v>
      </c>
      <c r="G2021" s="19">
        <v>45397</v>
      </c>
    </row>
    <row r="2022" spans="2:7">
      <c r="B2022" s="18">
        <v>8026</v>
      </c>
      <c r="C2022" s="17">
        <v>19</v>
      </c>
      <c r="D2022" s="17" t="s">
        <v>3564</v>
      </c>
      <c r="E2022" s="17">
        <v>20</v>
      </c>
      <c r="F2022" s="19">
        <v>10043</v>
      </c>
      <c r="G2022" s="19">
        <v>55440</v>
      </c>
    </row>
    <row r="2023" spans="2:7">
      <c r="B2023" s="18">
        <v>8026</v>
      </c>
      <c r="C2023" s="17">
        <v>20</v>
      </c>
      <c r="D2023" s="17" t="s">
        <v>3565</v>
      </c>
      <c r="E2023" s="17">
        <v>21</v>
      </c>
      <c r="F2023" s="19">
        <v>12266</v>
      </c>
      <c r="G2023" s="19">
        <v>67706</v>
      </c>
    </row>
    <row r="2024" spans="2:7">
      <c r="B2024" s="18">
        <v>8026</v>
      </c>
      <c r="C2024" s="17">
        <v>21</v>
      </c>
      <c r="D2024" s="17" t="s">
        <v>3566</v>
      </c>
      <c r="E2024" s="17">
        <v>22</v>
      </c>
      <c r="F2024" s="19">
        <v>14981</v>
      </c>
      <c r="G2024" s="19">
        <v>82687</v>
      </c>
    </row>
    <row r="2025" spans="2:7">
      <c r="B2025" s="18">
        <v>8026</v>
      </c>
      <c r="C2025" s="17">
        <v>22</v>
      </c>
      <c r="D2025" s="17" t="s">
        <v>3567</v>
      </c>
      <c r="E2025" s="17">
        <v>23</v>
      </c>
      <c r="F2025" s="19">
        <v>18280</v>
      </c>
      <c r="G2025" s="19">
        <v>100967</v>
      </c>
    </row>
    <row r="2026" spans="2:7">
      <c r="B2026" s="18">
        <v>8026</v>
      </c>
      <c r="C2026" s="17">
        <v>23</v>
      </c>
      <c r="D2026" s="17" t="s">
        <v>3568</v>
      </c>
      <c r="E2026" s="17">
        <v>24</v>
      </c>
      <c r="F2026" s="19">
        <v>22266</v>
      </c>
      <c r="G2026" s="19">
        <v>123233</v>
      </c>
    </row>
    <row r="2027" spans="2:7">
      <c r="B2027" s="18">
        <v>8026</v>
      </c>
      <c r="C2027" s="17">
        <v>24</v>
      </c>
      <c r="D2027" s="17" t="s">
        <v>3569</v>
      </c>
      <c r="E2027" s="17">
        <v>25</v>
      </c>
      <c r="F2027" s="19">
        <v>27056</v>
      </c>
      <c r="G2027" s="19">
        <v>150289</v>
      </c>
    </row>
    <row r="2028" spans="2:7">
      <c r="B2028" s="18">
        <v>8026</v>
      </c>
      <c r="C2028" s="17">
        <v>25</v>
      </c>
      <c r="D2028" s="17" t="s">
        <v>3570</v>
      </c>
      <c r="E2028" s="17">
        <v>26</v>
      </c>
      <c r="F2028" s="19">
        <v>32780</v>
      </c>
      <c r="G2028" s="19">
        <v>183069</v>
      </c>
    </row>
    <row r="2029" spans="2:7">
      <c r="B2029" s="18">
        <v>8026</v>
      </c>
      <c r="C2029" s="17">
        <v>26</v>
      </c>
      <c r="D2029" s="17" t="s">
        <v>3571</v>
      </c>
      <c r="E2029" s="17">
        <v>27</v>
      </c>
      <c r="F2029" s="19">
        <v>39582</v>
      </c>
      <c r="G2029" s="19">
        <v>222651</v>
      </c>
    </row>
    <row r="2030" spans="2:7">
      <c r="B2030" s="18">
        <v>8026</v>
      </c>
      <c r="C2030" s="17">
        <v>27</v>
      </c>
      <c r="D2030" s="17" t="s">
        <v>3572</v>
      </c>
      <c r="E2030" s="17">
        <v>28</v>
      </c>
      <c r="F2030" s="19">
        <v>47622</v>
      </c>
      <c r="G2030" s="19">
        <v>270273</v>
      </c>
    </row>
    <row r="2031" spans="2:7">
      <c r="B2031" s="18">
        <v>8026</v>
      </c>
      <c r="C2031" s="17">
        <v>28</v>
      </c>
      <c r="D2031" s="17" t="s">
        <v>3573</v>
      </c>
      <c r="E2031" s="17">
        <v>29</v>
      </c>
      <c r="F2031" s="19">
        <v>57077</v>
      </c>
      <c r="G2031" s="19">
        <v>327350</v>
      </c>
    </row>
    <row r="2032" spans="2:7">
      <c r="B2032" s="18">
        <v>8026</v>
      </c>
      <c r="C2032" s="17">
        <v>29</v>
      </c>
      <c r="D2032" s="17" t="s">
        <v>3574</v>
      </c>
      <c r="E2032" s="17">
        <v>30</v>
      </c>
      <c r="F2032" s="19">
        <v>68142</v>
      </c>
      <c r="G2032" s="19">
        <v>395492</v>
      </c>
    </row>
    <row r="2033" spans="2:7">
      <c r="B2033" s="18">
        <v>8026</v>
      </c>
      <c r="C2033" s="17">
        <v>30</v>
      </c>
      <c r="D2033" s="17" t="s">
        <v>3575</v>
      </c>
      <c r="E2033" s="17">
        <v>31</v>
      </c>
      <c r="F2033" s="19">
        <v>81027</v>
      </c>
      <c r="G2033" s="19">
        <v>476519</v>
      </c>
    </row>
    <row r="2034" spans="2:7">
      <c r="B2034" s="18">
        <v>8026</v>
      </c>
      <c r="C2034" s="17">
        <v>31</v>
      </c>
      <c r="D2034" s="17" t="s">
        <v>3576</v>
      </c>
      <c r="E2034" s="17">
        <v>32</v>
      </c>
      <c r="F2034" s="19">
        <v>95966</v>
      </c>
      <c r="G2034" s="19">
        <v>572485</v>
      </c>
    </row>
    <row r="2035" spans="2:7">
      <c r="B2035" s="18">
        <v>8026</v>
      </c>
      <c r="C2035" s="17">
        <v>32</v>
      </c>
      <c r="D2035" s="17" t="s">
        <v>3577</v>
      </c>
      <c r="E2035" s="17">
        <v>33</v>
      </c>
      <c r="F2035" s="19">
        <v>113209</v>
      </c>
      <c r="G2035" s="19">
        <v>685694</v>
      </c>
    </row>
    <row r="2036" spans="2:7">
      <c r="B2036" s="18">
        <v>8026</v>
      </c>
      <c r="C2036" s="17">
        <v>33</v>
      </c>
      <c r="D2036" s="17" t="s">
        <v>3578</v>
      </c>
      <c r="E2036" s="17">
        <v>34</v>
      </c>
      <c r="F2036" s="19">
        <v>133032</v>
      </c>
      <c r="G2036" s="19">
        <v>818726</v>
      </c>
    </row>
    <row r="2037" spans="2:7">
      <c r="B2037" s="18">
        <v>8026</v>
      </c>
      <c r="C2037" s="17">
        <v>34</v>
      </c>
      <c r="D2037" s="17" t="s">
        <v>3579</v>
      </c>
      <c r="E2037" s="17">
        <v>35</v>
      </c>
      <c r="F2037" s="19">
        <v>155732</v>
      </c>
      <c r="G2037" s="19">
        <v>974458</v>
      </c>
    </row>
    <row r="2038" spans="2:7">
      <c r="B2038" s="18">
        <v>8026</v>
      </c>
      <c r="C2038" s="17">
        <v>35</v>
      </c>
      <c r="D2038" s="17" t="s">
        <v>3580</v>
      </c>
      <c r="E2038" s="17">
        <v>36</v>
      </c>
      <c r="F2038" s="19">
        <v>181628</v>
      </c>
      <c r="G2038" s="19">
        <v>1156086</v>
      </c>
    </row>
    <row r="2039" spans="2:7">
      <c r="B2039" s="18">
        <v>8026</v>
      </c>
      <c r="C2039" s="17">
        <v>36</v>
      </c>
      <c r="D2039" s="17" t="s">
        <v>3581</v>
      </c>
      <c r="E2039" s="17">
        <v>37</v>
      </c>
      <c r="F2039" s="19">
        <v>211065</v>
      </c>
      <c r="G2039" s="19">
        <v>1367151</v>
      </c>
    </row>
    <row r="2040" spans="2:7">
      <c r="B2040" s="18">
        <v>8026</v>
      </c>
      <c r="C2040" s="17">
        <v>37</v>
      </c>
      <c r="D2040" s="17" t="s">
        <v>3582</v>
      </c>
      <c r="E2040" s="17">
        <v>38</v>
      </c>
      <c r="F2040" s="19">
        <v>244415</v>
      </c>
      <c r="G2040" s="19">
        <v>1611566</v>
      </c>
    </row>
    <row r="2041" spans="2:7">
      <c r="B2041" s="18">
        <v>8026</v>
      </c>
      <c r="C2041" s="17">
        <v>38</v>
      </c>
      <c r="D2041" s="17" t="s">
        <v>3583</v>
      </c>
      <c r="E2041" s="17">
        <v>39</v>
      </c>
      <c r="F2041" s="19">
        <v>282076</v>
      </c>
      <c r="G2041" s="19">
        <v>1893642</v>
      </c>
    </row>
    <row r="2042" spans="2:7">
      <c r="B2042" s="18">
        <v>8026</v>
      </c>
      <c r="C2042" s="17">
        <v>39</v>
      </c>
      <c r="D2042" s="17" t="s">
        <v>3584</v>
      </c>
      <c r="E2042" s="17">
        <v>40</v>
      </c>
      <c r="F2042" s="19">
        <v>324474</v>
      </c>
      <c r="G2042" s="19">
        <v>2218116</v>
      </c>
    </row>
    <row r="2043" spans="2:7">
      <c r="B2043" s="18">
        <v>8026</v>
      </c>
      <c r="C2043" s="17">
        <v>40</v>
      </c>
      <c r="D2043" s="17" t="s">
        <v>3585</v>
      </c>
      <c r="E2043" s="17">
        <v>41</v>
      </c>
      <c r="F2043" s="19">
        <v>372065</v>
      </c>
      <c r="G2043" s="19">
        <v>2590181</v>
      </c>
    </row>
    <row r="2044" spans="2:7">
      <c r="B2044" s="18">
        <v>8026</v>
      </c>
      <c r="C2044" s="17">
        <v>41</v>
      </c>
      <c r="D2044" s="17" t="s">
        <v>3586</v>
      </c>
      <c r="E2044" s="17">
        <v>42</v>
      </c>
      <c r="F2044" s="19">
        <v>425335</v>
      </c>
      <c r="G2044" s="19">
        <v>3015516</v>
      </c>
    </row>
    <row r="2045" spans="2:7">
      <c r="B2045" s="18">
        <v>8026</v>
      </c>
      <c r="C2045" s="17">
        <v>42</v>
      </c>
      <c r="D2045" s="17" t="s">
        <v>3587</v>
      </c>
      <c r="E2045" s="17">
        <v>43</v>
      </c>
      <c r="F2045" s="19">
        <v>484802</v>
      </c>
      <c r="G2045" s="19">
        <v>3500318</v>
      </c>
    </row>
    <row r="2046" spans="2:7">
      <c r="B2046" s="18">
        <v>8026</v>
      </c>
      <c r="C2046" s="17">
        <v>43</v>
      </c>
      <c r="D2046" s="17" t="s">
        <v>3588</v>
      </c>
      <c r="E2046" s="17">
        <v>44</v>
      </c>
      <c r="F2046" s="19">
        <v>551018</v>
      </c>
      <c r="G2046" s="19">
        <v>4051336</v>
      </c>
    </row>
    <row r="2047" spans="2:7">
      <c r="B2047" s="18">
        <v>8026</v>
      </c>
      <c r="C2047" s="17">
        <v>44</v>
      </c>
      <c r="D2047" s="17" t="s">
        <v>3589</v>
      </c>
      <c r="E2047" s="17">
        <v>45</v>
      </c>
      <c r="F2047" s="19">
        <v>624566</v>
      </c>
      <c r="G2047" s="19">
        <v>4675902</v>
      </c>
    </row>
    <row r="2048" spans="2:7">
      <c r="B2048" s="18">
        <v>8026</v>
      </c>
      <c r="C2048" s="17">
        <v>45</v>
      </c>
      <c r="D2048" s="17" t="s">
        <v>3590</v>
      </c>
      <c r="E2048" s="17">
        <v>46</v>
      </c>
      <c r="F2048" s="19">
        <v>706070</v>
      </c>
      <c r="G2048" s="19">
        <v>5381972</v>
      </c>
    </row>
    <row r="2049" spans="2:7">
      <c r="B2049" s="18">
        <v>8026</v>
      </c>
      <c r="C2049" s="17">
        <v>46</v>
      </c>
      <c r="D2049" s="17" t="s">
        <v>3591</v>
      </c>
      <c r="E2049" s="17">
        <v>47</v>
      </c>
      <c r="F2049" s="19">
        <v>796185</v>
      </c>
      <c r="G2049" s="19">
        <v>6178157</v>
      </c>
    </row>
    <row r="2050" spans="2:7">
      <c r="B2050" s="18">
        <v>8026</v>
      </c>
      <c r="C2050" s="17">
        <v>47</v>
      </c>
      <c r="D2050" s="17" t="s">
        <v>3592</v>
      </c>
      <c r="E2050" s="17">
        <v>48</v>
      </c>
      <c r="F2050" s="19">
        <v>895606</v>
      </c>
      <c r="G2050" s="19">
        <v>7073763</v>
      </c>
    </row>
    <row r="2051" spans="2:7">
      <c r="B2051" s="18">
        <v>8026</v>
      </c>
      <c r="C2051" s="17">
        <v>48</v>
      </c>
      <c r="D2051" s="17" t="s">
        <v>3593</v>
      </c>
      <c r="E2051" s="17">
        <v>49</v>
      </c>
      <c r="F2051" s="19">
        <v>1005070</v>
      </c>
      <c r="G2051" s="19">
        <v>8078833</v>
      </c>
    </row>
    <row r="2052" spans="2:7">
      <c r="B2052" s="18">
        <v>8026</v>
      </c>
      <c r="C2052" s="17">
        <v>49</v>
      </c>
      <c r="D2052" s="17" t="s">
        <v>3594</v>
      </c>
      <c r="E2052" s="17">
        <v>50</v>
      </c>
      <c r="F2052" s="19">
        <v>1125351</v>
      </c>
      <c r="G2052" s="19">
        <v>9204184</v>
      </c>
    </row>
    <row r="2053" spans="2:7">
      <c r="B2053" s="18">
        <v>8026</v>
      </c>
      <c r="C2053" s="17">
        <v>50</v>
      </c>
      <c r="D2053" s="17" t="s">
        <v>3595</v>
      </c>
      <c r="E2053" s="17">
        <v>51</v>
      </c>
      <c r="F2053" s="19">
        <v>1257267</v>
      </c>
      <c r="G2053" s="19">
        <v>10461451</v>
      </c>
    </row>
    <row r="2054" spans="2:7">
      <c r="B2054" s="18">
        <v>8026</v>
      </c>
      <c r="C2054" s="17">
        <v>51</v>
      </c>
      <c r="D2054" s="17" t="s">
        <v>3596</v>
      </c>
      <c r="E2054" s="22">
        <v>52</v>
      </c>
      <c r="F2054" s="19">
        <v>1401678</v>
      </c>
      <c r="G2054" s="19">
        <v>11863129</v>
      </c>
    </row>
    <row r="2055" spans="2:7">
      <c r="B2055" s="18">
        <v>8026</v>
      </c>
      <c r="C2055" s="17">
        <v>52</v>
      </c>
      <c r="D2055" s="17" t="s">
        <v>3597</v>
      </c>
      <c r="E2055" s="22">
        <v>53</v>
      </c>
      <c r="F2055" s="19">
        <v>1559487</v>
      </c>
      <c r="G2055" s="19">
        <v>13422616</v>
      </c>
    </row>
    <row r="2056" spans="2:7">
      <c r="B2056" s="18">
        <v>8026</v>
      </c>
      <c r="C2056" s="17">
        <v>53</v>
      </c>
      <c r="D2056" s="17" t="s">
        <v>3598</v>
      </c>
      <c r="E2056" s="22">
        <v>54</v>
      </c>
      <c r="F2056" s="19">
        <v>1731649</v>
      </c>
      <c r="G2056" s="19">
        <v>15154265</v>
      </c>
    </row>
    <row r="2057" spans="2:7">
      <c r="B2057" s="18">
        <v>8026</v>
      </c>
      <c r="C2057" s="17">
        <v>54</v>
      </c>
      <c r="D2057" s="17" t="s">
        <v>3599</v>
      </c>
      <c r="E2057" s="22">
        <v>55</v>
      </c>
      <c r="F2057" s="19">
        <v>1919158</v>
      </c>
      <c r="G2057" s="19">
        <v>17073423</v>
      </c>
    </row>
    <row r="2058" spans="2:7">
      <c r="B2058" s="18">
        <v>8026</v>
      </c>
      <c r="C2058" s="17">
        <v>55</v>
      </c>
      <c r="D2058" s="17" t="s">
        <v>3600</v>
      </c>
      <c r="E2058" s="22">
        <v>56</v>
      </c>
      <c r="F2058" s="19">
        <v>2123065</v>
      </c>
      <c r="G2058" s="19">
        <v>19196488</v>
      </c>
    </row>
    <row r="2059" spans="2:7">
      <c r="B2059" s="18">
        <v>8026</v>
      </c>
      <c r="C2059" s="17">
        <v>56</v>
      </c>
      <c r="D2059" s="17" t="s">
        <v>3601</v>
      </c>
      <c r="E2059" s="22">
        <v>57</v>
      </c>
      <c r="F2059" s="19">
        <v>2344464</v>
      </c>
      <c r="G2059" s="19">
        <v>21540952</v>
      </c>
    </row>
    <row r="2060" spans="2:7">
      <c r="B2060" s="18">
        <v>8026</v>
      </c>
      <c r="C2060" s="17">
        <v>57</v>
      </c>
      <c r="D2060" s="17" t="s">
        <v>3602</v>
      </c>
      <c r="E2060" s="22">
        <v>58</v>
      </c>
      <c r="F2060" s="19">
        <v>2584504</v>
      </c>
      <c r="G2060" s="19">
        <v>24125456</v>
      </c>
    </row>
    <row r="2061" spans="2:7">
      <c r="B2061" s="18">
        <v>8026</v>
      </c>
      <c r="C2061" s="17">
        <v>58</v>
      </c>
      <c r="D2061" s="17" t="s">
        <v>3603</v>
      </c>
      <c r="E2061" s="22">
        <v>59</v>
      </c>
      <c r="F2061" s="19">
        <v>2844387</v>
      </c>
      <c r="G2061" s="19">
        <v>26969843</v>
      </c>
    </row>
    <row r="2062" spans="2:7">
      <c r="B2062" s="18">
        <v>8026</v>
      </c>
      <c r="C2062" s="17">
        <v>59</v>
      </c>
      <c r="D2062" s="17" t="s">
        <v>3604</v>
      </c>
      <c r="E2062" s="22">
        <v>60</v>
      </c>
      <c r="F2062" s="19">
        <v>3125367</v>
      </c>
      <c r="G2062" s="19">
        <v>30095210</v>
      </c>
    </row>
    <row r="2063" spans="2:7">
      <c r="B2063" s="18">
        <v>8026</v>
      </c>
      <c r="C2063" s="17">
        <v>60</v>
      </c>
      <c r="D2063" s="17" t="s">
        <v>3605</v>
      </c>
      <c r="E2063" s="22">
        <v>61</v>
      </c>
      <c r="F2063" s="19">
        <v>3428759</v>
      </c>
      <c r="G2063" s="19">
        <v>33523969</v>
      </c>
    </row>
    <row r="2064" spans="2:7">
      <c r="B2064" s="18">
        <v>8026</v>
      </c>
      <c r="C2064" s="17">
        <v>61</v>
      </c>
      <c r="D2064" s="17" t="s">
        <v>3606</v>
      </c>
      <c r="E2064" s="22">
        <v>62</v>
      </c>
      <c r="F2064" s="19">
        <v>3755928</v>
      </c>
      <c r="G2064" s="19">
        <v>37279897</v>
      </c>
    </row>
    <row r="2065" spans="2:7">
      <c r="B2065" s="18">
        <v>8026</v>
      </c>
      <c r="C2065" s="17">
        <v>62</v>
      </c>
      <c r="D2065" s="17" t="s">
        <v>3607</v>
      </c>
      <c r="E2065" s="22">
        <v>63</v>
      </c>
      <c r="F2065" s="19">
        <v>4108304</v>
      </c>
      <c r="G2065" s="19">
        <v>41388201</v>
      </c>
    </row>
    <row r="2066" spans="2:7">
      <c r="B2066" s="18">
        <v>8026</v>
      </c>
      <c r="C2066" s="17">
        <v>63</v>
      </c>
      <c r="D2066" s="17" t="s">
        <v>3608</v>
      </c>
      <c r="E2066" s="22">
        <v>64</v>
      </c>
      <c r="F2066" s="19">
        <v>4487373</v>
      </c>
      <c r="G2066" s="19">
        <v>45875574</v>
      </c>
    </row>
    <row r="2067" spans="2:7">
      <c r="B2067" s="18">
        <v>8026</v>
      </c>
      <c r="C2067" s="17">
        <v>64</v>
      </c>
      <c r="D2067" s="17" t="s">
        <v>3609</v>
      </c>
      <c r="E2067" s="22">
        <v>65</v>
      </c>
      <c r="F2067" s="19">
        <v>4894687</v>
      </c>
      <c r="G2067" s="19">
        <v>50770261</v>
      </c>
    </row>
    <row r="2068" spans="2:7">
      <c r="B2068" s="18">
        <v>8026</v>
      </c>
      <c r="C2068" s="17">
        <v>65</v>
      </c>
      <c r="D2068" s="17" t="s">
        <v>3610</v>
      </c>
      <c r="E2068" s="22">
        <v>66</v>
      </c>
      <c r="F2068" s="19">
        <v>5331856</v>
      </c>
      <c r="G2068" s="19">
        <v>56102117</v>
      </c>
    </row>
    <row r="2069" spans="2:7">
      <c r="B2069" s="18">
        <v>8026</v>
      </c>
      <c r="C2069" s="17">
        <v>66</v>
      </c>
      <c r="D2069" s="17" t="s">
        <v>3611</v>
      </c>
      <c r="E2069" s="22">
        <v>67</v>
      </c>
      <c r="F2069" s="19">
        <v>5800558</v>
      </c>
      <c r="G2069" s="19">
        <v>61902675</v>
      </c>
    </row>
    <row r="2070" spans="2:7">
      <c r="B2070" s="18">
        <v>8026</v>
      </c>
      <c r="C2070" s="17">
        <v>67</v>
      </c>
      <c r="D2070" s="17" t="s">
        <v>3612</v>
      </c>
      <c r="E2070" s="22">
        <v>68</v>
      </c>
      <c r="F2070" s="19">
        <v>6302537</v>
      </c>
      <c r="G2070" s="19">
        <v>68205212</v>
      </c>
    </row>
    <row r="2071" spans="2:7">
      <c r="B2071" s="18">
        <v>8026</v>
      </c>
      <c r="C2071" s="17">
        <v>68</v>
      </c>
      <c r="D2071" s="17" t="s">
        <v>3613</v>
      </c>
      <c r="E2071" s="22">
        <v>69</v>
      </c>
      <c r="F2071" s="19">
        <v>6839606</v>
      </c>
      <c r="G2071" s="19">
        <v>75044818</v>
      </c>
    </row>
    <row r="2072" spans="2:7">
      <c r="B2072" s="18">
        <v>8026</v>
      </c>
      <c r="C2072" s="17">
        <v>69</v>
      </c>
      <c r="D2072" s="17" t="s">
        <v>3614</v>
      </c>
      <c r="E2072" s="22">
        <v>70</v>
      </c>
      <c r="F2072" s="19">
        <v>7413645</v>
      </c>
      <c r="G2072" s="19">
        <v>82458463</v>
      </c>
    </row>
    <row r="2073" spans="2:7">
      <c r="B2073" s="18">
        <v>8026</v>
      </c>
      <c r="C2073" s="17">
        <v>70</v>
      </c>
      <c r="D2073" s="17" t="s">
        <v>3615</v>
      </c>
      <c r="E2073" s="22">
        <v>71</v>
      </c>
      <c r="F2073" s="19">
        <v>8026605</v>
      </c>
      <c r="G2073" s="19">
        <v>90485068</v>
      </c>
    </row>
    <row r="2074" spans="2:7">
      <c r="B2074" s="18">
        <v>8026</v>
      </c>
      <c r="C2074" s="17">
        <v>71</v>
      </c>
      <c r="D2074" s="17" t="s">
        <v>3616</v>
      </c>
      <c r="E2074" s="22">
        <v>72</v>
      </c>
      <c r="F2074" s="19">
        <v>8680512</v>
      </c>
      <c r="G2074" s="19">
        <v>99165580</v>
      </c>
    </row>
    <row r="2075" spans="2:7">
      <c r="B2075" s="18">
        <v>8026</v>
      </c>
      <c r="C2075" s="17">
        <v>72</v>
      </c>
      <c r="D2075" s="17" t="s">
        <v>3617</v>
      </c>
      <c r="E2075" s="22">
        <v>73</v>
      </c>
      <c r="F2075" s="19">
        <v>9377462</v>
      </c>
      <c r="G2075" s="19">
        <v>108543042</v>
      </c>
    </row>
    <row r="2076" spans="2:7">
      <c r="B2076" s="18">
        <v>8026</v>
      </c>
      <c r="C2076" s="17">
        <v>73</v>
      </c>
      <c r="D2076" s="17" t="s">
        <v>3618</v>
      </c>
      <c r="E2076" s="22">
        <v>74</v>
      </c>
      <c r="F2076" s="19">
        <v>10119632</v>
      </c>
      <c r="G2076" s="19">
        <v>118662674</v>
      </c>
    </row>
    <row r="2077" spans="2:7">
      <c r="B2077" s="18">
        <v>8026</v>
      </c>
      <c r="C2077" s="17">
        <v>74</v>
      </c>
      <c r="D2077" s="17" t="s">
        <v>3619</v>
      </c>
      <c r="E2077" s="22">
        <v>75</v>
      </c>
      <c r="F2077" s="19">
        <v>10909273</v>
      </c>
      <c r="G2077" s="19">
        <v>129571947</v>
      </c>
    </row>
    <row r="2078" spans="2:7">
      <c r="B2078" s="18">
        <v>8026</v>
      </c>
      <c r="C2078" s="17">
        <v>75</v>
      </c>
      <c r="D2078" s="17" t="s">
        <v>3620</v>
      </c>
      <c r="E2078" s="22">
        <v>76</v>
      </c>
      <c r="F2078" s="19">
        <v>11748716</v>
      </c>
      <c r="G2078" s="19">
        <v>141320663</v>
      </c>
    </row>
    <row r="2079" spans="2:7">
      <c r="B2079" s="18">
        <v>8026</v>
      </c>
      <c r="C2079" s="17">
        <v>76</v>
      </c>
      <c r="D2079" s="17" t="s">
        <v>3621</v>
      </c>
      <c r="E2079" s="22">
        <v>77</v>
      </c>
      <c r="F2079" s="19">
        <v>12640371</v>
      </c>
      <c r="G2079" s="19">
        <v>153961034</v>
      </c>
    </row>
    <row r="2080" spans="2:7">
      <c r="B2080" s="18">
        <v>8026</v>
      </c>
      <c r="C2080" s="17">
        <v>77</v>
      </c>
      <c r="D2080" s="17" t="s">
        <v>3622</v>
      </c>
      <c r="E2080" s="22">
        <v>78</v>
      </c>
      <c r="F2080" s="19">
        <v>13586734</v>
      </c>
      <c r="G2080" s="19">
        <v>167547768</v>
      </c>
    </row>
    <row r="2081" spans="2:7">
      <c r="B2081" s="18">
        <v>8026</v>
      </c>
      <c r="C2081" s="17">
        <v>78</v>
      </c>
      <c r="D2081" s="17" t="s">
        <v>3623</v>
      </c>
      <c r="E2081" s="22">
        <v>79</v>
      </c>
      <c r="F2081" s="19">
        <v>14590381</v>
      </c>
      <c r="G2081" s="19">
        <v>182138149</v>
      </c>
    </row>
    <row r="2082" spans="2:7">
      <c r="B2082" s="18">
        <v>8026</v>
      </c>
      <c r="C2082" s="17">
        <v>79</v>
      </c>
      <c r="D2082" s="17" t="s">
        <v>3624</v>
      </c>
      <c r="E2082" s="22">
        <v>80</v>
      </c>
      <c r="F2082" s="19">
        <v>15653976</v>
      </c>
      <c r="G2082" s="19">
        <v>197792125</v>
      </c>
    </row>
    <row r="2083" spans="2:7">
      <c r="B2083" s="18">
        <v>8026</v>
      </c>
      <c r="C2083" s="17">
        <v>80</v>
      </c>
      <c r="D2083" s="17" t="s">
        <v>3625</v>
      </c>
      <c r="E2083" s="22" t="s">
        <v>1762</v>
      </c>
      <c r="F2083" s="19">
        <v>16780268</v>
      </c>
      <c r="G2083" s="19">
        <v>214572393</v>
      </c>
    </row>
    <row r="2084" spans="2:7">
      <c r="B2084" s="18">
        <v>8027</v>
      </c>
      <c r="C2084" s="17">
        <v>1</v>
      </c>
      <c r="D2084" s="17" t="s">
        <v>3626</v>
      </c>
      <c r="E2084" s="17">
        <v>2</v>
      </c>
      <c r="F2084" s="26">
        <v>0</v>
      </c>
      <c r="G2084" s="19">
        <v>0</v>
      </c>
    </row>
    <row r="2085" spans="2:7">
      <c r="B2085" s="18">
        <v>8027</v>
      </c>
      <c r="C2085" s="17">
        <v>2</v>
      </c>
      <c r="D2085" s="17" t="s">
        <v>3627</v>
      </c>
      <c r="E2085" s="17">
        <v>3</v>
      </c>
      <c r="F2085" s="19">
        <v>143</v>
      </c>
      <c r="G2085" s="19">
        <v>143</v>
      </c>
    </row>
    <row r="2086" spans="2:7">
      <c r="B2086" s="18">
        <v>8027</v>
      </c>
      <c r="C2086" s="17">
        <v>3</v>
      </c>
      <c r="D2086" s="17" t="s">
        <v>3628</v>
      </c>
      <c r="E2086" s="17">
        <v>4</v>
      </c>
      <c r="F2086" s="19">
        <v>299</v>
      </c>
      <c r="G2086" s="19">
        <v>442</v>
      </c>
    </row>
    <row r="2087" spans="2:7">
      <c r="B2087" s="18">
        <v>8027</v>
      </c>
      <c r="C2087" s="17">
        <v>4</v>
      </c>
      <c r="D2087" s="17" t="s">
        <v>3629</v>
      </c>
      <c r="E2087" s="17">
        <v>5</v>
      </c>
      <c r="F2087" s="19">
        <v>468</v>
      </c>
      <c r="G2087" s="19">
        <v>910</v>
      </c>
    </row>
    <row r="2088" spans="2:7">
      <c r="B2088" s="18">
        <v>8027</v>
      </c>
      <c r="C2088" s="17">
        <v>5</v>
      </c>
      <c r="D2088" s="17" t="s">
        <v>3630</v>
      </c>
      <c r="E2088" s="17">
        <v>6</v>
      </c>
      <c r="F2088" s="19">
        <v>651</v>
      </c>
      <c r="G2088" s="19">
        <v>1561</v>
      </c>
    </row>
    <row r="2089" spans="2:7">
      <c r="B2089" s="18">
        <v>8027</v>
      </c>
      <c r="C2089" s="17">
        <v>6</v>
      </c>
      <c r="D2089" s="17" t="s">
        <v>3631</v>
      </c>
      <c r="E2089" s="17">
        <v>7</v>
      </c>
      <c r="F2089" s="19">
        <v>850</v>
      </c>
      <c r="G2089" s="19">
        <v>2411</v>
      </c>
    </row>
    <row r="2090" spans="2:7">
      <c r="B2090" s="18">
        <v>8027</v>
      </c>
      <c r="C2090" s="17">
        <v>7</v>
      </c>
      <c r="D2090" s="17" t="s">
        <v>3632</v>
      </c>
      <c r="E2090" s="17">
        <v>8</v>
      </c>
      <c r="F2090" s="19">
        <v>1067</v>
      </c>
      <c r="G2090" s="19">
        <v>3478</v>
      </c>
    </row>
    <row r="2091" spans="2:7">
      <c r="B2091" s="18">
        <v>8027</v>
      </c>
      <c r="C2091" s="17">
        <v>8</v>
      </c>
      <c r="D2091" s="17" t="s">
        <v>3633</v>
      </c>
      <c r="E2091" s="17">
        <v>9</v>
      </c>
      <c r="F2091" s="19">
        <v>1307</v>
      </c>
      <c r="G2091" s="19">
        <v>4785</v>
      </c>
    </row>
    <row r="2092" spans="2:7">
      <c r="B2092" s="18">
        <v>8027</v>
      </c>
      <c r="C2092" s="17">
        <v>9</v>
      </c>
      <c r="D2092" s="17" t="s">
        <v>3634</v>
      </c>
      <c r="E2092" s="17">
        <v>10</v>
      </c>
      <c r="F2092" s="19">
        <v>1578</v>
      </c>
      <c r="G2092" s="19">
        <v>6363</v>
      </c>
    </row>
    <row r="2093" spans="2:7">
      <c r="B2093" s="18">
        <v>8027</v>
      </c>
      <c r="C2093" s="17">
        <v>10</v>
      </c>
      <c r="D2093" s="17" t="s">
        <v>3635</v>
      </c>
      <c r="E2093" s="17">
        <v>11</v>
      </c>
      <c r="F2093" s="19">
        <v>1888</v>
      </c>
      <c r="G2093" s="19">
        <v>8251</v>
      </c>
    </row>
    <row r="2094" spans="2:7">
      <c r="B2094" s="18">
        <v>8027</v>
      </c>
      <c r="C2094" s="17">
        <v>11</v>
      </c>
      <c r="D2094" s="17" t="s">
        <v>3636</v>
      </c>
      <c r="E2094" s="17">
        <v>12</v>
      </c>
      <c r="F2094" s="19">
        <v>2251</v>
      </c>
      <c r="G2094" s="19">
        <v>10502</v>
      </c>
    </row>
    <row r="2095" spans="2:7">
      <c r="B2095" s="18">
        <v>8027</v>
      </c>
      <c r="C2095" s="17">
        <v>12</v>
      </c>
      <c r="D2095" s="17" t="s">
        <v>3637</v>
      </c>
      <c r="E2095" s="17">
        <v>13</v>
      </c>
      <c r="F2095" s="19">
        <v>2681</v>
      </c>
      <c r="G2095" s="19">
        <v>13183</v>
      </c>
    </row>
    <row r="2096" spans="2:7">
      <c r="B2096" s="18">
        <v>8027</v>
      </c>
      <c r="C2096" s="17">
        <v>13</v>
      </c>
      <c r="D2096" s="17" t="s">
        <v>2571</v>
      </c>
      <c r="E2096" s="17">
        <v>14</v>
      </c>
      <c r="F2096" s="19">
        <v>3200</v>
      </c>
      <c r="G2096" s="19">
        <v>16383</v>
      </c>
    </row>
    <row r="2097" spans="2:7">
      <c r="B2097" s="18">
        <v>8027</v>
      </c>
      <c r="C2097" s="17">
        <v>14</v>
      </c>
      <c r="D2097" s="17" t="s">
        <v>2573</v>
      </c>
      <c r="E2097" s="17">
        <v>15</v>
      </c>
      <c r="F2097" s="19">
        <v>3833</v>
      </c>
      <c r="G2097" s="19">
        <v>20216</v>
      </c>
    </row>
    <row r="2098" spans="2:7">
      <c r="B2098" s="18">
        <v>8027</v>
      </c>
      <c r="C2098" s="17">
        <v>15</v>
      </c>
      <c r="D2098" s="17" t="s">
        <v>3638</v>
      </c>
      <c r="E2098" s="17">
        <v>16</v>
      </c>
      <c r="F2098" s="19">
        <v>4612</v>
      </c>
      <c r="G2098" s="19">
        <v>24828</v>
      </c>
    </row>
    <row r="2099" spans="2:7">
      <c r="B2099" s="18">
        <v>8027</v>
      </c>
      <c r="C2099" s="17">
        <v>16</v>
      </c>
      <c r="D2099" s="17" t="s">
        <v>3639</v>
      </c>
      <c r="E2099" s="17">
        <v>17</v>
      </c>
      <c r="F2099" s="19">
        <v>5574</v>
      </c>
      <c r="G2099" s="19">
        <v>30402</v>
      </c>
    </row>
    <row r="2100" spans="2:7">
      <c r="B2100" s="18">
        <v>8027</v>
      </c>
      <c r="C2100" s="17">
        <v>17</v>
      </c>
      <c r="D2100" s="17" t="s">
        <v>3640</v>
      </c>
      <c r="E2100" s="17">
        <v>18</v>
      </c>
      <c r="F2100" s="19">
        <v>6763</v>
      </c>
      <c r="G2100" s="19">
        <v>37165</v>
      </c>
    </row>
    <row r="2101" spans="2:7">
      <c r="B2101" s="18">
        <v>8027</v>
      </c>
      <c r="C2101" s="17">
        <v>18</v>
      </c>
      <c r="D2101" s="17" t="s">
        <v>3641</v>
      </c>
      <c r="E2101" s="17">
        <v>19</v>
      </c>
      <c r="F2101" s="19">
        <v>8232</v>
      </c>
      <c r="G2101" s="19">
        <v>45397</v>
      </c>
    </row>
    <row r="2102" spans="2:7">
      <c r="B2102" s="18">
        <v>8027</v>
      </c>
      <c r="C2102" s="17">
        <v>19</v>
      </c>
      <c r="D2102" s="17" t="s">
        <v>3642</v>
      </c>
      <c r="E2102" s="17">
        <v>20</v>
      </c>
      <c r="F2102" s="19">
        <v>10043</v>
      </c>
      <c r="G2102" s="19">
        <v>55440</v>
      </c>
    </row>
    <row r="2103" spans="2:7">
      <c r="B2103" s="18">
        <v>8027</v>
      </c>
      <c r="C2103" s="17">
        <v>20</v>
      </c>
      <c r="D2103" s="17" t="s">
        <v>3643</v>
      </c>
      <c r="E2103" s="17">
        <v>21</v>
      </c>
      <c r="F2103" s="19">
        <v>12266</v>
      </c>
      <c r="G2103" s="19">
        <v>67706</v>
      </c>
    </row>
    <row r="2104" spans="2:7">
      <c r="B2104" s="18">
        <v>8027</v>
      </c>
      <c r="C2104" s="17">
        <v>21</v>
      </c>
      <c r="D2104" s="17" t="s">
        <v>3644</v>
      </c>
      <c r="E2104" s="17">
        <v>22</v>
      </c>
      <c r="F2104" s="19">
        <v>14981</v>
      </c>
      <c r="G2104" s="19">
        <v>82687</v>
      </c>
    </row>
    <row r="2105" spans="2:7">
      <c r="B2105" s="18">
        <v>8027</v>
      </c>
      <c r="C2105" s="17">
        <v>22</v>
      </c>
      <c r="D2105" s="17" t="s">
        <v>3645</v>
      </c>
      <c r="E2105" s="17">
        <v>23</v>
      </c>
      <c r="F2105" s="19">
        <v>18280</v>
      </c>
      <c r="G2105" s="19">
        <v>100967</v>
      </c>
    </row>
    <row r="2106" spans="2:7">
      <c r="B2106" s="18">
        <v>8027</v>
      </c>
      <c r="C2106" s="17">
        <v>23</v>
      </c>
      <c r="D2106" s="17" t="s">
        <v>3646</v>
      </c>
      <c r="E2106" s="17">
        <v>24</v>
      </c>
      <c r="F2106" s="19">
        <v>22266</v>
      </c>
      <c r="G2106" s="19">
        <v>123233</v>
      </c>
    </row>
    <row r="2107" spans="2:7">
      <c r="B2107" s="18">
        <v>8027</v>
      </c>
      <c r="C2107" s="17">
        <v>24</v>
      </c>
      <c r="D2107" s="17" t="s">
        <v>3647</v>
      </c>
      <c r="E2107" s="17">
        <v>25</v>
      </c>
      <c r="F2107" s="19">
        <v>27056</v>
      </c>
      <c r="G2107" s="19">
        <v>150289</v>
      </c>
    </row>
    <row r="2108" spans="2:7">
      <c r="B2108" s="18">
        <v>8027</v>
      </c>
      <c r="C2108" s="17">
        <v>25</v>
      </c>
      <c r="D2108" s="17" t="s">
        <v>3648</v>
      </c>
      <c r="E2108" s="17">
        <v>26</v>
      </c>
      <c r="F2108" s="19">
        <v>32780</v>
      </c>
      <c r="G2108" s="19">
        <v>183069</v>
      </c>
    </row>
    <row r="2109" spans="2:7">
      <c r="B2109" s="18">
        <v>8027</v>
      </c>
      <c r="C2109" s="17">
        <v>26</v>
      </c>
      <c r="D2109" s="17" t="s">
        <v>3649</v>
      </c>
      <c r="E2109" s="17">
        <v>27</v>
      </c>
      <c r="F2109" s="19">
        <v>39582</v>
      </c>
      <c r="G2109" s="19">
        <v>222651</v>
      </c>
    </row>
    <row r="2110" spans="2:7">
      <c r="B2110" s="18">
        <v>8027</v>
      </c>
      <c r="C2110" s="17">
        <v>27</v>
      </c>
      <c r="D2110" s="17" t="s">
        <v>3650</v>
      </c>
      <c r="E2110" s="17">
        <v>28</v>
      </c>
      <c r="F2110" s="19">
        <v>47622</v>
      </c>
      <c r="G2110" s="19">
        <v>270273</v>
      </c>
    </row>
    <row r="2111" spans="2:7">
      <c r="B2111" s="18">
        <v>8027</v>
      </c>
      <c r="C2111" s="17">
        <v>28</v>
      </c>
      <c r="D2111" s="17" t="s">
        <v>3651</v>
      </c>
      <c r="E2111" s="17">
        <v>29</v>
      </c>
      <c r="F2111" s="19">
        <v>57077</v>
      </c>
      <c r="G2111" s="19">
        <v>327350</v>
      </c>
    </row>
    <row r="2112" spans="2:7">
      <c r="B2112" s="18">
        <v>8027</v>
      </c>
      <c r="C2112" s="17">
        <v>29</v>
      </c>
      <c r="D2112" s="17" t="s">
        <v>3652</v>
      </c>
      <c r="E2112" s="17">
        <v>30</v>
      </c>
      <c r="F2112" s="19">
        <v>68142</v>
      </c>
      <c r="G2112" s="19">
        <v>395492</v>
      </c>
    </row>
    <row r="2113" spans="2:7">
      <c r="B2113" s="18">
        <v>8027</v>
      </c>
      <c r="C2113" s="17">
        <v>30</v>
      </c>
      <c r="D2113" s="17" t="s">
        <v>3653</v>
      </c>
      <c r="E2113" s="17">
        <v>31</v>
      </c>
      <c r="F2113" s="19">
        <v>81027</v>
      </c>
      <c r="G2113" s="19">
        <v>476519</v>
      </c>
    </row>
    <row r="2114" spans="2:7">
      <c r="B2114" s="18">
        <v>8027</v>
      </c>
      <c r="C2114" s="17">
        <v>31</v>
      </c>
      <c r="D2114" s="17" t="s">
        <v>3654</v>
      </c>
      <c r="E2114" s="17">
        <v>32</v>
      </c>
      <c r="F2114" s="19">
        <v>95966</v>
      </c>
      <c r="G2114" s="19">
        <v>572485</v>
      </c>
    </row>
    <row r="2115" spans="2:7">
      <c r="B2115" s="18">
        <v>8027</v>
      </c>
      <c r="C2115" s="17">
        <v>32</v>
      </c>
      <c r="D2115" s="17" t="s">
        <v>3655</v>
      </c>
      <c r="E2115" s="17">
        <v>33</v>
      </c>
      <c r="F2115" s="19">
        <v>113209</v>
      </c>
      <c r="G2115" s="19">
        <v>685694</v>
      </c>
    </row>
    <row r="2116" spans="2:7">
      <c r="B2116" s="18">
        <v>8027</v>
      </c>
      <c r="C2116" s="17">
        <v>33</v>
      </c>
      <c r="D2116" s="17" t="s">
        <v>3656</v>
      </c>
      <c r="E2116" s="17">
        <v>34</v>
      </c>
      <c r="F2116" s="19">
        <v>133032</v>
      </c>
      <c r="G2116" s="19">
        <v>818726</v>
      </c>
    </row>
    <row r="2117" spans="2:7">
      <c r="B2117" s="18">
        <v>8027</v>
      </c>
      <c r="C2117" s="17">
        <v>34</v>
      </c>
      <c r="D2117" s="17" t="s">
        <v>3657</v>
      </c>
      <c r="E2117" s="17">
        <v>35</v>
      </c>
      <c r="F2117" s="19">
        <v>155732</v>
      </c>
      <c r="G2117" s="19">
        <v>974458</v>
      </c>
    </row>
    <row r="2118" spans="2:7">
      <c r="B2118" s="18">
        <v>8027</v>
      </c>
      <c r="C2118" s="17">
        <v>35</v>
      </c>
      <c r="D2118" s="17" t="s">
        <v>3658</v>
      </c>
      <c r="E2118" s="17">
        <v>36</v>
      </c>
      <c r="F2118" s="19">
        <v>181628</v>
      </c>
      <c r="G2118" s="19">
        <v>1156086</v>
      </c>
    </row>
    <row r="2119" spans="2:7">
      <c r="B2119" s="18">
        <v>8027</v>
      </c>
      <c r="C2119" s="17">
        <v>36</v>
      </c>
      <c r="D2119" s="17" t="s">
        <v>3659</v>
      </c>
      <c r="E2119" s="17">
        <v>37</v>
      </c>
      <c r="F2119" s="19">
        <v>211065</v>
      </c>
      <c r="G2119" s="19">
        <v>1367151</v>
      </c>
    </row>
    <row r="2120" spans="2:7">
      <c r="B2120" s="18">
        <v>8027</v>
      </c>
      <c r="C2120" s="17">
        <v>37</v>
      </c>
      <c r="D2120" s="17" t="s">
        <v>3660</v>
      </c>
      <c r="E2120" s="17">
        <v>38</v>
      </c>
      <c r="F2120" s="19">
        <v>244415</v>
      </c>
      <c r="G2120" s="19">
        <v>1611566</v>
      </c>
    </row>
    <row r="2121" spans="2:7">
      <c r="B2121" s="18">
        <v>8027</v>
      </c>
      <c r="C2121" s="17">
        <v>38</v>
      </c>
      <c r="D2121" s="17" t="s">
        <v>3661</v>
      </c>
      <c r="E2121" s="17">
        <v>39</v>
      </c>
      <c r="F2121" s="19">
        <v>282076</v>
      </c>
      <c r="G2121" s="19">
        <v>1893642</v>
      </c>
    </row>
    <row r="2122" spans="2:7">
      <c r="B2122" s="18">
        <v>8027</v>
      </c>
      <c r="C2122" s="17">
        <v>39</v>
      </c>
      <c r="D2122" s="17" t="s">
        <v>3662</v>
      </c>
      <c r="E2122" s="17">
        <v>40</v>
      </c>
      <c r="F2122" s="19">
        <v>324474</v>
      </c>
      <c r="G2122" s="19">
        <v>2218116</v>
      </c>
    </row>
    <row r="2123" spans="2:7">
      <c r="B2123" s="18">
        <v>8027</v>
      </c>
      <c r="C2123" s="17">
        <v>40</v>
      </c>
      <c r="D2123" s="17" t="s">
        <v>3663</v>
      </c>
      <c r="E2123" s="17">
        <v>41</v>
      </c>
      <c r="F2123" s="19">
        <v>372065</v>
      </c>
      <c r="G2123" s="19">
        <v>2590181</v>
      </c>
    </row>
    <row r="2124" spans="2:7">
      <c r="B2124" s="18">
        <v>8027</v>
      </c>
      <c r="C2124" s="17">
        <v>41</v>
      </c>
      <c r="D2124" s="17" t="s">
        <v>3664</v>
      </c>
      <c r="E2124" s="17">
        <v>42</v>
      </c>
      <c r="F2124" s="19">
        <v>425335</v>
      </c>
      <c r="G2124" s="19">
        <v>3015516</v>
      </c>
    </row>
    <row r="2125" spans="2:7">
      <c r="B2125" s="18">
        <v>8027</v>
      </c>
      <c r="C2125" s="17">
        <v>42</v>
      </c>
      <c r="D2125" s="17" t="s">
        <v>3665</v>
      </c>
      <c r="E2125" s="17">
        <v>43</v>
      </c>
      <c r="F2125" s="19">
        <v>484802</v>
      </c>
      <c r="G2125" s="19">
        <v>3500318</v>
      </c>
    </row>
    <row r="2126" spans="2:7">
      <c r="B2126" s="18">
        <v>8027</v>
      </c>
      <c r="C2126" s="17">
        <v>43</v>
      </c>
      <c r="D2126" s="17" t="s">
        <v>3666</v>
      </c>
      <c r="E2126" s="17">
        <v>44</v>
      </c>
      <c r="F2126" s="19">
        <v>551018</v>
      </c>
      <c r="G2126" s="19">
        <v>4051336</v>
      </c>
    </row>
    <row r="2127" spans="2:7">
      <c r="B2127" s="18">
        <v>8027</v>
      </c>
      <c r="C2127" s="17">
        <v>44</v>
      </c>
      <c r="D2127" s="17" t="s">
        <v>3667</v>
      </c>
      <c r="E2127" s="17">
        <v>45</v>
      </c>
      <c r="F2127" s="19">
        <v>624566</v>
      </c>
      <c r="G2127" s="19">
        <v>4675902</v>
      </c>
    </row>
    <row r="2128" spans="2:7">
      <c r="B2128" s="18">
        <v>8027</v>
      </c>
      <c r="C2128" s="17">
        <v>45</v>
      </c>
      <c r="D2128" s="17" t="s">
        <v>3668</v>
      </c>
      <c r="E2128" s="17">
        <v>46</v>
      </c>
      <c r="F2128" s="19">
        <v>706070</v>
      </c>
      <c r="G2128" s="19">
        <v>5381972</v>
      </c>
    </row>
    <row r="2129" spans="2:7">
      <c r="B2129" s="18">
        <v>8027</v>
      </c>
      <c r="C2129" s="17">
        <v>46</v>
      </c>
      <c r="D2129" s="17" t="s">
        <v>3669</v>
      </c>
      <c r="E2129" s="17">
        <v>47</v>
      </c>
      <c r="F2129" s="19">
        <v>796185</v>
      </c>
      <c r="G2129" s="19">
        <v>6178157</v>
      </c>
    </row>
    <row r="2130" spans="2:7">
      <c r="B2130" s="18">
        <v>8027</v>
      </c>
      <c r="C2130" s="17">
        <v>47</v>
      </c>
      <c r="D2130" s="17" t="s">
        <v>3670</v>
      </c>
      <c r="E2130" s="17">
        <v>48</v>
      </c>
      <c r="F2130" s="19">
        <v>895606</v>
      </c>
      <c r="G2130" s="19">
        <v>7073763</v>
      </c>
    </row>
    <row r="2131" spans="2:7">
      <c r="B2131" s="18">
        <v>8027</v>
      </c>
      <c r="C2131" s="17">
        <v>48</v>
      </c>
      <c r="D2131" s="17" t="s">
        <v>3671</v>
      </c>
      <c r="E2131" s="17">
        <v>49</v>
      </c>
      <c r="F2131" s="19">
        <v>1005070</v>
      </c>
      <c r="G2131" s="19">
        <v>8078833</v>
      </c>
    </row>
    <row r="2132" spans="2:7">
      <c r="B2132" s="18">
        <v>8027</v>
      </c>
      <c r="C2132" s="17">
        <v>49</v>
      </c>
      <c r="D2132" s="17" t="s">
        <v>3672</v>
      </c>
      <c r="E2132" s="17">
        <v>50</v>
      </c>
      <c r="F2132" s="19">
        <v>1125351</v>
      </c>
      <c r="G2132" s="19">
        <v>9204184</v>
      </c>
    </row>
    <row r="2133" spans="2:7">
      <c r="B2133" s="18">
        <v>8027</v>
      </c>
      <c r="C2133" s="17">
        <v>50</v>
      </c>
      <c r="D2133" s="17" t="s">
        <v>3673</v>
      </c>
      <c r="E2133" s="17">
        <v>51</v>
      </c>
      <c r="F2133" s="19">
        <v>1257267</v>
      </c>
      <c r="G2133" s="19">
        <v>10461451</v>
      </c>
    </row>
    <row r="2134" spans="2:7">
      <c r="B2134" s="18">
        <v>8027</v>
      </c>
      <c r="C2134" s="17">
        <v>51</v>
      </c>
      <c r="D2134" s="17" t="s">
        <v>3674</v>
      </c>
      <c r="E2134" s="22">
        <v>52</v>
      </c>
      <c r="F2134" s="19">
        <v>1401678</v>
      </c>
      <c r="G2134" s="19">
        <v>11863129</v>
      </c>
    </row>
    <row r="2135" spans="2:7">
      <c r="B2135" s="18">
        <v>8027</v>
      </c>
      <c r="C2135" s="17">
        <v>52</v>
      </c>
      <c r="D2135" s="17" t="s">
        <v>3675</v>
      </c>
      <c r="E2135" s="22">
        <v>53</v>
      </c>
      <c r="F2135" s="19">
        <v>1559487</v>
      </c>
      <c r="G2135" s="19">
        <v>13422616</v>
      </c>
    </row>
    <row r="2136" spans="2:7">
      <c r="B2136" s="18">
        <v>8027</v>
      </c>
      <c r="C2136" s="17">
        <v>53</v>
      </c>
      <c r="D2136" s="17" t="s">
        <v>3676</v>
      </c>
      <c r="E2136" s="22">
        <v>54</v>
      </c>
      <c r="F2136" s="19">
        <v>1731649</v>
      </c>
      <c r="G2136" s="19">
        <v>15154265</v>
      </c>
    </row>
    <row r="2137" spans="2:7">
      <c r="B2137" s="18">
        <v>8027</v>
      </c>
      <c r="C2137" s="17">
        <v>54</v>
      </c>
      <c r="D2137" s="17" t="s">
        <v>3677</v>
      </c>
      <c r="E2137" s="22">
        <v>55</v>
      </c>
      <c r="F2137" s="19">
        <v>1919158</v>
      </c>
      <c r="G2137" s="19">
        <v>17073423</v>
      </c>
    </row>
    <row r="2138" spans="2:7">
      <c r="B2138" s="18">
        <v>8027</v>
      </c>
      <c r="C2138" s="17">
        <v>55</v>
      </c>
      <c r="D2138" s="17" t="s">
        <v>3678</v>
      </c>
      <c r="E2138" s="22">
        <v>56</v>
      </c>
      <c r="F2138" s="19">
        <v>2123065</v>
      </c>
      <c r="G2138" s="19">
        <v>19196488</v>
      </c>
    </row>
    <row r="2139" spans="2:7">
      <c r="B2139" s="18">
        <v>8027</v>
      </c>
      <c r="C2139" s="17">
        <v>56</v>
      </c>
      <c r="D2139" s="17" t="s">
        <v>3679</v>
      </c>
      <c r="E2139" s="22">
        <v>57</v>
      </c>
      <c r="F2139" s="19">
        <v>2344464</v>
      </c>
      <c r="G2139" s="19">
        <v>21540952</v>
      </c>
    </row>
    <row r="2140" spans="2:7">
      <c r="B2140" s="18">
        <v>8027</v>
      </c>
      <c r="C2140" s="17">
        <v>57</v>
      </c>
      <c r="D2140" s="17" t="s">
        <v>3680</v>
      </c>
      <c r="E2140" s="22">
        <v>58</v>
      </c>
      <c r="F2140" s="19">
        <v>2584504</v>
      </c>
      <c r="G2140" s="19">
        <v>24125456</v>
      </c>
    </row>
    <row r="2141" spans="2:7">
      <c r="B2141" s="18">
        <v>8027</v>
      </c>
      <c r="C2141" s="17">
        <v>58</v>
      </c>
      <c r="D2141" s="17" t="s">
        <v>3681</v>
      </c>
      <c r="E2141" s="22">
        <v>59</v>
      </c>
      <c r="F2141" s="19">
        <v>2844387</v>
      </c>
      <c r="G2141" s="19">
        <v>26969843</v>
      </c>
    </row>
    <row r="2142" spans="2:7">
      <c r="B2142" s="18">
        <v>8027</v>
      </c>
      <c r="C2142" s="17">
        <v>59</v>
      </c>
      <c r="D2142" s="17" t="s">
        <v>3682</v>
      </c>
      <c r="E2142" s="22">
        <v>60</v>
      </c>
      <c r="F2142" s="19">
        <v>3125367</v>
      </c>
      <c r="G2142" s="19">
        <v>30095210</v>
      </c>
    </row>
    <row r="2143" spans="2:7">
      <c r="B2143" s="18">
        <v>8027</v>
      </c>
      <c r="C2143" s="17">
        <v>60</v>
      </c>
      <c r="D2143" s="17" t="s">
        <v>3683</v>
      </c>
      <c r="E2143" s="22">
        <v>61</v>
      </c>
      <c r="F2143" s="19">
        <v>3428759</v>
      </c>
      <c r="G2143" s="19">
        <v>33523969</v>
      </c>
    </row>
    <row r="2144" spans="2:7">
      <c r="B2144" s="18">
        <v>8027</v>
      </c>
      <c r="C2144" s="17">
        <v>61</v>
      </c>
      <c r="D2144" s="17" t="s">
        <v>3684</v>
      </c>
      <c r="E2144" s="22">
        <v>62</v>
      </c>
      <c r="F2144" s="19">
        <v>3755928</v>
      </c>
      <c r="G2144" s="19">
        <v>37279897</v>
      </c>
    </row>
    <row r="2145" spans="2:7">
      <c r="B2145" s="18">
        <v>8027</v>
      </c>
      <c r="C2145" s="17">
        <v>62</v>
      </c>
      <c r="D2145" s="17" t="s">
        <v>3685</v>
      </c>
      <c r="E2145" s="22">
        <v>63</v>
      </c>
      <c r="F2145" s="19">
        <v>4108304</v>
      </c>
      <c r="G2145" s="19">
        <v>41388201</v>
      </c>
    </row>
    <row r="2146" spans="2:7">
      <c r="B2146" s="18">
        <v>8027</v>
      </c>
      <c r="C2146" s="17">
        <v>63</v>
      </c>
      <c r="D2146" s="17" t="s">
        <v>3686</v>
      </c>
      <c r="E2146" s="22">
        <v>64</v>
      </c>
      <c r="F2146" s="19">
        <v>4487373</v>
      </c>
      <c r="G2146" s="19">
        <v>45875574</v>
      </c>
    </row>
    <row r="2147" spans="2:7">
      <c r="B2147" s="18">
        <v>8027</v>
      </c>
      <c r="C2147" s="17">
        <v>64</v>
      </c>
      <c r="D2147" s="17" t="s">
        <v>3687</v>
      </c>
      <c r="E2147" s="22">
        <v>65</v>
      </c>
      <c r="F2147" s="19">
        <v>4894687</v>
      </c>
      <c r="G2147" s="19">
        <v>50770261</v>
      </c>
    </row>
    <row r="2148" spans="2:7">
      <c r="B2148" s="18">
        <v>8027</v>
      </c>
      <c r="C2148" s="17">
        <v>65</v>
      </c>
      <c r="D2148" s="17" t="s">
        <v>3688</v>
      </c>
      <c r="E2148" s="22">
        <v>66</v>
      </c>
      <c r="F2148" s="19">
        <v>5331856</v>
      </c>
      <c r="G2148" s="19">
        <v>56102117</v>
      </c>
    </row>
    <row r="2149" spans="2:7">
      <c r="B2149" s="18">
        <v>8027</v>
      </c>
      <c r="C2149" s="17">
        <v>66</v>
      </c>
      <c r="D2149" s="17" t="s">
        <v>3689</v>
      </c>
      <c r="E2149" s="22">
        <v>67</v>
      </c>
      <c r="F2149" s="19">
        <v>5800558</v>
      </c>
      <c r="G2149" s="19">
        <v>61902675</v>
      </c>
    </row>
    <row r="2150" spans="2:7">
      <c r="B2150" s="18">
        <v>8027</v>
      </c>
      <c r="C2150" s="17">
        <v>67</v>
      </c>
      <c r="D2150" s="17" t="s">
        <v>3690</v>
      </c>
      <c r="E2150" s="22">
        <v>68</v>
      </c>
      <c r="F2150" s="19">
        <v>6302537</v>
      </c>
      <c r="G2150" s="19">
        <v>68205212</v>
      </c>
    </row>
    <row r="2151" spans="2:7">
      <c r="B2151" s="18">
        <v>8027</v>
      </c>
      <c r="C2151" s="17">
        <v>68</v>
      </c>
      <c r="D2151" s="17" t="s">
        <v>3691</v>
      </c>
      <c r="E2151" s="22">
        <v>69</v>
      </c>
      <c r="F2151" s="19">
        <v>6839606</v>
      </c>
      <c r="G2151" s="19">
        <v>75044818</v>
      </c>
    </row>
    <row r="2152" spans="2:7">
      <c r="B2152" s="18">
        <v>8027</v>
      </c>
      <c r="C2152" s="17">
        <v>69</v>
      </c>
      <c r="D2152" s="17" t="s">
        <v>3692</v>
      </c>
      <c r="E2152" s="22">
        <v>70</v>
      </c>
      <c r="F2152" s="19">
        <v>7413645</v>
      </c>
      <c r="G2152" s="19">
        <v>82458463</v>
      </c>
    </row>
    <row r="2153" spans="2:7">
      <c r="B2153" s="18">
        <v>8027</v>
      </c>
      <c r="C2153" s="17">
        <v>70</v>
      </c>
      <c r="D2153" s="17" t="s">
        <v>3693</v>
      </c>
      <c r="E2153" s="22">
        <v>71</v>
      </c>
      <c r="F2153" s="19">
        <v>8026605</v>
      </c>
      <c r="G2153" s="19">
        <v>90485068</v>
      </c>
    </row>
    <row r="2154" spans="2:7">
      <c r="B2154" s="18">
        <v>8027</v>
      </c>
      <c r="C2154" s="17">
        <v>71</v>
      </c>
      <c r="D2154" s="17" t="s">
        <v>3694</v>
      </c>
      <c r="E2154" s="22">
        <v>72</v>
      </c>
      <c r="F2154" s="19">
        <v>8680512</v>
      </c>
      <c r="G2154" s="19">
        <v>99165580</v>
      </c>
    </row>
    <row r="2155" spans="2:7">
      <c r="B2155" s="18">
        <v>8027</v>
      </c>
      <c r="C2155" s="17">
        <v>72</v>
      </c>
      <c r="D2155" s="17" t="s">
        <v>3695</v>
      </c>
      <c r="E2155" s="22">
        <v>73</v>
      </c>
      <c r="F2155" s="19">
        <v>9377462</v>
      </c>
      <c r="G2155" s="19">
        <v>108543042</v>
      </c>
    </row>
    <row r="2156" spans="2:7">
      <c r="B2156" s="18">
        <v>8027</v>
      </c>
      <c r="C2156" s="17">
        <v>73</v>
      </c>
      <c r="D2156" s="17" t="s">
        <v>3696</v>
      </c>
      <c r="E2156" s="22">
        <v>74</v>
      </c>
      <c r="F2156" s="19">
        <v>10119632</v>
      </c>
      <c r="G2156" s="19">
        <v>118662674</v>
      </c>
    </row>
    <row r="2157" spans="2:7">
      <c r="B2157" s="18">
        <v>8027</v>
      </c>
      <c r="C2157" s="17">
        <v>74</v>
      </c>
      <c r="D2157" s="17" t="s">
        <v>3697</v>
      </c>
      <c r="E2157" s="22">
        <v>75</v>
      </c>
      <c r="F2157" s="19">
        <v>10909273</v>
      </c>
      <c r="G2157" s="19">
        <v>129571947</v>
      </c>
    </row>
    <row r="2158" spans="2:7">
      <c r="B2158" s="18">
        <v>8027</v>
      </c>
      <c r="C2158" s="17">
        <v>75</v>
      </c>
      <c r="D2158" s="17" t="s">
        <v>3698</v>
      </c>
      <c r="E2158" s="22">
        <v>76</v>
      </c>
      <c r="F2158" s="19">
        <v>11748716</v>
      </c>
      <c r="G2158" s="19">
        <v>141320663</v>
      </c>
    </row>
    <row r="2159" spans="2:7">
      <c r="B2159" s="18">
        <v>8027</v>
      </c>
      <c r="C2159" s="17">
        <v>76</v>
      </c>
      <c r="D2159" s="17" t="s">
        <v>3699</v>
      </c>
      <c r="E2159" s="22">
        <v>77</v>
      </c>
      <c r="F2159" s="19">
        <v>12640371</v>
      </c>
      <c r="G2159" s="19">
        <v>153961034</v>
      </c>
    </row>
    <row r="2160" spans="2:7">
      <c r="B2160" s="18">
        <v>8027</v>
      </c>
      <c r="C2160" s="17">
        <v>77</v>
      </c>
      <c r="D2160" s="17" t="s">
        <v>3700</v>
      </c>
      <c r="E2160" s="22">
        <v>78</v>
      </c>
      <c r="F2160" s="19">
        <v>13586734</v>
      </c>
      <c r="G2160" s="19">
        <v>167547768</v>
      </c>
    </row>
    <row r="2161" spans="2:7">
      <c r="B2161" s="18">
        <v>8027</v>
      </c>
      <c r="C2161" s="17">
        <v>78</v>
      </c>
      <c r="D2161" s="17" t="s">
        <v>3701</v>
      </c>
      <c r="E2161" s="22">
        <v>79</v>
      </c>
      <c r="F2161" s="19">
        <v>14590381</v>
      </c>
      <c r="G2161" s="19">
        <v>182138149</v>
      </c>
    </row>
    <row r="2162" spans="2:7">
      <c r="B2162" s="18">
        <v>8027</v>
      </c>
      <c r="C2162" s="17">
        <v>79</v>
      </c>
      <c r="D2162" s="17" t="s">
        <v>3702</v>
      </c>
      <c r="E2162" s="22">
        <v>80</v>
      </c>
      <c r="F2162" s="19">
        <v>15653976</v>
      </c>
      <c r="G2162" s="19">
        <v>197792125</v>
      </c>
    </row>
    <row r="2163" spans="2:7">
      <c r="B2163" s="18">
        <v>8027</v>
      </c>
      <c r="C2163" s="17">
        <v>80</v>
      </c>
      <c r="D2163" s="17" t="s">
        <v>3703</v>
      </c>
      <c r="E2163" s="22" t="s">
        <v>1762</v>
      </c>
      <c r="F2163" s="19">
        <v>16780268</v>
      </c>
      <c r="G2163" s="19">
        <v>214572393</v>
      </c>
    </row>
    <row r="2164" spans="2:7">
      <c r="B2164" s="18">
        <v>8028</v>
      </c>
      <c r="C2164" s="17">
        <v>1</v>
      </c>
      <c r="D2164" s="17" t="s">
        <v>3704</v>
      </c>
      <c r="E2164" s="17">
        <v>2</v>
      </c>
      <c r="F2164" s="26">
        <v>0</v>
      </c>
      <c r="G2164" s="19">
        <v>0</v>
      </c>
    </row>
    <row r="2165" spans="2:7">
      <c r="B2165" s="18">
        <v>8028</v>
      </c>
      <c r="C2165" s="17">
        <v>2</v>
      </c>
      <c r="D2165" s="17" t="s">
        <v>3705</v>
      </c>
      <c r="E2165" s="17">
        <v>3</v>
      </c>
      <c r="F2165" s="19">
        <v>143</v>
      </c>
      <c r="G2165" s="19">
        <v>143</v>
      </c>
    </row>
    <row r="2166" spans="2:7">
      <c r="B2166" s="18">
        <v>8028</v>
      </c>
      <c r="C2166" s="17">
        <v>3</v>
      </c>
      <c r="D2166" s="17" t="s">
        <v>3706</v>
      </c>
      <c r="E2166" s="17">
        <v>4</v>
      </c>
      <c r="F2166" s="19">
        <v>299</v>
      </c>
      <c r="G2166" s="19">
        <v>442</v>
      </c>
    </row>
    <row r="2167" spans="2:7">
      <c r="B2167" s="18">
        <v>8028</v>
      </c>
      <c r="C2167" s="17">
        <v>4</v>
      </c>
      <c r="D2167" s="17" t="s">
        <v>3707</v>
      </c>
      <c r="E2167" s="17">
        <v>5</v>
      </c>
      <c r="F2167" s="19">
        <v>468</v>
      </c>
      <c r="G2167" s="19">
        <v>910</v>
      </c>
    </row>
    <row r="2168" spans="2:7">
      <c r="B2168" s="18">
        <v>8028</v>
      </c>
      <c r="C2168" s="17">
        <v>5</v>
      </c>
      <c r="D2168" s="17" t="s">
        <v>3708</v>
      </c>
      <c r="E2168" s="17">
        <v>6</v>
      </c>
      <c r="F2168" s="19">
        <v>651</v>
      </c>
      <c r="G2168" s="19">
        <v>1561</v>
      </c>
    </row>
    <row r="2169" spans="2:7">
      <c r="B2169" s="18">
        <v>8028</v>
      </c>
      <c r="C2169" s="17">
        <v>6</v>
      </c>
      <c r="D2169" s="17" t="s">
        <v>3709</v>
      </c>
      <c r="E2169" s="17">
        <v>7</v>
      </c>
      <c r="F2169" s="19">
        <v>850</v>
      </c>
      <c r="G2169" s="19">
        <v>2411</v>
      </c>
    </row>
    <row r="2170" spans="2:7">
      <c r="B2170" s="18">
        <v>8028</v>
      </c>
      <c r="C2170" s="17">
        <v>7</v>
      </c>
      <c r="D2170" s="17" t="s">
        <v>3710</v>
      </c>
      <c r="E2170" s="17">
        <v>8</v>
      </c>
      <c r="F2170" s="19">
        <v>1067</v>
      </c>
      <c r="G2170" s="19">
        <v>3478</v>
      </c>
    </row>
    <row r="2171" spans="2:7">
      <c r="B2171" s="18">
        <v>8028</v>
      </c>
      <c r="C2171" s="17">
        <v>8</v>
      </c>
      <c r="D2171" s="17" t="s">
        <v>3711</v>
      </c>
      <c r="E2171" s="17">
        <v>9</v>
      </c>
      <c r="F2171" s="19">
        <v>1307</v>
      </c>
      <c r="G2171" s="19">
        <v>4785</v>
      </c>
    </row>
    <row r="2172" spans="2:7">
      <c r="B2172" s="18">
        <v>8028</v>
      </c>
      <c r="C2172" s="17">
        <v>9</v>
      </c>
      <c r="D2172" s="17" t="s">
        <v>3712</v>
      </c>
      <c r="E2172" s="17">
        <v>10</v>
      </c>
      <c r="F2172" s="19">
        <v>1578</v>
      </c>
      <c r="G2172" s="19">
        <v>6363</v>
      </c>
    </row>
    <row r="2173" spans="2:7">
      <c r="B2173" s="18">
        <v>8028</v>
      </c>
      <c r="C2173" s="17">
        <v>10</v>
      </c>
      <c r="D2173" s="17" t="s">
        <v>3713</v>
      </c>
      <c r="E2173" s="17">
        <v>11</v>
      </c>
      <c r="F2173" s="19">
        <v>1888</v>
      </c>
      <c r="G2173" s="19">
        <v>8251</v>
      </c>
    </row>
    <row r="2174" spans="2:7">
      <c r="B2174" s="18">
        <v>8028</v>
      </c>
      <c r="C2174" s="17">
        <v>11</v>
      </c>
      <c r="D2174" s="17" t="s">
        <v>3714</v>
      </c>
      <c r="E2174" s="17">
        <v>12</v>
      </c>
      <c r="F2174" s="19">
        <v>2251</v>
      </c>
      <c r="G2174" s="19">
        <v>10502</v>
      </c>
    </row>
    <row r="2175" spans="2:7">
      <c r="B2175" s="18">
        <v>8028</v>
      </c>
      <c r="C2175" s="17">
        <v>12</v>
      </c>
      <c r="D2175" s="17" t="s">
        <v>3715</v>
      </c>
      <c r="E2175" s="17">
        <v>13</v>
      </c>
      <c r="F2175" s="19">
        <v>2681</v>
      </c>
      <c r="G2175" s="19">
        <v>13183</v>
      </c>
    </row>
    <row r="2176" spans="2:7">
      <c r="B2176" s="18">
        <v>8028</v>
      </c>
      <c r="C2176" s="17">
        <v>13</v>
      </c>
      <c r="D2176" s="17" t="s">
        <v>2647</v>
      </c>
      <c r="E2176" s="17">
        <v>14</v>
      </c>
      <c r="F2176" s="19">
        <v>3200</v>
      </c>
      <c r="G2176" s="19">
        <v>16383</v>
      </c>
    </row>
    <row r="2177" spans="2:7">
      <c r="B2177" s="18">
        <v>8028</v>
      </c>
      <c r="C2177" s="17">
        <v>14</v>
      </c>
      <c r="D2177" s="17" t="s">
        <v>2649</v>
      </c>
      <c r="E2177" s="17">
        <v>15</v>
      </c>
      <c r="F2177" s="19">
        <v>3833</v>
      </c>
      <c r="G2177" s="19">
        <v>20216</v>
      </c>
    </row>
    <row r="2178" spans="2:7">
      <c r="B2178" s="18">
        <v>8028</v>
      </c>
      <c r="C2178" s="17">
        <v>15</v>
      </c>
      <c r="D2178" s="17" t="s">
        <v>3716</v>
      </c>
      <c r="E2178" s="17">
        <v>16</v>
      </c>
      <c r="F2178" s="19">
        <v>4612</v>
      </c>
      <c r="G2178" s="19">
        <v>24828</v>
      </c>
    </row>
    <row r="2179" spans="2:7">
      <c r="B2179" s="18">
        <v>8028</v>
      </c>
      <c r="C2179" s="17">
        <v>16</v>
      </c>
      <c r="D2179" s="17" t="s">
        <v>3717</v>
      </c>
      <c r="E2179" s="17">
        <v>17</v>
      </c>
      <c r="F2179" s="19">
        <v>5574</v>
      </c>
      <c r="G2179" s="19">
        <v>30402</v>
      </c>
    </row>
    <row r="2180" spans="2:7">
      <c r="B2180" s="18">
        <v>8028</v>
      </c>
      <c r="C2180" s="17">
        <v>17</v>
      </c>
      <c r="D2180" s="17" t="s">
        <v>3718</v>
      </c>
      <c r="E2180" s="17">
        <v>18</v>
      </c>
      <c r="F2180" s="19">
        <v>6763</v>
      </c>
      <c r="G2180" s="19">
        <v>37165</v>
      </c>
    </row>
    <row r="2181" spans="2:7">
      <c r="B2181" s="18">
        <v>8028</v>
      </c>
      <c r="C2181" s="17">
        <v>18</v>
      </c>
      <c r="D2181" s="17" t="s">
        <v>3719</v>
      </c>
      <c r="E2181" s="17">
        <v>19</v>
      </c>
      <c r="F2181" s="19">
        <v>8232</v>
      </c>
      <c r="G2181" s="19">
        <v>45397</v>
      </c>
    </row>
    <row r="2182" spans="2:7">
      <c r="B2182" s="18">
        <v>8028</v>
      </c>
      <c r="C2182" s="17">
        <v>19</v>
      </c>
      <c r="D2182" s="17" t="s">
        <v>3720</v>
      </c>
      <c r="E2182" s="17">
        <v>20</v>
      </c>
      <c r="F2182" s="19">
        <v>10043</v>
      </c>
      <c r="G2182" s="19">
        <v>55440</v>
      </c>
    </row>
    <row r="2183" spans="2:7">
      <c r="B2183" s="18">
        <v>8028</v>
      </c>
      <c r="C2183" s="17">
        <v>20</v>
      </c>
      <c r="D2183" s="17" t="s">
        <v>3721</v>
      </c>
      <c r="E2183" s="17">
        <v>21</v>
      </c>
      <c r="F2183" s="19">
        <v>12266</v>
      </c>
      <c r="G2183" s="19">
        <v>67706</v>
      </c>
    </row>
    <row r="2184" spans="2:7">
      <c r="B2184" s="18">
        <v>8028</v>
      </c>
      <c r="C2184" s="17">
        <v>21</v>
      </c>
      <c r="D2184" s="17" t="s">
        <v>3722</v>
      </c>
      <c r="E2184" s="17">
        <v>22</v>
      </c>
      <c r="F2184" s="19">
        <v>14981</v>
      </c>
      <c r="G2184" s="19">
        <v>82687</v>
      </c>
    </row>
    <row r="2185" spans="2:7">
      <c r="B2185" s="18">
        <v>8028</v>
      </c>
      <c r="C2185" s="17">
        <v>22</v>
      </c>
      <c r="D2185" s="17" t="s">
        <v>3723</v>
      </c>
      <c r="E2185" s="17">
        <v>23</v>
      </c>
      <c r="F2185" s="19">
        <v>18280</v>
      </c>
      <c r="G2185" s="19">
        <v>100967</v>
      </c>
    </row>
    <row r="2186" spans="2:7">
      <c r="B2186" s="18">
        <v>8028</v>
      </c>
      <c r="C2186" s="17">
        <v>23</v>
      </c>
      <c r="D2186" s="17" t="s">
        <v>3724</v>
      </c>
      <c r="E2186" s="17">
        <v>24</v>
      </c>
      <c r="F2186" s="19">
        <v>22266</v>
      </c>
      <c r="G2186" s="19">
        <v>123233</v>
      </c>
    </row>
    <row r="2187" spans="2:7">
      <c r="B2187" s="18">
        <v>8028</v>
      </c>
      <c r="C2187" s="17">
        <v>24</v>
      </c>
      <c r="D2187" s="17" t="s">
        <v>3725</v>
      </c>
      <c r="E2187" s="17">
        <v>25</v>
      </c>
      <c r="F2187" s="19">
        <v>27056</v>
      </c>
      <c r="G2187" s="19">
        <v>150289</v>
      </c>
    </row>
    <row r="2188" spans="2:7">
      <c r="B2188" s="18">
        <v>8028</v>
      </c>
      <c r="C2188" s="17">
        <v>25</v>
      </c>
      <c r="D2188" s="17" t="s">
        <v>3726</v>
      </c>
      <c r="E2188" s="17">
        <v>26</v>
      </c>
      <c r="F2188" s="19">
        <v>32780</v>
      </c>
      <c r="G2188" s="19">
        <v>183069</v>
      </c>
    </row>
    <row r="2189" spans="2:7">
      <c r="B2189" s="18">
        <v>8028</v>
      </c>
      <c r="C2189" s="17">
        <v>26</v>
      </c>
      <c r="D2189" s="17" t="s">
        <v>3727</v>
      </c>
      <c r="E2189" s="17">
        <v>27</v>
      </c>
      <c r="F2189" s="19">
        <v>39582</v>
      </c>
      <c r="G2189" s="19">
        <v>222651</v>
      </c>
    </row>
    <row r="2190" spans="2:7">
      <c r="B2190" s="18">
        <v>8028</v>
      </c>
      <c r="C2190" s="17">
        <v>27</v>
      </c>
      <c r="D2190" s="17" t="s">
        <v>3728</v>
      </c>
      <c r="E2190" s="17">
        <v>28</v>
      </c>
      <c r="F2190" s="19">
        <v>47622</v>
      </c>
      <c r="G2190" s="19">
        <v>270273</v>
      </c>
    </row>
    <row r="2191" spans="2:7">
      <c r="B2191" s="18">
        <v>8028</v>
      </c>
      <c r="C2191" s="17">
        <v>28</v>
      </c>
      <c r="D2191" s="17" t="s">
        <v>3729</v>
      </c>
      <c r="E2191" s="17">
        <v>29</v>
      </c>
      <c r="F2191" s="19">
        <v>57077</v>
      </c>
      <c r="G2191" s="19">
        <v>327350</v>
      </c>
    </row>
    <row r="2192" spans="2:7">
      <c r="B2192" s="18">
        <v>8028</v>
      </c>
      <c r="C2192" s="17">
        <v>29</v>
      </c>
      <c r="D2192" s="17" t="s">
        <v>3730</v>
      </c>
      <c r="E2192" s="17">
        <v>30</v>
      </c>
      <c r="F2192" s="19">
        <v>68142</v>
      </c>
      <c r="G2192" s="19">
        <v>395492</v>
      </c>
    </row>
    <row r="2193" spans="2:7">
      <c r="B2193" s="18">
        <v>8028</v>
      </c>
      <c r="C2193" s="17">
        <v>30</v>
      </c>
      <c r="D2193" s="17" t="s">
        <v>3731</v>
      </c>
      <c r="E2193" s="17">
        <v>31</v>
      </c>
      <c r="F2193" s="19">
        <v>81027</v>
      </c>
      <c r="G2193" s="19">
        <v>476519</v>
      </c>
    </row>
    <row r="2194" spans="2:7">
      <c r="B2194" s="18">
        <v>8028</v>
      </c>
      <c r="C2194" s="17">
        <v>31</v>
      </c>
      <c r="D2194" s="17" t="s">
        <v>3732</v>
      </c>
      <c r="E2194" s="17">
        <v>32</v>
      </c>
      <c r="F2194" s="19">
        <v>95966</v>
      </c>
      <c r="G2194" s="19">
        <v>572485</v>
      </c>
    </row>
    <row r="2195" spans="2:7">
      <c r="B2195" s="18">
        <v>8028</v>
      </c>
      <c r="C2195" s="17">
        <v>32</v>
      </c>
      <c r="D2195" s="17" t="s">
        <v>3733</v>
      </c>
      <c r="E2195" s="17">
        <v>33</v>
      </c>
      <c r="F2195" s="19">
        <v>113209</v>
      </c>
      <c r="G2195" s="19">
        <v>685694</v>
      </c>
    </row>
    <row r="2196" spans="2:7">
      <c r="B2196" s="18">
        <v>8028</v>
      </c>
      <c r="C2196" s="17">
        <v>33</v>
      </c>
      <c r="D2196" s="17" t="s">
        <v>3734</v>
      </c>
      <c r="E2196" s="17">
        <v>34</v>
      </c>
      <c r="F2196" s="19">
        <v>133032</v>
      </c>
      <c r="G2196" s="19">
        <v>818726</v>
      </c>
    </row>
    <row r="2197" spans="2:7">
      <c r="B2197" s="18">
        <v>8028</v>
      </c>
      <c r="C2197" s="17">
        <v>34</v>
      </c>
      <c r="D2197" s="17" t="s">
        <v>3735</v>
      </c>
      <c r="E2197" s="17">
        <v>35</v>
      </c>
      <c r="F2197" s="19">
        <v>155732</v>
      </c>
      <c r="G2197" s="19">
        <v>974458</v>
      </c>
    </row>
    <row r="2198" spans="2:7">
      <c r="B2198" s="18">
        <v>8028</v>
      </c>
      <c r="C2198" s="17">
        <v>35</v>
      </c>
      <c r="D2198" s="17" t="s">
        <v>3736</v>
      </c>
      <c r="E2198" s="17">
        <v>36</v>
      </c>
      <c r="F2198" s="19">
        <v>181628</v>
      </c>
      <c r="G2198" s="19">
        <v>1156086</v>
      </c>
    </row>
    <row r="2199" spans="2:7">
      <c r="B2199" s="18">
        <v>8028</v>
      </c>
      <c r="C2199" s="17">
        <v>36</v>
      </c>
      <c r="D2199" s="17" t="s">
        <v>3737</v>
      </c>
      <c r="E2199" s="17">
        <v>37</v>
      </c>
      <c r="F2199" s="19">
        <v>211065</v>
      </c>
      <c r="G2199" s="19">
        <v>1367151</v>
      </c>
    </row>
    <row r="2200" spans="2:7">
      <c r="B2200" s="18">
        <v>8028</v>
      </c>
      <c r="C2200" s="17">
        <v>37</v>
      </c>
      <c r="D2200" s="17" t="s">
        <v>3738</v>
      </c>
      <c r="E2200" s="17">
        <v>38</v>
      </c>
      <c r="F2200" s="19">
        <v>244415</v>
      </c>
      <c r="G2200" s="19">
        <v>1611566</v>
      </c>
    </row>
    <row r="2201" spans="2:7">
      <c r="B2201" s="18">
        <v>8028</v>
      </c>
      <c r="C2201" s="17">
        <v>38</v>
      </c>
      <c r="D2201" s="17" t="s">
        <v>3739</v>
      </c>
      <c r="E2201" s="17">
        <v>39</v>
      </c>
      <c r="F2201" s="19">
        <v>282076</v>
      </c>
      <c r="G2201" s="19">
        <v>1893642</v>
      </c>
    </row>
    <row r="2202" spans="2:7">
      <c r="B2202" s="18">
        <v>8028</v>
      </c>
      <c r="C2202" s="17">
        <v>39</v>
      </c>
      <c r="D2202" s="17" t="s">
        <v>3740</v>
      </c>
      <c r="E2202" s="17">
        <v>40</v>
      </c>
      <c r="F2202" s="19">
        <v>324474</v>
      </c>
      <c r="G2202" s="19">
        <v>2218116</v>
      </c>
    </row>
    <row r="2203" spans="2:7">
      <c r="B2203" s="18">
        <v>8028</v>
      </c>
      <c r="C2203" s="17">
        <v>40</v>
      </c>
      <c r="D2203" s="17" t="s">
        <v>3741</v>
      </c>
      <c r="E2203" s="17">
        <v>41</v>
      </c>
      <c r="F2203" s="19">
        <v>372065</v>
      </c>
      <c r="G2203" s="19">
        <v>2590181</v>
      </c>
    </row>
    <row r="2204" spans="2:7">
      <c r="B2204" s="18">
        <v>8028</v>
      </c>
      <c r="C2204" s="17">
        <v>41</v>
      </c>
      <c r="D2204" s="17" t="s">
        <v>3742</v>
      </c>
      <c r="E2204" s="17">
        <v>42</v>
      </c>
      <c r="F2204" s="19">
        <v>425335</v>
      </c>
      <c r="G2204" s="19">
        <v>3015516</v>
      </c>
    </row>
    <row r="2205" spans="2:7">
      <c r="B2205" s="18">
        <v>8028</v>
      </c>
      <c r="C2205" s="17">
        <v>42</v>
      </c>
      <c r="D2205" s="17" t="s">
        <v>3743</v>
      </c>
      <c r="E2205" s="17">
        <v>43</v>
      </c>
      <c r="F2205" s="19">
        <v>484802</v>
      </c>
      <c r="G2205" s="19">
        <v>3500318</v>
      </c>
    </row>
    <row r="2206" spans="2:7">
      <c r="B2206" s="18">
        <v>8028</v>
      </c>
      <c r="C2206" s="17">
        <v>43</v>
      </c>
      <c r="D2206" s="17" t="s">
        <v>3744</v>
      </c>
      <c r="E2206" s="17">
        <v>44</v>
      </c>
      <c r="F2206" s="19">
        <v>551018</v>
      </c>
      <c r="G2206" s="19">
        <v>4051336</v>
      </c>
    </row>
    <row r="2207" spans="2:7">
      <c r="B2207" s="18">
        <v>8028</v>
      </c>
      <c r="C2207" s="17">
        <v>44</v>
      </c>
      <c r="D2207" s="17" t="s">
        <v>3745</v>
      </c>
      <c r="E2207" s="17">
        <v>45</v>
      </c>
      <c r="F2207" s="19">
        <v>624566</v>
      </c>
      <c r="G2207" s="19">
        <v>4675902</v>
      </c>
    </row>
    <row r="2208" spans="2:7">
      <c r="B2208" s="18">
        <v>8028</v>
      </c>
      <c r="C2208" s="17">
        <v>45</v>
      </c>
      <c r="D2208" s="17" t="s">
        <v>3746</v>
      </c>
      <c r="E2208" s="17">
        <v>46</v>
      </c>
      <c r="F2208" s="19">
        <v>706070</v>
      </c>
      <c r="G2208" s="19">
        <v>5381972</v>
      </c>
    </row>
    <row r="2209" spans="2:7">
      <c r="B2209" s="18">
        <v>8028</v>
      </c>
      <c r="C2209" s="17">
        <v>46</v>
      </c>
      <c r="D2209" s="17" t="s">
        <v>3747</v>
      </c>
      <c r="E2209" s="17">
        <v>47</v>
      </c>
      <c r="F2209" s="19">
        <v>796185</v>
      </c>
      <c r="G2209" s="19">
        <v>6178157</v>
      </c>
    </row>
    <row r="2210" spans="2:7">
      <c r="B2210" s="18">
        <v>8028</v>
      </c>
      <c r="C2210" s="17">
        <v>47</v>
      </c>
      <c r="D2210" s="17" t="s">
        <v>3748</v>
      </c>
      <c r="E2210" s="17">
        <v>48</v>
      </c>
      <c r="F2210" s="19">
        <v>895606</v>
      </c>
      <c r="G2210" s="19">
        <v>7073763</v>
      </c>
    </row>
    <row r="2211" spans="2:7">
      <c r="B2211" s="18">
        <v>8028</v>
      </c>
      <c r="C2211" s="17">
        <v>48</v>
      </c>
      <c r="D2211" s="17" t="s">
        <v>3749</v>
      </c>
      <c r="E2211" s="17">
        <v>49</v>
      </c>
      <c r="F2211" s="19">
        <v>1005070</v>
      </c>
      <c r="G2211" s="19">
        <v>8078833</v>
      </c>
    </row>
    <row r="2212" spans="2:7">
      <c r="B2212" s="18">
        <v>8028</v>
      </c>
      <c r="C2212" s="17">
        <v>49</v>
      </c>
      <c r="D2212" s="17" t="s">
        <v>3750</v>
      </c>
      <c r="E2212" s="17">
        <v>50</v>
      </c>
      <c r="F2212" s="19">
        <v>1125351</v>
      </c>
      <c r="G2212" s="19">
        <v>9204184</v>
      </c>
    </row>
    <row r="2213" spans="2:7">
      <c r="B2213" s="18">
        <v>8028</v>
      </c>
      <c r="C2213" s="17">
        <v>50</v>
      </c>
      <c r="D2213" s="17" t="s">
        <v>3751</v>
      </c>
      <c r="E2213" s="17">
        <v>51</v>
      </c>
      <c r="F2213" s="19">
        <v>1257267</v>
      </c>
      <c r="G2213" s="19">
        <v>10461451</v>
      </c>
    </row>
    <row r="2214" spans="2:7">
      <c r="B2214" s="18">
        <v>8028</v>
      </c>
      <c r="C2214" s="17">
        <v>51</v>
      </c>
      <c r="D2214" s="17" t="s">
        <v>3752</v>
      </c>
      <c r="E2214" s="22">
        <v>52</v>
      </c>
      <c r="F2214" s="19">
        <v>1401678</v>
      </c>
      <c r="G2214" s="19">
        <v>11863129</v>
      </c>
    </row>
    <row r="2215" spans="2:7">
      <c r="B2215" s="18">
        <v>8028</v>
      </c>
      <c r="C2215" s="17">
        <v>52</v>
      </c>
      <c r="D2215" s="17" t="s">
        <v>3753</v>
      </c>
      <c r="E2215" s="22">
        <v>53</v>
      </c>
      <c r="F2215" s="19">
        <v>1559487</v>
      </c>
      <c r="G2215" s="19">
        <v>13422616</v>
      </c>
    </row>
    <row r="2216" spans="2:7">
      <c r="B2216" s="18">
        <v>8028</v>
      </c>
      <c r="C2216" s="17">
        <v>53</v>
      </c>
      <c r="D2216" s="17" t="s">
        <v>3754</v>
      </c>
      <c r="E2216" s="22">
        <v>54</v>
      </c>
      <c r="F2216" s="19">
        <v>1731649</v>
      </c>
      <c r="G2216" s="19">
        <v>15154265</v>
      </c>
    </row>
    <row r="2217" spans="2:7">
      <c r="B2217" s="18">
        <v>8028</v>
      </c>
      <c r="C2217" s="17">
        <v>54</v>
      </c>
      <c r="D2217" s="17" t="s">
        <v>3755</v>
      </c>
      <c r="E2217" s="22">
        <v>55</v>
      </c>
      <c r="F2217" s="19">
        <v>1919158</v>
      </c>
      <c r="G2217" s="19">
        <v>17073423</v>
      </c>
    </row>
    <row r="2218" spans="2:7">
      <c r="B2218" s="18">
        <v>8028</v>
      </c>
      <c r="C2218" s="17">
        <v>55</v>
      </c>
      <c r="D2218" s="17" t="s">
        <v>3756</v>
      </c>
      <c r="E2218" s="22">
        <v>56</v>
      </c>
      <c r="F2218" s="19">
        <v>2123065</v>
      </c>
      <c r="G2218" s="19">
        <v>19196488</v>
      </c>
    </row>
    <row r="2219" spans="2:7">
      <c r="B2219" s="18">
        <v>8028</v>
      </c>
      <c r="C2219" s="17">
        <v>56</v>
      </c>
      <c r="D2219" s="17" t="s">
        <v>3757</v>
      </c>
      <c r="E2219" s="22">
        <v>57</v>
      </c>
      <c r="F2219" s="19">
        <v>2344464</v>
      </c>
      <c r="G2219" s="19">
        <v>21540952</v>
      </c>
    </row>
    <row r="2220" spans="2:7">
      <c r="B2220" s="18">
        <v>8028</v>
      </c>
      <c r="C2220" s="17">
        <v>57</v>
      </c>
      <c r="D2220" s="17" t="s">
        <v>3758</v>
      </c>
      <c r="E2220" s="22">
        <v>58</v>
      </c>
      <c r="F2220" s="19">
        <v>2584504</v>
      </c>
      <c r="G2220" s="19">
        <v>24125456</v>
      </c>
    </row>
    <row r="2221" spans="2:7">
      <c r="B2221" s="18">
        <v>8028</v>
      </c>
      <c r="C2221" s="17">
        <v>58</v>
      </c>
      <c r="D2221" s="17" t="s">
        <v>3759</v>
      </c>
      <c r="E2221" s="22">
        <v>59</v>
      </c>
      <c r="F2221" s="19">
        <v>2844387</v>
      </c>
      <c r="G2221" s="19">
        <v>26969843</v>
      </c>
    </row>
    <row r="2222" spans="2:7">
      <c r="B2222" s="18">
        <v>8028</v>
      </c>
      <c r="C2222" s="17">
        <v>59</v>
      </c>
      <c r="D2222" s="17" t="s">
        <v>3760</v>
      </c>
      <c r="E2222" s="22">
        <v>60</v>
      </c>
      <c r="F2222" s="19">
        <v>3125367</v>
      </c>
      <c r="G2222" s="19">
        <v>30095210</v>
      </c>
    </row>
    <row r="2223" spans="2:7">
      <c r="B2223" s="18">
        <v>8028</v>
      </c>
      <c r="C2223" s="17">
        <v>60</v>
      </c>
      <c r="D2223" s="17" t="s">
        <v>3761</v>
      </c>
      <c r="E2223" s="22">
        <v>61</v>
      </c>
      <c r="F2223" s="19">
        <v>3428759</v>
      </c>
      <c r="G2223" s="19">
        <v>33523969</v>
      </c>
    </row>
    <row r="2224" spans="2:7">
      <c r="B2224" s="18">
        <v>8028</v>
      </c>
      <c r="C2224" s="17">
        <v>61</v>
      </c>
      <c r="D2224" s="17" t="s">
        <v>3762</v>
      </c>
      <c r="E2224" s="22">
        <v>62</v>
      </c>
      <c r="F2224" s="19">
        <v>3755928</v>
      </c>
      <c r="G2224" s="19">
        <v>37279897</v>
      </c>
    </row>
    <row r="2225" spans="2:7">
      <c r="B2225" s="18">
        <v>8028</v>
      </c>
      <c r="C2225" s="17">
        <v>62</v>
      </c>
      <c r="D2225" s="17" t="s">
        <v>3763</v>
      </c>
      <c r="E2225" s="22">
        <v>63</v>
      </c>
      <c r="F2225" s="19">
        <v>4108304</v>
      </c>
      <c r="G2225" s="19">
        <v>41388201</v>
      </c>
    </row>
    <row r="2226" spans="2:7">
      <c r="B2226" s="18">
        <v>8028</v>
      </c>
      <c r="C2226" s="17">
        <v>63</v>
      </c>
      <c r="D2226" s="17" t="s">
        <v>3764</v>
      </c>
      <c r="E2226" s="22">
        <v>64</v>
      </c>
      <c r="F2226" s="19">
        <v>4487373</v>
      </c>
      <c r="G2226" s="19">
        <v>45875574</v>
      </c>
    </row>
    <row r="2227" spans="2:7">
      <c r="B2227" s="18">
        <v>8028</v>
      </c>
      <c r="C2227" s="17">
        <v>64</v>
      </c>
      <c r="D2227" s="17" t="s">
        <v>3765</v>
      </c>
      <c r="E2227" s="22">
        <v>65</v>
      </c>
      <c r="F2227" s="19">
        <v>4894687</v>
      </c>
      <c r="G2227" s="19">
        <v>50770261</v>
      </c>
    </row>
    <row r="2228" spans="2:7">
      <c r="B2228" s="18">
        <v>8028</v>
      </c>
      <c r="C2228" s="17">
        <v>65</v>
      </c>
      <c r="D2228" s="17" t="s">
        <v>3766</v>
      </c>
      <c r="E2228" s="22">
        <v>66</v>
      </c>
      <c r="F2228" s="19">
        <v>5331856</v>
      </c>
      <c r="G2228" s="19">
        <v>56102117</v>
      </c>
    </row>
    <row r="2229" spans="2:7">
      <c r="B2229" s="18">
        <v>8028</v>
      </c>
      <c r="C2229" s="17">
        <v>66</v>
      </c>
      <c r="D2229" s="17" t="s">
        <v>3767</v>
      </c>
      <c r="E2229" s="22">
        <v>67</v>
      </c>
      <c r="F2229" s="19">
        <v>5800558</v>
      </c>
      <c r="G2229" s="19">
        <v>61902675</v>
      </c>
    </row>
    <row r="2230" spans="2:7">
      <c r="B2230" s="18">
        <v>8028</v>
      </c>
      <c r="C2230" s="17">
        <v>67</v>
      </c>
      <c r="D2230" s="17" t="s">
        <v>3768</v>
      </c>
      <c r="E2230" s="22">
        <v>68</v>
      </c>
      <c r="F2230" s="19">
        <v>6302537</v>
      </c>
      <c r="G2230" s="19">
        <v>68205212</v>
      </c>
    </row>
    <row r="2231" spans="2:7">
      <c r="B2231" s="18">
        <v>8028</v>
      </c>
      <c r="C2231" s="17">
        <v>68</v>
      </c>
      <c r="D2231" s="17" t="s">
        <v>3769</v>
      </c>
      <c r="E2231" s="22">
        <v>69</v>
      </c>
      <c r="F2231" s="19">
        <v>6839606</v>
      </c>
      <c r="G2231" s="19">
        <v>75044818</v>
      </c>
    </row>
    <row r="2232" spans="2:7">
      <c r="B2232" s="18">
        <v>8028</v>
      </c>
      <c r="C2232" s="17">
        <v>69</v>
      </c>
      <c r="D2232" s="17" t="s">
        <v>3770</v>
      </c>
      <c r="E2232" s="22">
        <v>70</v>
      </c>
      <c r="F2232" s="19">
        <v>7413645</v>
      </c>
      <c r="G2232" s="19">
        <v>82458463</v>
      </c>
    </row>
    <row r="2233" spans="2:7">
      <c r="B2233" s="18">
        <v>8028</v>
      </c>
      <c r="C2233" s="17">
        <v>70</v>
      </c>
      <c r="D2233" s="17" t="s">
        <v>3771</v>
      </c>
      <c r="E2233" s="22">
        <v>71</v>
      </c>
      <c r="F2233" s="19">
        <v>8026605</v>
      </c>
      <c r="G2233" s="19">
        <v>90485068</v>
      </c>
    </row>
    <row r="2234" spans="2:7">
      <c r="B2234" s="18">
        <v>8028</v>
      </c>
      <c r="C2234" s="17">
        <v>71</v>
      </c>
      <c r="D2234" s="17" t="s">
        <v>3772</v>
      </c>
      <c r="E2234" s="22">
        <v>72</v>
      </c>
      <c r="F2234" s="19">
        <v>8680512</v>
      </c>
      <c r="G2234" s="19">
        <v>99165580</v>
      </c>
    </row>
    <row r="2235" spans="2:7">
      <c r="B2235" s="18">
        <v>8028</v>
      </c>
      <c r="C2235" s="17">
        <v>72</v>
      </c>
      <c r="D2235" s="17" t="s">
        <v>3773</v>
      </c>
      <c r="E2235" s="22">
        <v>73</v>
      </c>
      <c r="F2235" s="19">
        <v>9377462</v>
      </c>
      <c r="G2235" s="19">
        <v>108543042</v>
      </c>
    </row>
    <row r="2236" spans="2:7">
      <c r="B2236" s="18">
        <v>8028</v>
      </c>
      <c r="C2236" s="17">
        <v>73</v>
      </c>
      <c r="D2236" s="17" t="s">
        <v>3774</v>
      </c>
      <c r="E2236" s="22">
        <v>74</v>
      </c>
      <c r="F2236" s="19">
        <v>10119632</v>
      </c>
      <c r="G2236" s="19">
        <v>118662674</v>
      </c>
    </row>
    <row r="2237" spans="2:7">
      <c r="B2237" s="18">
        <v>8028</v>
      </c>
      <c r="C2237" s="17">
        <v>74</v>
      </c>
      <c r="D2237" s="17" t="s">
        <v>3775</v>
      </c>
      <c r="E2237" s="22">
        <v>75</v>
      </c>
      <c r="F2237" s="19">
        <v>10909273</v>
      </c>
      <c r="G2237" s="19">
        <v>129571947</v>
      </c>
    </row>
    <row r="2238" spans="2:7">
      <c r="B2238" s="18">
        <v>8028</v>
      </c>
      <c r="C2238" s="17">
        <v>75</v>
      </c>
      <c r="D2238" s="17" t="s">
        <v>3776</v>
      </c>
      <c r="E2238" s="22">
        <v>76</v>
      </c>
      <c r="F2238" s="19">
        <v>11748716</v>
      </c>
      <c r="G2238" s="19">
        <v>141320663</v>
      </c>
    </row>
    <row r="2239" spans="2:7">
      <c r="B2239" s="18">
        <v>8028</v>
      </c>
      <c r="C2239" s="17">
        <v>76</v>
      </c>
      <c r="D2239" s="17" t="s">
        <v>3777</v>
      </c>
      <c r="E2239" s="22">
        <v>77</v>
      </c>
      <c r="F2239" s="19">
        <v>12640371</v>
      </c>
      <c r="G2239" s="19">
        <v>153961034</v>
      </c>
    </row>
    <row r="2240" spans="2:7">
      <c r="B2240" s="18">
        <v>8028</v>
      </c>
      <c r="C2240" s="17">
        <v>77</v>
      </c>
      <c r="D2240" s="17" t="s">
        <v>3778</v>
      </c>
      <c r="E2240" s="22">
        <v>78</v>
      </c>
      <c r="F2240" s="19">
        <v>13586734</v>
      </c>
      <c r="G2240" s="19">
        <v>167547768</v>
      </c>
    </row>
    <row r="2241" spans="2:7">
      <c r="B2241" s="18">
        <v>8028</v>
      </c>
      <c r="C2241" s="17">
        <v>78</v>
      </c>
      <c r="D2241" s="17" t="s">
        <v>3779</v>
      </c>
      <c r="E2241" s="22">
        <v>79</v>
      </c>
      <c r="F2241" s="19">
        <v>14590381</v>
      </c>
      <c r="G2241" s="19">
        <v>182138149</v>
      </c>
    </row>
    <row r="2242" spans="2:7">
      <c r="B2242" s="18">
        <v>8028</v>
      </c>
      <c r="C2242" s="17">
        <v>79</v>
      </c>
      <c r="D2242" s="17" t="s">
        <v>3780</v>
      </c>
      <c r="E2242" s="22">
        <v>80</v>
      </c>
      <c r="F2242" s="19">
        <v>15653976</v>
      </c>
      <c r="G2242" s="19">
        <v>197792125</v>
      </c>
    </row>
    <row r="2243" spans="2:7">
      <c r="B2243" s="18">
        <v>8028</v>
      </c>
      <c r="C2243" s="17">
        <v>80</v>
      </c>
      <c r="D2243" s="17" t="s">
        <v>3781</v>
      </c>
      <c r="E2243" s="22" t="s">
        <v>1762</v>
      </c>
      <c r="F2243" s="19">
        <v>16780268</v>
      </c>
      <c r="G2243" s="19">
        <v>214572393</v>
      </c>
    </row>
    <row r="2244" spans="2:7">
      <c r="B2244" s="18">
        <v>8029</v>
      </c>
      <c r="C2244" s="17">
        <v>1</v>
      </c>
      <c r="D2244" s="17" t="s">
        <v>3782</v>
      </c>
      <c r="E2244" s="17">
        <v>2</v>
      </c>
      <c r="F2244" s="26">
        <v>0</v>
      </c>
      <c r="G2244" s="19">
        <v>0</v>
      </c>
    </row>
    <row r="2245" spans="2:7">
      <c r="B2245" s="18">
        <v>8029</v>
      </c>
      <c r="C2245" s="17">
        <v>2</v>
      </c>
      <c r="D2245" s="17" t="s">
        <v>3783</v>
      </c>
      <c r="E2245" s="17">
        <v>3</v>
      </c>
      <c r="F2245" s="19">
        <v>143</v>
      </c>
      <c r="G2245" s="19">
        <v>143</v>
      </c>
    </row>
    <row r="2246" spans="2:7">
      <c r="B2246" s="18">
        <v>8029</v>
      </c>
      <c r="C2246" s="17">
        <v>3</v>
      </c>
      <c r="D2246" s="17" t="s">
        <v>3784</v>
      </c>
      <c r="E2246" s="17">
        <v>4</v>
      </c>
      <c r="F2246" s="19">
        <v>299</v>
      </c>
      <c r="G2246" s="19">
        <v>442</v>
      </c>
    </row>
    <row r="2247" spans="2:7">
      <c r="B2247" s="18">
        <v>8029</v>
      </c>
      <c r="C2247" s="17">
        <v>4</v>
      </c>
      <c r="D2247" s="17" t="s">
        <v>3785</v>
      </c>
      <c r="E2247" s="17">
        <v>5</v>
      </c>
      <c r="F2247" s="19">
        <v>468</v>
      </c>
      <c r="G2247" s="19">
        <v>910</v>
      </c>
    </row>
    <row r="2248" spans="2:7">
      <c r="B2248" s="18">
        <v>8029</v>
      </c>
      <c r="C2248" s="17">
        <v>5</v>
      </c>
      <c r="D2248" s="17" t="s">
        <v>3786</v>
      </c>
      <c r="E2248" s="17">
        <v>6</v>
      </c>
      <c r="F2248" s="19">
        <v>651</v>
      </c>
      <c r="G2248" s="19">
        <v>1561</v>
      </c>
    </row>
    <row r="2249" spans="2:7">
      <c r="B2249" s="18">
        <v>8029</v>
      </c>
      <c r="C2249" s="17">
        <v>6</v>
      </c>
      <c r="D2249" s="17" t="s">
        <v>3787</v>
      </c>
      <c r="E2249" s="17">
        <v>7</v>
      </c>
      <c r="F2249" s="19">
        <v>850</v>
      </c>
      <c r="G2249" s="19">
        <v>2411</v>
      </c>
    </row>
    <row r="2250" spans="2:7">
      <c r="B2250" s="18">
        <v>8029</v>
      </c>
      <c r="C2250" s="17">
        <v>7</v>
      </c>
      <c r="D2250" s="17" t="s">
        <v>3788</v>
      </c>
      <c r="E2250" s="17">
        <v>8</v>
      </c>
      <c r="F2250" s="19">
        <v>1067</v>
      </c>
      <c r="G2250" s="19">
        <v>3478</v>
      </c>
    </row>
    <row r="2251" spans="2:7">
      <c r="B2251" s="18">
        <v>8029</v>
      </c>
      <c r="C2251" s="17">
        <v>8</v>
      </c>
      <c r="D2251" s="17" t="s">
        <v>3789</v>
      </c>
      <c r="E2251" s="17">
        <v>9</v>
      </c>
      <c r="F2251" s="19">
        <v>1307</v>
      </c>
      <c r="G2251" s="19">
        <v>4785</v>
      </c>
    </row>
    <row r="2252" spans="2:7">
      <c r="B2252" s="18">
        <v>8029</v>
      </c>
      <c r="C2252" s="17">
        <v>9</v>
      </c>
      <c r="D2252" s="17" t="s">
        <v>3790</v>
      </c>
      <c r="E2252" s="17">
        <v>10</v>
      </c>
      <c r="F2252" s="19">
        <v>1578</v>
      </c>
      <c r="G2252" s="19">
        <v>6363</v>
      </c>
    </row>
    <row r="2253" spans="2:7">
      <c r="B2253" s="18">
        <v>8029</v>
      </c>
      <c r="C2253" s="17">
        <v>10</v>
      </c>
      <c r="D2253" s="17" t="s">
        <v>3791</v>
      </c>
      <c r="E2253" s="17">
        <v>11</v>
      </c>
      <c r="F2253" s="19">
        <v>1888</v>
      </c>
      <c r="G2253" s="19">
        <v>8251</v>
      </c>
    </row>
    <row r="2254" spans="2:7">
      <c r="B2254" s="18">
        <v>8029</v>
      </c>
      <c r="C2254" s="17">
        <v>11</v>
      </c>
      <c r="D2254" s="17" t="s">
        <v>3792</v>
      </c>
      <c r="E2254" s="17">
        <v>12</v>
      </c>
      <c r="F2254" s="19">
        <v>2251</v>
      </c>
      <c r="G2254" s="19">
        <v>10502</v>
      </c>
    </row>
    <row r="2255" spans="2:7">
      <c r="B2255" s="18">
        <v>8029</v>
      </c>
      <c r="C2255" s="17">
        <v>12</v>
      </c>
      <c r="D2255" s="17" t="s">
        <v>3793</v>
      </c>
      <c r="E2255" s="17">
        <v>13</v>
      </c>
      <c r="F2255" s="19">
        <v>2681</v>
      </c>
      <c r="G2255" s="19">
        <v>13183</v>
      </c>
    </row>
    <row r="2256" spans="2:7">
      <c r="B2256" s="18">
        <v>8029</v>
      </c>
      <c r="C2256" s="17">
        <v>13</v>
      </c>
      <c r="D2256" s="17" t="s">
        <v>2723</v>
      </c>
      <c r="E2256" s="17">
        <v>14</v>
      </c>
      <c r="F2256" s="19">
        <v>3200</v>
      </c>
      <c r="G2256" s="19">
        <v>16383</v>
      </c>
    </row>
    <row r="2257" spans="2:7">
      <c r="B2257" s="18">
        <v>8029</v>
      </c>
      <c r="C2257" s="17">
        <v>14</v>
      </c>
      <c r="D2257" s="17" t="s">
        <v>2725</v>
      </c>
      <c r="E2257" s="17">
        <v>15</v>
      </c>
      <c r="F2257" s="19">
        <v>3833</v>
      </c>
      <c r="G2257" s="19">
        <v>20216</v>
      </c>
    </row>
    <row r="2258" spans="2:7">
      <c r="B2258" s="18">
        <v>8029</v>
      </c>
      <c r="C2258" s="17">
        <v>15</v>
      </c>
      <c r="D2258" s="17" t="s">
        <v>3794</v>
      </c>
      <c r="E2258" s="17">
        <v>16</v>
      </c>
      <c r="F2258" s="19">
        <v>4612</v>
      </c>
      <c r="G2258" s="19">
        <v>24828</v>
      </c>
    </row>
    <row r="2259" spans="2:7">
      <c r="B2259" s="18">
        <v>8029</v>
      </c>
      <c r="C2259" s="17">
        <v>16</v>
      </c>
      <c r="D2259" s="17" t="s">
        <v>3795</v>
      </c>
      <c r="E2259" s="17">
        <v>17</v>
      </c>
      <c r="F2259" s="19">
        <v>5574</v>
      </c>
      <c r="G2259" s="19">
        <v>30402</v>
      </c>
    </row>
    <row r="2260" spans="2:7">
      <c r="B2260" s="18">
        <v>8029</v>
      </c>
      <c r="C2260" s="17">
        <v>17</v>
      </c>
      <c r="D2260" s="17" t="s">
        <v>3796</v>
      </c>
      <c r="E2260" s="17">
        <v>18</v>
      </c>
      <c r="F2260" s="19">
        <v>6763</v>
      </c>
      <c r="G2260" s="19">
        <v>37165</v>
      </c>
    </row>
    <row r="2261" spans="2:7">
      <c r="B2261" s="18">
        <v>8029</v>
      </c>
      <c r="C2261" s="17">
        <v>18</v>
      </c>
      <c r="D2261" s="17" t="s">
        <v>3797</v>
      </c>
      <c r="E2261" s="17">
        <v>19</v>
      </c>
      <c r="F2261" s="19">
        <v>8232</v>
      </c>
      <c r="G2261" s="19">
        <v>45397</v>
      </c>
    </row>
    <row r="2262" spans="2:7">
      <c r="B2262" s="18">
        <v>8029</v>
      </c>
      <c r="C2262" s="17">
        <v>19</v>
      </c>
      <c r="D2262" s="17" t="s">
        <v>3798</v>
      </c>
      <c r="E2262" s="17">
        <v>20</v>
      </c>
      <c r="F2262" s="19">
        <v>10043</v>
      </c>
      <c r="G2262" s="19">
        <v>55440</v>
      </c>
    </row>
    <row r="2263" spans="2:7">
      <c r="B2263" s="18">
        <v>8029</v>
      </c>
      <c r="C2263" s="17">
        <v>20</v>
      </c>
      <c r="D2263" s="17" t="s">
        <v>3799</v>
      </c>
      <c r="E2263" s="17">
        <v>21</v>
      </c>
      <c r="F2263" s="19">
        <v>12266</v>
      </c>
      <c r="G2263" s="19">
        <v>67706</v>
      </c>
    </row>
    <row r="2264" spans="2:7">
      <c r="B2264" s="18">
        <v>8029</v>
      </c>
      <c r="C2264" s="17">
        <v>21</v>
      </c>
      <c r="D2264" s="17" t="s">
        <v>3800</v>
      </c>
      <c r="E2264" s="17">
        <v>22</v>
      </c>
      <c r="F2264" s="19">
        <v>14981</v>
      </c>
      <c r="G2264" s="19">
        <v>82687</v>
      </c>
    </row>
    <row r="2265" spans="2:7">
      <c r="B2265" s="18">
        <v>8029</v>
      </c>
      <c r="C2265" s="17">
        <v>22</v>
      </c>
      <c r="D2265" s="17" t="s">
        <v>3801</v>
      </c>
      <c r="E2265" s="17">
        <v>23</v>
      </c>
      <c r="F2265" s="19">
        <v>18280</v>
      </c>
      <c r="G2265" s="19">
        <v>100967</v>
      </c>
    </row>
    <row r="2266" spans="2:7">
      <c r="B2266" s="18">
        <v>8029</v>
      </c>
      <c r="C2266" s="17">
        <v>23</v>
      </c>
      <c r="D2266" s="17" t="s">
        <v>3802</v>
      </c>
      <c r="E2266" s="17">
        <v>24</v>
      </c>
      <c r="F2266" s="19">
        <v>22266</v>
      </c>
      <c r="G2266" s="19">
        <v>123233</v>
      </c>
    </row>
    <row r="2267" spans="2:7">
      <c r="B2267" s="18">
        <v>8029</v>
      </c>
      <c r="C2267" s="17">
        <v>24</v>
      </c>
      <c r="D2267" s="17" t="s">
        <v>3803</v>
      </c>
      <c r="E2267" s="17">
        <v>25</v>
      </c>
      <c r="F2267" s="19">
        <v>27056</v>
      </c>
      <c r="G2267" s="19">
        <v>150289</v>
      </c>
    </row>
    <row r="2268" spans="2:7">
      <c r="B2268" s="18">
        <v>8029</v>
      </c>
      <c r="C2268" s="17">
        <v>25</v>
      </c>
      <c r="D2268" s="17" t="s">
        <v>3804</v>
      </c>
      <c r="E2268" s="17">
        <v>26</v>
      </c>
      <c r="F2268" s="19">
        <v>32780</v>
      </c>
      <c r="G2268" s="19">
        <v>183069</v>
      </c>
    </row>
    <row r="2269" spans="2:7">
      <c r="B2269" s="18">
        <v>8029</v>
      </c>
      <c r="C2269" s="17">
        <v>26</v>
      </c>
      <c r="D2269" s="17" t="s">
        <v>3805</v>
      </c>
      <c r="E2269" s="17">
        <v>27</v>
      </c>
      <c r="F2269" s="19">
        <v>39582</v>
      </c>
      <c r="G2269" s="19">
        <v>222651</v>
      </c>
    </row>
    <row r="2270" spans="2:7">
      <c r="B2270" s="18">
        <v>8029</v>
      </c>
      <c r="C2270" s="17">
        <v>27</v>
      </c>
      <c r="D2270" s="17" t="s">
        <v>3806</v>
      </c>
      <c r="E2270" s="17">
        <v>28</v>
      </c>
      <c r="F2270" s="19">
        <v>47622</v>
      </c>
      <c r="G2270" s="19">
        <v>270273</v>
      </c>
    </row>
    <row r="2271" spans="2:7">
      <c r="B2271" s="18">
        <v>8029</v>
      </c>
      <c r="C2271" s="17">
        <v>28</v>
      </c>
      <c r="D2271" s="17" t="s">
        <v>3807</v>
      </c>
      <c r="E2271" s="17">
        <v>29</v>
      </c>
      <c r="F2271" s="19">
        <v>57077</v>
      </c>
      <c r="G2271" s="19">
        <v>327350</v>
      </c>
    </row>
    <row r="2272" spans="2:7">
      <c r="B2272" s="18">
        <v>8029</v>
      </c>
      <c r="C2272" s="17">
        <v>29</v>
      </c>
      <c r="D2272" s="17" t="s">
        <v>3808</v>
      </c>
      <c r="E2272" s="17">
        <v>30</v>
      </c>
      <c r="F2272" s="19">
        <v>68142</v>
      </c>
      <c r="G2272" s="19">
        <v>395492</v>
      </c>
    </row>
    <row r="2273" spans="2:7">
      <c r="B2273" s="18">
        <v>8029</v>
      </c>
      <c r="C2273" s="17">
        <v>30</v>
      </c>
      <c r="D2273" s="17" t="s">
        <v>3809</v>
      </c>
      <c r="E2273" s="17">
        <v>31</v>
      </c>
      <c r="F2273" s="19">
        <v>81027</v>
      </c>
      <c r="G2273" s="19">
        <v>476519</v>
      </c>
    </row>
    <row r="2274" spans="2:7">
      <c r="B2274" s="18">
        <v>8029</v>
      </c>
      <c r="C2274" s="17">
        <v>31</v>
      </c>
      <c r="D2274" s="17" t="s">
        <v>3810</v>
      </c>
      <c r="E2274" s="17">
        <v>32</v>
      </c>
      <c r="F2274" s="19">
        <v>95966</v>
      </c>
      <c r="G2274" s="19">
        <v>572485</v>
      </c>
    </row>
    <row r="2275" spans="2:7">
      <c r="B2275" s="18">
        <v>8029</v>
      </c>
      <c r="C2275" s="17">
        <v>32</v>
      </c>
      <c r="D2275" s="17" t="s">
        <v>3811</v>
      </c>
      <c r="E2275" s="17">
        <v>33</v>
      </c>
      <c r="F2275" s="19">
        <v>113209</v>
      </c>
      <c r="G2275" s="19">
        <v>685694</v>
      </c>
    </row>
    <row r="2276" spans="2:7">
      <c r="B2276" s="18">
        <v>8029</v>
      </c>
      <c r="C2276" s="17">
        <v>33</v>
      </c>
      <c r="D2276" s="17" t="s">
        <v>3812</v>
      </c>
      <c r="E2276" s="17">
        <v>34</v>
      </c>
      <c r="F2276" s="19">
        <v>133032</v>
      </c>
      <c r="G2276" s="19">
        <v>818726</v>
      </c>
    </row>
    <row r="2277" spans="2:7">
      <c r="B2277" s="18">
        <v>8029</v>
      </c>
      <c r="C2277" s="17">
        <v>34</v>
      </c>
      <c r="D2277" s="17" t="s">
        <v>3813</v>
      </c>
      <c r="E2277" s="17">
        <v>35</v>
      </c>
      <c r="F2277" s="19">
        <v>155732</v>
      </c>
      <c r="G2277" s="19">
        <v>974458</v>
      </c>
    </row>
    <row r="2278" spans="2:7">
      <c r="B2278" s="18">
        <v>8029</v>
      </c>
      <c r="C2278" s="17">
        <v>35</v>
      </c>
      <c r="D2278" s="17" t="s">
        <v>3814</v>
      </c>
      <c r="E2278" s="17">
        <v>36</v>
      </c>
      <c r="F2278" s="19">
        <v>181628</v>
      </c>
      <c r="G2278" s="19">
        <v>1156086</v>
      </c>
    </row>
    <row r="2279" spans="2:7">
      <c r="B2279" s="18">
        <v>8029</v>
      </c>
      <c r="C2279" s="17">
        <v>36</v>
      </c>
      <c r="D2279" s="17" t="s">
        <v>3815</v>
      </c>
      <c r="E2279" s="17">
        <v>37</v>
      </c>
      <c r="F2279" s="19">
        <v>211065</v>
      </c>
      <c r="G2279" s="19">
        <v>1367151</v>
      </c>
    </row>
    <row r="2280" spans="2:7">
      <c r="B2280" s="18">
        <v>8029</v>
      </c>
      <c r="C2280" s="17">
        <v>37</v>
      </c>
      <c r="D2280" s="17" t="s">
        <v>3816</v>
      </c>
      <c r="E2280" s="17">
        <v>38</v>
      </c>
      <c r="F2280" s="19">
        <v>244415</v>
      </c>
      <c r="G2280" s="19">
        <v>1611566</v>
      </c>
    </row>
    <row r="2281" spans="2:7">
      <c r="B2281" s="18">
        <v>8029</v>
      </c>
      <c r="C2281" s="17">
        <v>38</v>
      </c>
      <c r="D2281" s="17" t="s">
        <v>3817</v>
      </c>
      <c r="E2281" s="17">
        <v>39</v>
      </c>
      <c r="F2281" s="19">
        <v>282076</v>
      </c>
      <c r="G2281" s="19">
        <v>1893642</v>
      </c>
    </row>
    <row r="2282" spans="2:7">
      <c r="B2282" s="18">
        <v>8029</v>
      </c>
      <c r="C2282" s="17">
        <v>39</v>
      </c>
      <c r="D2282" s="17" t="s">
        <v>3818</v>
      </c>
      <c r="E2282" s="17">
        <v>40</v>
      </c>
      <c r="F2282" s="19">
        <v>324474</v>
      </c>
      <c r="G2282" s="19">
        <v>2218116</v>
      </c>
    </row>
    <row r="2283" spans="2:7">
      <c r="B2283" s="18">
        <v>8029</v>
      </c>
      <c r="C2283" s="17">
        <v>40</v>
      </c>
      <c r="D2283" s="17" t="s">
        <v>3819</v>
      </c>
      <c r="E2283" s="17">
        <v>41</v>
      </c>
      <c r="F2283" s="19">
        <v>372065</v>
      </c>
      <c r="G2283" s="19">
        <v>2590181</v>
      </c>
    </row>
    <row r="2284" spans="2:7">
      <c r="B2284" s="18">
        <v>8029</v>
      </c>
      <c r="C2284" s="17">
        <v>41</v>
      </c>
      <c r="D2284" s="17" t="s">
        <v>3820</v>
      </c>
      <c r="E2284" s="17">
        <v>42</v>
      </c>
      <c r="F2284" s="19">
        <v>425335</v>
      </c>
      <c r="G2284" s="19">
        <v>3015516</v>
      </c>
    </row>
    <row r="2285" spans="2:7">
      <c r="B2285" s="18">
        <v>8029</v>
      </c>
      <c r="C2285" s="17">
        <v>42</v>
      </c>
      <c r="D2285" s="17" t="s">
        <v>3821</v>
      </c>
      <c r="E2285" s="17">
        <v>43</v>
      </c>
      <c r="F2285" s="19">
        <v>484802</v>
      </c>
      <c r="G2285" s="19">
        <v>3500318</v>
      </c>
    </row>
    <row r="2286" spans="2:7">
      <c r="B2286" s="18">
        <v>8029</v>
      </c>
      <c r="C2286" s="17">
        <v>43</v>
      </c>
      <c r="D2286" s="17" t="s">
        <v>3822</v>
      </c>
      <c r="E2286" s="17">
        <v>44</v>
      </c>
      <c r="F2286" s="19">
        <v>551018</v>
      </c>
      <c r="G2286" s="19">
        <v>4051336</v>
      </c>
    </row>
    <row r="2287" spans="2:7">
      <c r="B2287" s="18">
        <v>8029</v>
      </c>
      <c r="C2287" s="17">
        <v>44</v>
      </c>
      <c r="D2287" s="17" t="s">
        <v>3823</v>
      </c>
      <c r="E2287" s="17">
        <v>45</v>
      </c>
      <c r="F2287" s="19">
        <v>624566</v>
      </c>
      <c r="G2287" s="19">
        <v>4675902</v>
      </c>
    </row>
    <row r="2288" spans="2:7">
      <c r="B2288" s="18">
        <v>8029</v>
      </c>
      <c r="C2288" s="17">
        <v>45</v>
      </c>
      <c r="D2288" s="17" t="s">
        <v>3824</v>
      </c>
      <c r="E2288" s="17">
        <v>46</v>
      </c>
      <c r="F2288" s="19">
        <v>706070</v>
      </c>
      <c r="G2288" s="19">
        <v>5381972</v>
      </c>
    </row>
    <row r="2289" spans="2:7">
      <c r="B2289" s="18">
        <v>8029</v>
      </c>
      <c r="C2289" s="17">
        <v>46</v>
      </c>
      <c r="D2289" s="17" t="s">
        <v>3825</v>
      </c>
      <c r="E2289" s="17">
        <v>47</v>
      </c>
      <c r="F2289" s="19">
        <v>796185</v>
      </c>
      <c r="G2289" s="19">
        <v>6178157</v>
      </c>
    </row>
    <row r="2290" spans="2:7">
      <c r="B2290" s="18">
        <v>8029</v>
      </c>
      <c r="C2290" s="17">
        <v>47</v>
      </c>
      <c r="D2290" s="17" t="s">
        <v>3826</v>
      </c>
      <c r="E2290" s="17">
        <v>48</v>
      </c>
      <c r="F2290" s="19">
        <v>895606</v>
      </c>
      <c r="G2290" s="19">
        <v>7073763</v>
      </c>
    </row>
    <row r="2291" spans="2:7">
      <c r="B2291" s="18">
        <v>8029</v>
      </c>
      <c r="C2291" s="17">
        <v>48</v>
      </c>
      <c r="D2291" s="17" t="s">
        <v>3827</v>
      </c>
      <c r="E2291" s="17">
        <v>49</v>
      </c>
      <c r="F2291" s="19">
        <v>1005070</v>
      </c>
      <c r="G2291" s="19">
        <v>8078833</v>
      </c>
    </row>
    <row r="2292" spans="2:7">
      <c r="B2292" s="18">
        <v>8029</v>
      </c>
      <c r="C2292" s="17">
        <v>49</v>
      </c>
      <c r="D2292" s="17" t="s">
        <v>3828</v>
      </c>
      <c r="E2292" s="17">
        <v>50</v>
      </c>
      <c r="F2292" s="19">
        <v>1125351</v>
      </c>
      <c r="G2292" s="19">
        <v>9204184</v>
      </c>
    </row>
    <row r="2293" spans="2:7">
      <c r="B2293" s="18">
        <v>8029</v>
      </c>
      <c r="C2293" s="17">
        <v>50</v>
      </c>
      <c r="D2293" s="17" t="s">
        <v>3829</v>
      </c>
      <c r="E2293" s="17">
        <v>51</v>
      </c>
      <c r="F2293" s="19">
        <v>1257267</v>
      </c>
      <c r="G2293" s="19">
        <v>10461451</v>
      </c>
    </row>
    <row r="2294" spans="2:7">
      <c r="B2294" s="18">
        <v>8029</v>
      </c>
      <c r="C2294" s="17">
        <v>51</v>
      </c>
      <c r="D2294" s="17" t="s">
        <v>3830</v>
      </c>
      <c r="E2294" s="22">
        <v>52</v>
      </c>
      <c r="F2294" s="19">
        <v>1401678</v>
      </c>
      <c r="G2294" s="19">
        <v>11863129</v>
      </c>
    </row>
    <row r="2295" spans="2:7">
      <c r="B2295" s="18">
        <v>8029</v>
      </c>
      <c r="C2295" s="17">
        <v>52</v>
      </c>
      <c r="D2295" s="17" t="s">
        <v>3831</v>
      </c>
      <c r="E2295" s="22">
        <v>53</v>
      </c>
      <c r="F2295" s="19">
        <v>1559487</v>
      </c>
      <c r="G2295" s="19">
        <v>13422616</v>
      </c>
    </row>
    <row r="2296" spans="2:7">
      <c r="B2296" s="18">
        <v>8029</v>
      </c>
      <c r="C2296" s="17">
        <v>53</v>
      </c>
      <c r="D2296" s="17" t="s">
        <v>3832</v>
      </c>
      <c r="E2296" s="22">
        <v>54</v>
      </c>
      <c r="F2296" s="19">
        <v>1731649</v>
      </c>
      <c r="G2296" s="19">
        <v>15154265</v>
      </c>
    </row>
    <row r="2297" spans="2:7">
      <c r="B2297" s="18">
        <v>8029</v>
      </c>
      <c r="C2297" s="17">
        <v>54</v>
      </c>
      <c r="D2297" s="17" t="s">
        <v>3833</v>
      </c>
      <c r="E2297" s="22">
        <v>55</v>
      </c>
      <c r="F2297" s="19">
        <v>1919158</v>
      </c>
      <c r="G2297" s="19">
        <v>17073423</v>
      </c>
    </row>
    <row r="2298" spans="2:7">
      <c r="B2298" s="18">
        <v>8029</v>
      </c>
      <c r="C2298" s="17">
        <v>55</v>
      </c>
      <c r="D2298" s="17" t="s">
        <v>3834</v>
      </c>
      <c r="E2298" s="22">
        <v>56</v>
      </c>
      <c r="F2298" s="19">
        <v>2123065</v>
      </c>
      <c r="G2298" s="19">
        <v>19196488</v>
      </c>
    </row>
    <row r="2299" spans="2:7">
      <c r="B2299" s="18">
        <v>8029</v>
      </c>
      <c r="C2299" s="17">
        <v>56</v>
      </c>
      <c r="D2299" s="17" t="s">
        <v>3835</v>
      </c>
      <c r="E2299" s="22">
        <v>57</v>
      </c>
      <c r="F2299" s="19">
        <v>2344464</v>
      </c>
      <c r="G2299" s="19">
        <v>21540952</v>
      </c>
    </row>
    <row r="2300" spans="2:7">
      <c r="B2300" s="18">
        <v>8029</v>
      </c>
      <c r="C2300" s="17">
        <v>57</v>
      </c>
      <c r="D2300" s="17" t="s">
        <v>3836</v>
      </c>
      <c r="E2300" s="22">
        <v>58</v>
      </c>
      <c r="F2300" s="19">
        <v>2584504</v>
      </c>
      <c r="G2300" s="19">
        <v>24125456</v>
      </c>
    </row>
    <row r="2301" spans="2:7">
      <c r="B2301" s="18">
        <v>8029</v>
      </c>
      <c r="C2301" s="17">
        <v>58</v>
      </c>
      <c r="D2301" s="17" t="s">
        <v>3837</v>
      </c>
      <c r="E2301" s="22">
        <v>59</v>
      </c>
      <c r="F2301" s="19">
        <v>2844387</v>
      </c>
      <c r="G2301" s="19">
        <v>26969843</v>
      </c>
    </row>
    <row r="2302" spans="2:7">
      <c r="B2302" s="18">
        <v>8029</v>
      </c>
      <c r="C2302" s="17">
        <v>59</v>
      </c>
      <c r="D2302" s="17" t="s">
        <v>3838</v>
      </c>
      <c r="E2302" s="22">
        <v>60</v>
      </c>
      <c r="F2302" s="19">
        <v>3125367</v>
      </c>
      <c r="G2302" s="19">
        <v>30095210</v>
      </c>
    </row>
    <row r="2303" spans="2:7">
      <c r="B2303" s="18">
        <v>8029</v>
      </c>
      <c r="C2303" s="17">
        <v>60</v>
      </c>
      <c r="D2303" s="17" t="s">
        <v>3839</v>
      </c>
      <c r="E2303" s="22">
        <v>61</v>
      </c>
      <c r="F2303" s="19">
        <v>3428759</v>
      </c>
      <c r="G2303" s="19">
        <v>33523969</v>
      </c>
    </row>
    <row r="2304" spans="2:7">
      <c r="B2304" s="18">
        <v>8029</v>
      </c>
      <c r="C2304" s="17">
        <v>61</v>
      </c>
      <c r="D2304" s="17" t="s">
        <v>3840</v>
      </c>
      <c r="E2304" s="22">
        <v>62</v>
      </c>
      <c r="F2304" s="19">
        <v>3755928</v>
      </c>
      <c r="G2304" s="19">
        <v>37279897</v>
      </c>
    </row>
    <row r="2305" spans="2:7">
      <c r="B2305" s="18">
        <v>8029</v>
      </c>
      <c r="C2305" s="17">
        <v>62</v>
      </c>
      <c r="D2305" s="17" t="s">
        <v>3841</v>
      </c>
      <c r="E2305" s="22">
        <v>63</v>
      </c>
      <c r="F2305" s="19">
        <v>4108304</v>
      </c>
      <c r="G2305" s="19">
        <v>41388201</v>
      </c>
    </row>
    <row r="2306" spans="2:7">
      <c r="B2306" s="18">
        <v>8029</v>
      </c>
      <c r="C2306" s="17">
        <v>63</v>
      </c>
      <c r="D2306" s="17" t="s">
        <v>3842</v>
      </c>
      <c r="E2306" s="22">
        <v>64</v>
      </c>
      <c r="F2306" s="19">
        <v>4487373</v>
      </c>
      <c r="G2306" s="19">
        <v>45875574</v>
      </c>
    </row>
    <row r="2307" spans="2:7">
      <c r="B2307" s="18">
        <v>8029</v>
      </c>
      <c r="C2307" s="17">
        <v>64</v>
      </c>
      <c r="D2307" s="17" t="s">
        <v>3843</v>
      </c>
      <c r="E2307" s="22">
        <v>65</v>
      </c>
      <c r="F2307" s="19">
        <v>4894687</v>
      </c>
      <c r="G2307" s="19">
        <v>50770261</v>
      </c>
    </row>
    <row r="2308" spans="2:7">
      <c r="B2308" s="18">
        <v>8029</v>
      </c>
      <c r="C2308" s="17">
        <v>65</v>
      </c>
      <c r="D2308" s="17" t="s">
        <v>3844</v>
      </c>
      <c r="E2308" s="22">
        <v>66</v>
      </c>
      <c r="F2308" s="19">
        <v>5331856</v>
      </c>
      <c r="G2308" s="19">
        <v>56102117</v>
      </c>
    </row>
    <row r="2309" spans="2:7">
      <c r="B2309" s="18">
        <v>8029</v>
      </c>
      <c r="C2309" s="17">
        <v>66</v>
      </c>
      <c r="D2309" s="17" t="s">
        <v>3845</v>
      </c>
      <c r="E2309" s="22">
        <v>67</v>
      </c>
      <c r="F2309" s="19">
        <v>5800558</v>
      </c>
      <c r="G2309" s="19">
        <v>61902675</v>
      </c>
    </row>
    <row r="2310" spans="2:7">
      <c r="B2310" s="18">
        <v>8029</v>
      </c>
      <c r="C2310" s="17">
        <v>67</v>
      </c>
      <c r="D2310" s="17" t="s">
        <v>3846</v>
      </c>
      <c r="E2310" s="22">
        <v>68</v>
      </c>
      <c r="F2310" s="19">
        <v>6302537</v>
      </c>
      <c r="G2310" s="19">
        <v>68205212</v>
      </c>
    </row>
    <row r="2311" spans="2:7">
      <c r="B2311" s="18">
        <v>8029</v>
      </c>
      <c r="C2311" s="17">
        <v>68</v>
      </c>
      <c r="D2311" s="17" t="s">
        <v>3847</v>
      </c>
      <c r="E2311" s="22">
        <v>69</v>
      </c>
      <c r="F2311" s="19">
        <v>6839606</v>
      </c>
      <c r="G2311" s="19">
        <v>75044818</v>
      </c>
    </row>
    <row r="2312" spans="2:7">
      <c r="B2312" s="18">
        <v>8029</v>
      </c>
      <c r="C2312" s="17">
        <v>69</v>
      </c>
      <c r="D2312" s="17" t="s">
        <v>3848</v>
      </c>
      <c r="E2312" s="22">
        <v>70</v>
      </c>
      <c r="F2312" s="19">
        <v>7413645</v>
      </c>
      <c r="G2312" s="19">
        <v>82458463</v>
      </c>
    </row>
    <row r="2313" spans="2:7">
      <c r="B2313" s="18">
        <v>8029</v>
      </c>
      <c r="C2313" s="17">
        <v>70</v>
      </c>
      <c r="D2313" s="17" t="s">
        <v>3849</v>
      </c>
      <c r="E2313" s="22">
        <v>71</v>
      </c>
      <c r="F2313" s="19">
        <v>8026605</v>
      </c>
      <c r="G2313" s="19">
        <v>90485068</v>
      </c>
    </row>
    <row r="2314" spans="2:7">
      <c r="B2314" s="18">
        <v>8029</v>
      </c>
      <c r="C2314" s="17">
        <v>71</v>
      </c>
      <c r="D2314" s="17" t="s">
        <v>3850</v>
      </c>
      <c r="E2314" s="22">
        <v>72</v>
      </c>
      <c r="F2314" s="19">
        <v>8680512</v>
      </c>
      <c r="G2314" s="19">
        <v>99165580</v>
      </c>
    </row>
    <row r="2315" spans="2:7">
      <c r="B2315" s="18">
        <v>8029</v>
      </c>
      <c r="C2315" s="17">
        <v>72</v>
      </c>
      <c r="D2315" s="17" t="s">
        <v>3851</v>
      </c>
      <c r="E2315" s="22">
        <v>73</v>
      </c>
      <c r="F2315" s="19">
        <v>9377462</v>
      </c>
      <c r="G2315" s="19">
        <v>108543042</v>
      </c>
    </row>
    <row r="2316" spans="2:7">
      <c r="B2316" s="18">
        <v>8029</v>
      </c>
      <c r="C2316" s="17">
        <v>73</v>
      </c>
      <c r="D2316" s="17" t="s">
        <v>3852</v>
      </c>
      <c r="E2316" s="22">
        <v>74</v>
      </c>
      <c r="F2316" s="19">
        <v>10119632</v>
      </c>
      <c r="G2316" s="19">
        <v>118662674</v>
      </c>
    </row>
    <row r="2317" spans="2:7">
      <c r="B2317" s="18">
        <v>8029</v>
      </c>
      <c r="C2317" s="17">
        <v>74</v>
      </c>
      <c r="D2317" s="17" t="s">
        <v>3853</v>
      </c>
      <c r="E2317" s="22">
        <v>75</v>
      </c>
      <c r="F2317" s="19">
        <v>10909273</v>
      </c>
      <c r="G2317" s="19">
        <v>129571947</v>
      </c>
    </row>
    <row r="2318" spans="2:7">
      <c r="B2318" s="18">
        <v>8029</v>
      </c>
      <c r="C2318" s="17">
        <v>75</v>
      </c>
      <c r="D2318" s="17" t="s">
        <v>3854</v>
      </c>
      <c r="E2318" s="22">
        <v>76</v>
      </c>
      <c r="F2318" s="19">
        <v>11748716</v>
      </c>
      <c r="G2318" s="19">
        <v>141320663</v>
      </c>
    </row>
    <row r="2319" spans="2:7">
      <c r="B2319" s="18">
        <v>8029</v>
      </c>
      <c r="C2319" s="17">
        <v>76</v>
      </c>
      <c r="D2319" s="17" t="s">
        <v>3855</v>
      </c>
      <c r="E2319" s="22">
        <v>77</v>
      </c>
      <c r="F2319" s="19">
        <v>12640371</v>
      </c>
      <c r="G2319" s="19">
        <v>153961034</v>
      </c>
    </row>
    <row r="2320" spans="2:7">
      <c r="B2320" s="18">
        <v>8029</v>
      </c>
      <c r="C2320" s="17">
        <v>77</v>
      </c>
      <c r="D2320" s="17" t="s">
        <v>3856</v>
      </c>
      <c r="E2320" s="22">
        <v>78</v>
      </c>
      <c r="F2320" s="19">
        <v>13586734</v>
      </c>
      <c r="G2320" s="19">
        <v>167547768</v>
      </c>
    </row>
    <row r="2321" spans="2:7">
      <c r="B2321" s="18">
        <v>8029</v>
      </c>
      <c r="C2321" s="17">
        <v>78</v>
      </c>
      <c r="D2321" s="17" t="s">
        <v>3857</v>
      </c>
      <c r="E2321" s="22">
        <v>79</v>
      </c>
      <c r="F2321" s="19">
        <v>14590381</v>
      </c>
      <c r="G2321" s="19">
        <v>182138149</v>
      </c>
    </row>
    <row r="2322" spans="2:7">
      <c r="B2322" s="18">
        <v>8029</v>
      </c>
      <c r="C2322" s="17">
        <v>79</v>
      </c>
      <c r="D2322" s="17" t="s">
        <v>3858</v>
      </c>
      <c r="E2322" s="22">
        <v>80</v>
      </c>
      <c r="F2322" s="19">
        <v>15653976</v>
      </c>
      <c r="G2322" s="19">
        <v>197792125</v>
      </c>
    </row>
    <row r="2323" spans="2:7">
      <c r="B2323" s="18">
        <v>8029</v>
      </c>
      <c r="C2323" s="17">
        <v>80</v>
      </c>
      <c r="D2323" s="17" t="s">
        <v>3859</v>
      </c>
      <c r="E2323" s="22" t="s">
        <v>1762</v>
      </c>
      <c r="F2323" s="19">
        <v>16780268</v>
      </c>
      <c r="G2323" s="19">
        <v>214572393</v>
      </c>
    </row>
    <row r="2324" spans="2:7">
      <c r="B2324" s="18">
        <v>8030</v>
      </c>
      <c r="C2324" s="17">
        <v>1</v>
      </c>
      <c r="D2324" s="17" t="s">
        <v>3860</v>
      </c>
      <c r="E2324" s="17">
        <v>2</v>
      </c>
      <c r="F2324" s="26">
        <v>0</v>
      </c>
      <c r="G2324" s="19">
        <v>0</v>
      </c>
    </row>
    <row r="2325" spans="2:7">
      <c r="B2325" s="18">
        <v>8030</v>
      </c>
      <c r="C2325" s="17">
        <v>2</v>
      </c>
      <c r="D2325" s="17" t="s">
        <v>3861</v>
      </c>
      <c r="E2325" s="17">
        <v>3</v>
      </c>
      <c r="F2325" s="19">
        <v>143</v>
      </c>
      <c r="G2325" s="19">
        <v>143</v>
      </c>
    </row>
    <row r="2326" spans="2:7">
      <c r="B2326" s="18">
        <v>8030</v>
      </c>
      <c r="C2326" s="17">
        <v>3</v>
      </c>
      <c r="D2326" s="17" t="s">
        <v>3862</v>
      </c>
      <c r="E2326" s="17">
        <v>4</v>
      </c>
      <c r="F2326" s="19">
        <v>299</v>
      </c>
      <c r="G2326" s="19">
        <v>442</v>
      </c>
    </row>
    <row r="2327" spans="2:7">
      <c r="B2327" s="18">
        <v>8030</v>
      </c>
      <c r="C2327" s="17">
        <v>4</v>
      </c>
      <c r="D2327" s="17" t="s">
        <v>3863</v>
      </c>
      <c r="E2327" s="17">
        <v>5</v>
      </c>
      <c r="F2327" s="19">
        <v>468</v>
      </c>
      <c r="G2327" s="19">
        <v>910</v>
      </c>
    </row>
    <row r="2328" spans="2:7">
      <c r="B2328" s="18">
        <v>8030</v>
      </c>
      <c r="C2328" s="17">
        <v>5</v>
      </c>
      <c r="D2328" s="17" t="s">
        <v>3864</v>
      </c>
      <c r="E2328" s="17">
        <v>6</v>
      </c>
      <c r="F2328" s="19">
        <v>651</v>
      </c>
      <c r="G2328" s="19">
        <v>1561</v>
      </c>
    </row>
    <row r="2329" spans="2:7">
      <c r="B2329" s="18">
        <v>8030</v>
      </c>
      <c r="C2329" s="17">
        <v>6</v>
      </c>
      <c r="D2329" s="17" t="s">
        <v>3865</v>
      </c>
      <c r="E2329" s="17">
        <v>7</v>
      </c>
      <c r="F2329" s="19">
        <v>850</v>
      </c>
      <c r="G2329" s="19">
        <v>2411</v>
      </c>
    </row>
    <row r="2330" spans="2:7">
      <c r="B2330" s="18">
        <v>8030</v>
      </c>
      <c r="C2330" s="17">
        <v>7</v>
      </c>
      <c r="D2330" s="17" t="s">
        <v>3866</v>
      </c>
      <c r="E2330" s="17">
        <v>8</v>
      </c>
      <c r="F2330" s="19">
        <v>1067</v>
      </c>
      <c r="G2330" s="19">
        <v>3478</v>
      </c>
    </row>
    <row r="2331" spans="2:7">
      <c r="B2331" s="18">
        <v>8030</v>
      </c>
      <c r="C2331" s="17">
        <v>8</v>
      </c>
      <c r="D2331" s="17" t="s">
        <v>3867</v>
      </c>
      <c r="E2331" s="17">
        <v>9</v>
      </c>
      <c r="F2331" s="19">
        <v>1307</v>
      </c>
      <c r="G2331" s="19">
        <v>4785</v>
      </c>
    </row>
    <row r="2332" spans="2:7">
      <c r="B2332" s="18">
        <v>8030</v>
      </c>
      <c r="C2332" s="17">
        <v>9</v>
      </c>
      <c r="D2332" s="17" t="s">
        <v>3868</v>
      </c>
      <c r="E2332" s="17">
        <v>10</v>
      </c>
      <c r="F2332" s="19">
        <v>1578</v>
      </c>
      <c r="G2332" s="19">
        <v>6363</v>
      </c>
    </row>
    <row r="2333" spans="2:7">
      <c r="B2333" s="18">
        <v>8030</v>
      </c>
      <c r="C2333" s="17">
        <v>10</v>
      </c>
      <c r="D2333" s="17" t="s">
        <v>3869</v>
      </c>
      <c r="E2333" s="17">
        <v>11</v>
      </c>
      <c r="F2333" s="19">
        <v>1888</v>
      </c>
      <c r="G2333" s="19">
        <v>8251</v>
      </c>
    </row>
    <row r="2334" spans="2:7">
      <c r="B2334" s="18">
        <v>8030</v>
      </c>
      <c r="C2334" s="17">
        <v>11</v>
      </c>
      <c r="D2334" s="17" t="s">
        <v>3870</v>
      </c>
      <c r="E2334" s="17">
        <v>12</v>
      </c>
      <c r="F2334" s="19">
        <v>2251</v>
      </c>
      <c r="G2334" s="19">
        <v>10502</v>
      </c>
    </row>
    <row r="2335" spans="2:7">
      <c r="B2335" s="18">
        <v>8030</v>
      </c>
      <c r="C2335" s="17">
        <v>12</v>
      </c>
      <c r="D2335" s="17" t="s">
        <v>3871</v>
      </c>
      <c r="E2335" s="17">
        <v>13</v>
      </c>
      <c r="F2335" s="19">
        <v>2681</v>
      </c>
      <c r="G2335" s="19">
        <v>13183</v>
      </c>
    </row>
    <row r="2336" spans="2:7">
      <c r="B2336" s="18">
        <v>8030</v>
      </c>
      <c r="C2336" s="17">
        <v>13</v>
      </c>
      <c r="D2336" s="17" t="s">
        <v>2799</v>
      </c>
      <c r="E2336" s="17">
        <v>14</v>
      </c>
      <c r="F2336" s="19">
        <v>3200</v>
      </c>
      <c r="G2336" s="19">
        <v>16383</v>
      </c>
    </row>
    <row r="2337" spans="2:7">
      <c r="B2337" s="18">
        <v>8030</v>
      </c>
      <c r="C2337" s="17">
        <v>14</v>
      </c>
      <c r="D2337" s="17" t="s">
        <v>2801</v>
      </c>
      <c r="E2337" s="17">
        <v>15</v>
      </c>
      <c r="F2337" s="19">
        <v>3833</v>
      </c>
      <c r="G2337" s="19">
        <v>20216</v>
      </c>
    </row>
    <row r="2338" spans="2:7">
      <c r="B2338" s="18">
        <v>8030</v>
      </c>
      <c r="C2338" s="17">
        <v>15</v>
      </c>
      <c r="D2338" s="17" t="s">
        <v>3872</v>
      </c>
      <c r="E2338" s="17">
        <v>16</v>
      </c>
      <c r="F2338" s="19">
        <v>4612</v>
      </c>
      <c r="G2338" s="19">
        <v>24828</v>
      </c>
    </row>
    <row r="2339" spans="2:7">
      <c r="B2339" s="18">
        <v>8030</v>
      </c>
      <c r="C2339" s="17">
        <v>16</v>
      </c>
      <c r="D2339" s="17" t="s">
        <v>3873</v>
      </c>
      <c r="E2339" s="17">
        <v>17</v>
      </c>
      <c r="F2339" s="19">
        <v>5574</v>
      </c>
      <c r="G2339" s="19">
        <v>30402</v>
      </c>
    </row>
    <row r="2340" spans="2:7">
      <c r="B2340" s="18">
        <v>8030</v>
      </c>
      <c r="C2340" s="17">
        <v>17</v>
      </c>
      <c r="D2340" s="17" t="s">
        <v>3874</v>
      </c>
      <c r="E2340" s="17">
        <v>18</v>
      </c>
      <c r="F2340" s="19">
        <v>6763</v>
      </c>
      <c r="G2340" s="19">
        <v>37165</v>
      </c>
    </row>
    <row r="2341" spans="2:7">
      <c r="B2341" s="18">
        <v>8030</v>
      </c>
      <c r="C2341" s="17">
        <v>18</v>
      </c>
      <c r="D2341" s="17" t="s">
        <v>3875</v>
      </c>
      <c r="E2341" s="17">
        <v>19</v>
      </c>
      <c r="F2341" s="19">
        <v>8232</v>
      </c>
      <c r="G2341" s="19">
        <v>45397</v>
      </c>
    </row>
    <row r="2342" spans="2:7">
      <c r="B2342" s="18">
        <v>8030</v>
      </c>
      <c r="C2342" s="17">
        <v>19</v>
      </c>
      <c r="D2342" s="17" t="s">
        <v>3876</v>
      </c>
      <c r="E2342" s="17">
        <v>20</v>
      </c>
      <c r="F2342" s="19">
        <v>10043</v>
      </c>
      <c r="G2342" s="19">
        <v>55440</v>
      </c>
    </row>
    <row r="2343" spans="2:7">
      <c r="B2343" s="18">
        <v>8030</v>
      </c>
      <c r="C2343" s="17">
        <v>20</v>
      </c>
      <c r="D2343" s="17" t="s">
        <v>3877</v>
      </c>
      <c r="E2343" s="17">
        <v>21</v>
      </c>
      <c r="F2343" s="19">
        <v>12266</v>
      </c>
      <c r="G2343" s="19">
        <v>67706</v>
      </c>
    </row>
    <row r="2344" spans="2:7">
      <c r="B2344" s="18">
        <v>8030</v>
      </c>
      <c r="C2344" s="17">
        <v>21</v>
      </c>
      <c r="D2344" s="17" t="s">
        <v>3878</v>
      </c>
      <c r="E2344" s="17">
        <v>22</v>
      </c>
      <c r="F2344" s="19">
        <v>14981</v>
      </c>
      <c r="G2344" s="19">
        <v>82687</v>
      </c>
    </row>
    <row r="2345" spans="2:7">
      <c r="B2345" s="18">
        <v>8030</v>
      </c>
      <c r="C2345" s="17">
        <v>22</v>
      </c>
      <c r="D2345" s="17" t="s">
        <v>3879</v>
      </c>
      <c r="E2345" s="17">
        <v>23</v>
      </c>
      <c r="F2345" s="19">
        <v>18280</v>
      </c>
      <c r="G2345" s="19">
        <v>100967</v>
      </c>
    </row>
    <row r="2346" spans="2:7">
      <c r="B2346" s="18">
        <v>8030</v>
      </c>
      <c r="C2346" s="17">
        <v>23</v>
      </c>
      <c r="D2346" s="17" t="s">
        <v>3880</v>
      </c>
      <c r="E2346" s="17">
        <v>24</v>
      </c>
      <c r="F2346" s="19">
        <v>22266</v>
      </c>
      <c r="G2346" s="19">
        <v>123233</v>
      </c>
    </row>
    <row r="2347" spans="2:7">
      <c r="B2347" s="18">
        <v>8030</v>
      </c>
      <c r="C2347" s="17">
        <v>24</v>
      </c>
      <c r="D2347" s="17" t="s">
        <v>3881</v>
      </c>
      <c r="E2347" s="17">
        <v>25</v>
      </c>
      <c r="F2347" s="19">
        <v>27056</v>
      </c>
      <c r="G2347" s="19">
        <v>150289</v>
      </c>
    </row>
    <row r="2348" spans="2:7">
      <c r="B2348" s="18">
        <v>8030</v>
      </c>
      <c r="C2348" s="17">
        <v>25</v>
      </c>
      <c r="D2348" s="17" t="s">
        <v>3882</v>
      </c>
      <c r="E2348" s="17">
        <v>26</v>
      </c>
      <c r="F2348" s="19">
        <v>32780</v>
      </c>
      <c r="G2348" s="19">
        <v>183069</v>
      </c>
    </row>
    <row r="2349" spans="2:7">
      <c r="B2349" s="18">
        <v>8030</v>
      </c>
      <c r="C2349" s="17">
        <v>26</v>
      </c>
      <c r="D2349" s="17" t="s">
        <v>3883</v>
      </c>
      <c r="E2349" s="17">
        <v>27</v>
      </c>
      <c r="F2349" s="19">
        <v>39582</v>
      </c>
      <c r="G2349" s="19">
        <v>222651</v>
      </c>
    </row>
    <row r="2350" spans="2:7">
      <c r="B2350" s="18">
        <v>8030</v>
      </c>
      <c r="C2350" s="17">
        <v>27</v>
      </c>
      <c r="D2350" s="17" t="s">
        <v>3884</v>
      </c>
      <c r="E2350" s="17">
        <v>28</v>
      </c>
      <c r="F2350" s="19">
        <v>47622</v>
      </c>
      <c r="G2350" s="19">
        <v>270273</v>
      </c>
    </row>
    <row r="2351" spans="2:7">
      <c r="B2351" s="18">
        <v>8030</v>
      </c>
      <c r="C2351" s="17">
        <v>28</v>
      </c>
      <c r="D2351" s="17" t="s">
        <v>3885</v>
      </c>
      <c r="E2351" s="17">
        <v>29</v>
      </c>
      <c r="F2351" s="19">
        <v>57077</v>
      </c>
      <c r="G2351" s="19">
        <v>327350</v>
      </c>
    </row>
    <row r="2352" spans="2:7">
      <c r="B2352" s="18">
        <v>8030</v>
      </c>
      <c r="C2352" s="17">
        <v>29</v>
      </c>
      <c r="D2352" s="17" t="s">
        <v>3886</v>
      </c>
      <c r="E2352" s="17">
        <v>30</v>
      </c>
      <c r="F2352" s="19">
        <v>68142</v>
      </c>
      <c r="G2352" s="19">
        <v>395492</v>
      </c>
    </row>
    <row r="2353" spans="2:7">
      <c r="B2353" s="18">
        <v>8030</v>
      </c>
      <c r="C2353" s="17">
        <v>30</v>
      </c>
      <c r="D2353" s="17" t="s">
        <v>3887</v>
      </c>
      <c r="E2353" s="17">
        <v>31</v>
      </c>
      <c r="F2353" s="19">
        <v>81027</v>
      </c>
      <c r="G2353" s="19">
        <v>476519</v>
      </c>
    </row>
    <row r="2354" spans="2:7">
      <c r="B2354" s="18">
        <v>8030</v>
      </c>
      <c r="C2354" s="17">
        <v>31</v>
      </c>
      <c r="D2354" s="17" t="s">
        <v>3888</v>
      </c>
      <c r="E2354" s="17">
        <v>32</v>
      </c>
      <c r="F2354" s="19">
        <v>95966</v>
      </c>
      <c r="G2354" s="19">
        <v>572485</v>
      </c>
    </row>
    <row r="2355" spans="2:7">
      <c r="B2355" s="18">
        <v>8030</v>
      </c>
      <c r="C2355" s="17">
        <v>32</v>
      </c>
      <c r="D2355" s="17" t="s">
        <v>3889</v>
      </c>
      <c r="E2355" s="17">
        <v>33</v>
      </c>
      <c r="F2355" s="19">
        <v>113209</v>
      </c>
      <c r="G2355" s="19">
        <v>685694</v>
      </c>
    </row>
    <row r="2356" spans="2:7">
      <c r="B2356" s="18">
        <v>8030</v>
      </c>
      <c r="C2356" s="17">
        <v>33</v>
      </c>
      <c r="D2356" s="17" t="s">
        <v>3890</v>
      </c>
      <c r="E2356" s="17">
        <v>34</v>
      </c>
      <c r="F2356" s="19">
        <v>133032</v>
      </c>
      <c r="G2356" s="19">
        <v>818726</v>
      </c>
    </row>
    <row r="2357" spans="2:7">
      <c r="B2357" s="18">
        <v>8030</v>
      </c>
      <c r="C2357" s="17">
        <v>34</v>
      </c>
      <c r="D2357" s="17" t="s">
        <v>3891</v>
      </c>
      <c r="E2357" s="17">
        <v>35</v>
      </c>
      <c r="F2357" s="19">
        <v>155732</v>
      </c>
      <c r="G2357" s="19">
        <v>974458</v>
      </c>
    </row>
    <row r="2358" spans="2:7">
      <c r="B2358" s="18">
        <v>8030</v>
      </c>
      <c r="C2358" s="17">
        <v>35</v>
      </c>
      <c r="D2358" s="17" t="s">
        <v>3892</v>
      </c>
      <c r="E2358" s="17">
        <v>36</v>
      </c>
      <c r="F2358" s="19">
        <v>181628</v>
      </c>
      <c r="G2358" s="19">
        <v>1156086</v>
      </c>
    </row>
    <row r="2359" spans="2:7">
      <c r="B2359" s="18">
        <v>8030</v>
      </c>
      <c r="C2359" s="17">
        <v>36</v>
      </c>
      <c r="D2359" s="17" t="s">
        <v>3893</v>
      </c>
      <c r="E2359" s="17">
        <v>37</v>
      </c>
      <c r="F2359" s="19">
        <v>211065</v>
      </c>
      <c r="G2359" s="19">
        <v>1367151</v>
      </c>
    </row>
    <row r="2360" spans="2:7">
      <c r="B2360" s="18">
        <v>8030</v>
      </c>
      <c r="C2360" s="17">
        <v>37</v>
      </c>
      <c r="D2360" s="17" t="s">
        <v>3894</v>
      </c>
      <c r="E2360" s="17">
        <v>38</v>
      </c>
      <c r="F2360" s="19">
        <v>244415</v>
      </c>
      <c r="G2360" s="19">
        <v>1611566</v>
      </c>
    </row>
    <row r="2361" spans="2:7">
      <c r="B2361" s="18">
        <v>8030</v>
      </c>
      <c r="C2361" s="17">
        <v>38</v>
      </c>
      <c r="D2361" s="17" t="s">
        <v>3895</v>
      </c>
      <c r="E2361" s="17">
        <v>39</v>
      </c>
      <c r="F2361" s="19">
        <v>282076</v>
      </c>
      <c r="G2361" s="19">
        <v>1893642</v>
      </c>
    </row>
    <row r="2362" spans="2:7">
      <c r="B2362" s="18">
        <v>8030</v>
      </c>
      <c r="C2362" s="17">
        <v>39</v>
      </c>
      <c r="D2362" s="17" t="s">
        <v>3896</v>
      </c>
      <c r="E2362" s="17">
        <v>40</v>
      </c>
      <c r="F2362" s="19">
        <v>324474</v>
      </c>
      <c r="G2362" s="19">
        <v>2218116</v>
      </c>
    </row>
    <row r="2363" spans="2:7">
      <c r="B2363" s="18">
        <v>8030</v>
      </c>
      <c r="C2363" s="17">
        <v>40</v>
      </c>
      <c r="D2363" s="17" t="s">
        <v>3897</v>
      </c>
      <c r="E2363" s="17">
        <v>41</v>
      </c>
      <c r="F2363" s="19">
        <v>372065</v>
      </c>
      <c r="G2363" s="19">
        <v>2590181</v>
      </c>
    </row>
    <row r="2364" spans="2:7">
      <c r="B2364" s="18">
        <v>8030</v>
      </c>
      <c r="C2364" s="17">
        <v>41</v>
      </c>
      <c r="D2364" s="17" t="s">
        <v>3898</v>
      </c>
      <c r="E2364" s="17">
        <v>42</v>
      </c>
      <c r="F2364" s="19">
        <v>425335</v>
      </c>
      <c r="G2364" s="19">
        <v>3015516</v>
      </c>
    </row>
    <row r="2365" spans="2:7">
      <c r="B2365" s="18">
        <v>8030</v>
      </c>
      <c r="C2365" s="17">
        <v>42</v>
      </c>
      <c r="D2365" s="17" t="s">
        <v>3899</v>
      </c>
      <c r="E2365" s="17">
        <v>43</v>
      </c>
      <c r="F2365" s="19">
        <v>484802</v>
      </c>
      <c r="G2365" s="19">
        <v>3500318</v>
      </c>
    </row>
    <row r="2366" spans="2:7">
      <c r="B2366" s="18">
        <v>8030</v>
      </c>
      <c r="C2366" s="17">
        <v>43</v>
      </c>
      <c r="D2366" s="17" t="s">
        <v>3900</v>
      </c>
      <c r="E2366" s="17">
        <v>44</v>
      </c>
      <c r="F2366" s="19">
        <v>551018</v>
      </c>
      <c r="G2366" s="19">
        <v>4051336</v>
      </c>
    </row>
    <row r="2367" spans="2:7">
      <c r="B2367" s="18">
        <v>8030</v>
      </c>
      <c r="C2367" s="17">
        <v>44</v>
      </c>
      <c r="D2367" s="17" t="s">
        <v>3901</v>
      </c>
      <c r="E2367" s="17">
        <v>45</v>
      </c>
      <c r="F2367" s="19">
        <v>624566</v>
      </c>
      <c r="G2367" s="19">
        <v>4675902</v>
      </c>
    </row>
    <row r="2368" spans="2:7">
      <c r="B2368" s="18">
        <v>8030</v>
      </c>
      <c r="C2368" s="17">
        <v>45</v>
      </c>
      <c r="D2368" s="17" t="s">
        <v>3902</v>
      </c>
      <c r="E2368" s="17">
        <v>46</v>
      </c>
      <c r="F2368" s="19">
        <v>706070</v>
      </c>
      <c r="G2368" s="19">
        <v>5381972</v>
      </c>
    </row>
    <row r="2369" spans="2:7">
      <c r="B2369" s="18">
        <v>8030</v>
      </c>
      <c r="C2369" s="17">
        <v>46</v>
      </c>
      <c r="D2369" s="17" t="s">
        <v>3903</v>
      </c>
      <c r="E2369" s="17">
        <v>47</v>
      </c>
      <c r="F2369" s="19">
        <v>796185</v>
      </c>
      <c r="G2369" s="19">
        <v>6178157</v>
      </c>
    </row>
    <row r="2370" spans="2:7">
      <c r="B2370" s="18">
        <v>8030</v>
      </c>
      <c r="C2370" s="17">
        <v>47</v>
      </c>
      <c r="D2370" s="17" t="s">
        <v>3904</v>
      </c>
      <c r="E2370" s="17">
        <v>48</v>
      </c>
      <c r="F2370" s="19">
        <v>895606</v>
      </c>
      <c r="G2370" s="19">
        <v>7073763</v>
      </c>
    </row>
    <row r="2371" spans="2:7">
      <c r="B2371" s="18">
        <v>8030</v>
      </c>
      <c r="C2371" s="17">
        <v>48</v>
      </c>
      <c r="D2371" s="17" t="s">
        <v>3905</v>
      </c>
      <c r="E2371" s="17">
        <v>49</v>
      </c>
      <c r="F2371" s="19">
        <v>1005070</v>
      </c>
      <c r="G2371" s="19">
        <v>8078833</v>
      </c>
    </row>
    <row r="2372" spans="2:7">
      <c r="B2372" s="18">
        <v>8030</v>
      </c>
      <c r="C2372" s="17">
        <v>49</v>
      </c>
      <c r="D2372" s="17" t="s">
        <v>3906</v>
      </c>
      <c r="E2372" s="17">
        <v>50</v>
      </c>
      <c r="F2372" s="19">
        <v>1125351</v>
      </c>
      <c r="G2372" s="19">
        <v>9204184</v>
      </c>
    </row>
    <row r="2373" spans="2:7">
      <c r="B2373" s="18">
        <v>8030</v>
      </c>
      <c r="C2373" s="17">
        <v>50</v>
      </c>
      <c r="D2373" s="17" t="s">
        <v>3907</v>
      </c>
      <c r="E2373" s="17">
        <v>51</v>
      </c>
      <c r="F2373" s="19">
        <v>1257267</v>
      </c>
      <c r="G2373" s="19">
        <v>10461451</v>
      </c>
    </row>
    <row r="2374" spans="2:7">
      <c r="B2374" s="18">
        <v>8030</v>
      </c>
      <c r="C2374" s="17">
        <v>51</v>
      </c>
      <c r="D2374" s="17" t="s">
        <v>3908</v>
      </c>
      <c r="E2374" s="22">
        <v>52</v>
      </c>
      <c r="F2374" s="19">
        <v>1401678</v>
      </c>
      <c r="G2374" s="19">
        <v>11863129</v>
      </c>
    </row>
    <row r="2375" spans="2:7">
      <c r="B2375" s="18">
        <v>8030</v>
      </c>
      <c r="C2375" s="17">
        <v>52</v>
      </c>
      <c r="D2375" s="17" t="s">
        <v>3909</v>
      </c>
      <c r="E2375" s="22">
        <v>53</v>
      </c>
      <c r="F2375" s="19">
        <v>1559487</v>
      </c>
      <c r="G2375" s="19">
        <v>13422616</v>
      </c>
    </row>
    <row r="2376" spans="2:7">
      <c r="B2376" s="18">
        <v>8030</v>
      </c>
      <c r="C2376" s="17">
        <v>53</v>
      </c>
      <c r="D2376" s="17" t="s">
        <v>3910</v>
      </c>
      <c r="E2376" s="22">
        <v>54</v>
      </c>
      <c r="F2376" s="19">
        <v>1731649</v>
      </c>
      <c r="G2376" s="19">
        <v>15154265</v>
      </c>
    </row>
    <row r="2377" spans="2:7">
      <c r="B2377" s="18">
        <v>8030</v>
      </c>
      <c r="C2377" s="17">
        <v>54</v>
      </c>
      <c r="D2377" s="17" t="s">
        <v>3911</v>
      </c>
      <c r="E2377" s="22">
        <v>55</v>
      </c>
      <c r="F2377" s="19">
        <v>1919158</v>
      </c>
      <c r="G2377" s="19">
        <v>17073423</v>
      </c>
    </row>
    <row r="2378" spans="2:7">
      <c r="B2378" s="18">
        <v>8030</v>
      </c>
      <c r="C2378" s="17">
        <v>55</v>
      </c>
      <c r="D2378" s="17" t="s">
        <v>3912</v>
      </c>
      <c r="E2378" s="22">
        <v>56</v>
      </c>
      <c r="F2378" s="19">
        <v>2123065</v>
      </c>
      <c r="G2378" s="19">
        <v>19196488</v>
      </c>
    </row>
    <row r="2379" spans="2:7">
      <c r="B2379" s="18">
        <v>8030</v>
      </c>
      <c r="C2379" s="17">
        <v>56</v>
      </c>
      <c r="D2379" s="17" t="s">
        <v>3913</v>
      </c>
      <c r="E2379" s="22">
        <v>57</v>
      </c>
      <c r="F2379" s="19">
        <v>2344464</v>
      </c>
      <c r="G2379" s="19">
        <v>21540952</v>
      </c>
    </row>
    <row r="2380" spans="2:7">
      <c r="B2380" s="18">
        <v>8030</v>
      </c>
      <c r="C2380" s="17">
        <v>57</v>
      </c>
      <c r="D2380" s="17" t="s">
        <v>3914</v>
      </c>
      <c r="E2380" s="22">
        <v>58</v>
      </c>
      <c r="F2380" s="19">
        <v>2584504</v>
      </c>
      <c r="G2380" s="19">
        <v>24125456</v>
      </c>
    </row>
    <row r="2381" spans="2:7">
      <c r="B2381" s="18">
        <v>8030</v>
      </c>
      <c r="C2381" s="17">
        <v>58</v>
      </c>
      <c r="D2381" s="17" t="s">
        <v>3915</v>
      </c>
      <c r="E2381" s="22">
        <v>59</v>
      </c>
      <c r="F2381" s="19">
        <v>2844387</v>
      </c>
      <c r="G2381" s="19">
        <v>26969843</v>
      </c>
    </row>
    <row r="2382" spans="2:7">
      <c r="B2382" s="18">
        <v>8030</v>
      </c>
      <c r="C2382" s="17">
        <v>59</v>
      </c>
      <c r="D2382" s="17" t="s">
        <v>3916</v>
      </c>
      <c r="E2382" s="22">
        <v>60</v>
      </c>
      <c r="F2382" s="19">
        <v>3125367</v>
      </c>
      <c r="G2382" s="19">
        <v>30095210</v>
      </c>
    </row>
    <row r="2383" spans="2:7">
      <c r="B2383" s="18">
        <v>8030</v>
      </c>
      <c r="C2383" s="17">
        <v>60</v>
      </c>
      <c r="D2383" s="17" t="s">
        <v>3917</v>
      </c>
      <c r="E2383" s="22">
        <v>61</v>
      </c>
      <c r="F2383" s="19">
        <v>3428759</v>
      </c>
      <c r="G2383" s="19">
        <v>33523969</v>
      </c>
    </row>
    <row r="2384" spans="2:7">
      <c r="B2384" s="18">
        <v>8030</v>
      </c>
      <c r="C2384" s="17">
        <v>61</v>
      </c>
      <c r="D2384" s="17" t="s">
        <v>3918</v>
      </c>
      <c r="E2384" s="22">
        <v>62</v>
      </c>
      <c r="F2384" s="19">
        <v>3755928</v>
      </c>
      <c r="G2384" s="19">
        <v>37279897</v>
      </c>
    </row>
    <row r="2385" spans="2:7">
      <c r="B2385" s="18">
        <v>8030</v>
      </c>
      <c r="C2385" s="17">
        <v>62</v>
      </c>
      <c r="D2385" s="17" t="s">
        <v>3919</v>
      </c>
      <c r="E2385" s="22">
        <v>63</v>
      </c>
      <c r="F2385" s="19">
        <v>4108304</v>
      </c>
      <c r="G2385" s="19">
        <v>41388201</v>
      </c>
    </row>
    <row r="2386" spans="2:7">
      <c r="B2386" s="18">
        <v>8030</v>
      </c>
      <c r="C2386" s="17">
        <v>63</v>
      </c>
      <c r="D2386" s="17" t="s">
        <v>3920</v>
      </c>
      <c r="E2386" s="22">
        <v>64</v>
      </c>
      <c r="F2386" s="19">
        <v>4487373</v>
      </c>
      <c r="G2386" s="19">
        <v>45875574</v>
      </c>
    </row>
    <row r="2387" spans="2:7">
      <c r="B2387" s="18">
        <v>8030</v>
      </c>
      <c r="C2387" s="17">
        <v>64</v>
      </c>
      <c r="D2387" s="17" t="s">
        <v>3921</v>
      </c>
      <c r="E2387" s="22">
        <v>65</v>
      </c>
      <c r="F2387" s="19">
        <v>4894687</v>
      </c>
      <c r="G2387" s="19">
        <v>50770261</v>
      </c>
    </row>
    <row r="2388" spans="2:7">
      <c r="B2388" s="18">
        <v>8030</v>
      </c>
      <c r="C2388" s="17">
        <v>65</v>
      </c>
      <c r="D2388" s="17" t="s">
        <v>3922</v>
      </c>
      <c r="E2388" s="22">
        <v>66</v>
      </c>
      <c r="F2388" s="19">
        <v>5331856</v>
      </c>
      <c r="G2388" s="19">
        <v>56102117</v>
      </c>
    </row>
    <row r="2389" spans="2:7">
      <c r="B2389" s="18">
        <v>8030</v>
      </c>
      <c r="C2389" s="17">
        <v>66</v>
      </c>
      <c r="D2389" s="17" t="s">
        <v>3923</v>
      </c>
      <c r="E2389" s="22">
        <v>67</v>
      </c>
      <c r="F2389" s="19">
        <v>5800558</v>
      </c>
      <c r="G2389" s="19">
        <v>61902675</v>
      </c>
    </row>
    <row r="2390" spans="2:7">
      <c r="B2390" s="18">
        <v>8030</v>
      </c>
      <c r="C2390" s="17">
        <v>67</v>
      </c>
      <c r="D2390" s="17" t="s">
        <v>3924</v>
      </c>
      <c r="E2390" s="22">
        <v>68</v>
      </c>
      <c r="F2390" s="19">
        <v>6302537</v>
      </c>
      <c r="G2390" s="19">
        <v>68205212</v>
      </c>
    </row>
    <row r="2391" spans="2:7">
      <c r="B2391" s="18">
        <v>8030</v>
      </c>
      <c r="C2391" s="17">
        <v>68</v>
      </c>
      <c r="D2391" s="17" t="s">
        <v>3925</v>
      </c>
      <c r="E2391" s="22">
        <v>69</v>
      </c>
      <c r="F2391" s="19">
        <v>6839606</v>
      </c>
      <c r="G2391" s="19">
        <v>75044818</v>
      </c>
    </row>
    <row r="2392" spans="2:7">
      <c r="B2392" s="18">
        <v>8030</v>
      </c>
      <c r="C2392" s="17">
        <v>69</v>
      </c>
      <c r="D2392" s="17" t="s">
        <v>3926</v>
      </c>
      <c r="E2392" s="22">
        <v>70</v>
      </c>
      <c r="F2392" s="19">
        <v>7413645</v>
      </c>
      <c r="G2392" s="19">
        <v>82458463</v>
      </c>
    </row>
    <row r="2393" spans="2:7">
      <c r="B2393" s="18">
        <v>8030</v>
      </c>
      <c r="C2393" s="17">
        <v>70</v>
      </c>
      <c r="D2393" s="17" t="s">
        <v>3927</v>
      </c>
      <c r="E2393" s="22">
        <v>71</v>
      </c>
      <c r="F2393" s="19">
        <v>8026605</v>
      </c>
      <c r="G2393" s="19">
        <v>90485068</v>
      </c>
    </row>
    <row r="2394" spans="2:7">
      <c r="B2394" s="18">
        <v>8030</v>
      </c>
      <c r="C2394" s="17">
        <v>71</v>
      </c>
      <c r="D2394" s="17" t="s">
        <v>3928</v>
      </c>
      <c r="E2394" s="22">
        <v>72</v>
      </c>
      <c r="F2394" s="19">
        <v>8680512</v>
      </c>
      <c r="G2394" s="19">
        <v>99165580</v>
      </c>
    </row>
    <row r="2395" spans="2:7">
      <c r="B2395" s="18">
        <v>8030</v>
      </c>
      <c r="C2395" s="17">
        <v>72</v>
      </c>
      <c r="D2395" s="17" t="s">
        <v>3929</v>
      </c>
      <c r="E2395" s="22">
        <v>73</v>
      </c>
      <c r="F2395" s="19">
        <v>9377462</v>
      </c>
      <c r="G2395" s="19">
        <v>108543042</v>
      </c>
    </row>
    <row r="2396" spans="2:7">
      <c r="B2396" s="18">
        <v>8030</v>
      </c>
      <c r="C2396" s="17">
        <v>73</v>
      </c>
      <c r="D2396" s="17" t="s">
        <v>3930</v>
      </c>
      <c r="E2396" s="22">
        <v>74</v>
      </c>
      <c r="F2396" s="19">
        <v>10119632</v>
      </c>
      <c r="G2396" s="19">
        <v>118662674</v>
      </c>
    </row>
    <row r="2397" spans="2:7">
      <c r="B2397" s="18">
        <v>8030</v>
      </c>
      <c r="C2397" s="17">
        <v>74</v>
      </c>
      <c r="D2397" s="17" t="s">
        <v>3931</v>
      </c>
      <c r="E2397" s="22">
        <v>75</v>
      </c>
      <c r="F2397" s="19">
        <v>10909273</v>
      </c>
      <c r="G2397" s="19">
        <v>129571947</v>
      </c>
    </row>
    <row r="2398" spans="2:7">
      <c r="B2398" s="18">
        <v>8030</v>
      </c>
      <c r="C2398" s="17">
        <v>75</v>
      </c>
      <c r="D2398" s="17" t="s">
        <v>3932</v>
      </c>
      <c r="E2398" s="22">
        <v>76</v>
      </c>
      <c r="F2398" s="19">
        <v>11748716</v>
      </c>
      <c r="G2398" s="19">
        <v>141320663</v>
      </c>
    </row>
    <row r="2399" spans="2:7">
      <c r="B2399" s="18">
        <v>8030</v>
      </c>
      <c r="C2399" s="17">
        <v>76</v>
      </c>
      <c r="D2399" s="17" t="s">
        <v>3933</v>
      </c>
      <c r="E2399" s="22">
        <v>77</v>
      </c>
      <c r="F2399" s="19">
        <v>12640371</v>
      </c>
      <c r="G2399" s="19">
        <v>153961034</v>
      </c>
    </row>
    <row r="2400" spans="2:7">
      <c r="B2400" s="18">
        <v>8030</v>
      </c>
      <c r="C2400" s="17">
        <v>77</v>
      </c>
      <c r="D2400" s="17" t="s">
        <v>3934</v>
      </c>
      <c r="E2400" s="22">
        <v>78</v>
      </c>
      <c r="F2400" s="19">
        <v>13586734</v>
      </c>
      <c r="G2400" s="19">
        <v>167547768</v>
      </c>
    </row>
    <row r="2401" spans="2:7">
      <c r="B2401" s="18">
        <v>8030</v>
      </c>
      <c r="C2401" s="17">
        <v>78</v>
      </c>
      <c r="D2401" s="17" t="s">
        <v>3935</v>
      </c>
      <c r="E2401" s="22">
        <v>79</v>
      </c>
      <c r="F2401" s="19">
        <v>14590381</v>
      </c>
      <c r="G2401" s="19">
        <v>182138149</v>
      </c>
    </row>
    <row r="2402" spans="2:7">
      <c r="B2402" s="18">
        <v>8030</v>
      </c>
      <c r="C2402" s="17">
        <v>79</v>
      </c>
      <c r="D2402" s="17" t="s">
        <v>3936</v>
      </c>
      <c r="E2402" s="22">
        <v>80</v>
      </c>
      <c r="F2402" s="19">
        <v>15653976</v>
      </c>
      <c r="G2402" s="19">
        <v>197792125</v>
      </c>
    </row>
    <row r="2403" spans="2:7">
      <c r="B2403" s="18">
        <v>8030</v>
      </c>
      <c r="C2403" s="17">
        <v>80</v>
      </c>
      <c r="D2403" s="17" t="s">
        <v>3937</v>
      </c>
      <c r="E2403" s="22" t="s">
        <v>1762</v>
      </c>
      <c r="F2403" s="19">
        <v>16780268</v>
      </c>
      <c r="G2403" s="19">
        <v>214572393</v>
      </c>
    </row>
  </sheetData>
  <phoneticPr fontId="24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C71"/>
  <sheetViews>
    <sheetView topLeftCell="A49" workbookViewId="0">
      <selection activeCell="C2" sqref="C2:C71"/>
    </sheetView>
  </sheetViews>
  <sheetFormatPr defaultColWidth="9" defaultRowHeight="13.5"/>
  <cols>
    <col min="1" max="1" width="15.375" style="1" customWidth="1"/>
    <col min="2" max="2" width="14.375" style="1" customWidth="1"/>
    <col min="3" max="3" width="12.625" style="2"/>
    <col min="4" max="16384" width="9" style="1"/>
  </cols>
  <sheetData>
    <row r="1" spans="1:3">
      <c r="A1" s="3" t="s">
        <v>3938</v>
      </c>
      <c r="B1" s="4" t="s">
        <v>3939</v>
      </c>
      <c r="C1" s="2" t="s">
        <v>1672</v>
      </c>
    </row>
    <row r="2" spans="1:3" ht="14.25">
      <c r="A2" s="155" t="s">
        <v>3940</v>
      </c>
      <c r="B2" s="6">
        <v>9111</v>
      </c>
      <c r="C2" s="8" t="s">
        <v>3945</v>
      </c>
    </row>
    <row r="3" spans="1:3" ht="14.25">
      <c r="A3" s="5" t="s">
        <v>3940</v>
      </c>
      <c r="B3" s="6">
        <v>9121</v>
      </c>
      <c r="C3" s="8" t="s">
        <v>3945</v>
      </c>
    </row>
    <row r="4" spans="1:3" ht="14.25">
      <c r="A4" s="5" t="s">
        <v>3940</v>
      </c>
      <c r="B4" s="6">
        <v>9131</v>
      </c>
      <c r="C4" s="8" t="s">
        <v>3945</v>
      </c>
    </row>
    <row r="5" spans="1:3" ht="14.25">
      <c r="A5" s="5" t="s">
        <v>3940</v>
      </c>
      <c r="B5" s="6">
        <v>9211</v>
      </c>
      <c r="C5" s="8" t="s">
        <v>3945</v>
      </c>
    </row>
    <row r="6" spans="1:3" ht="14.25">
      <c r="A6" s="5" t="s">
        <v>3940</v>
      </c>
      <c r="B6" s="6">
        <v>9221</v>
      </c>
      <c r="C6" s="8" t="s">
        <v>3945</v>
      </c>
    </row>
    <row r="7" spans="1:3" ht="14.25">
      <c r="A7" s="5" t="s">
        <v>3940</v>
      </c>
      <c r="B7" s="6">
        <v>9231</v>
      </c>
      <c r="C7" s="8" t="s">
        <v>3945</v>
      </c>
    </row>
    <row r="8" spans="1:3" ht="14.25">
      <c r="A8" s="5" t="s">
        <v>3940</v>
      </c>
      <c r="B8" s="6">
        <v>9311</v>
      </c>
      <c r="C8" s="8" t="s">
        <v>3945</v>
      </c>
    </row>
    <row r="9" spans="1:3" ht="14.25">
      <c r="A9" s="5" t="s">
        <v>3940</v>
      </c>
      <c r="B9" s="6">
        <v>9321</v>
      </c>
      <c r="C9" s="8" t="s">
        <v>3945</v>
      </c>
    </row>
    <row r="10" spans="1:3" ht="14.25">
      <c r="A10" s="5" t="s">
        <v>3940</v>
      </c>
      <c r="B10" s="6">
        <v>9331</v>
      </c>
      <c r="C10" s="8" t="s">
        <v>3945</v>
      </c>
    </row>
    <row r="11" spans="1:3" ht="14.25">
      <c r="A11" s="5" t="s">
        <v>3940</v>
      </c>
      <c r="B11" s="6">
        <v>9341</v>
      </c>
      <c r="C11" s="8" t="s">
        <v>3945</v>
      </c>
    </row>
    <row r="12" spans="1:3" ht="14.25">
      <c r="A12" s="5" t="s">
        <v>3941</v>
      </c>
      <c r="B12" s="6">
        <v>9112</v>
      </c>
      <c r="C12" s="8" t="s">
        <v>3945</v>
      </c>
    </row>
    <row r="13" spans="1:3" ht="14.25">
      <c r="A13" s="5" t="s">
        <v>3941</v>
      </c>
      <c r="B13" s="6">
        <v>9122</v>
      </c>
      <c r="C13" s="8" t="s">
        <v>3945</v>
      </c>
    </row>
    <row r="14" spans="1:3" ht="14.25">
      <c r="A14" s="5" t="s">
        <v>3941</v>
      </c>
      <c r="B14" s="6">
        <v>9132</v>
      </c>
      <c r="C14" s="8" t="s">
        <v>3945</v>
      </c>
    </row>
    <row r="15" spans="1:3" ht="14.25">
      <c r="A15" s="5" t="s">
        <v>3941</v>
      </c>
      <c r="B15" s="6">
        <v>9212</v>
      </c>
      <c r="C15" s="8" t="s">
        <v>3945</v>
      </c>
    </row>
    <row r="16" spans="1:3" ht="14.25">
      <c r="A16" s="5" t="s">
        <v>3941</v>
      </c>
      <c r="B16" s="6">
        <v>9222</v>
      </c>
      <c r="C16" s="8" t="s">
        <v>3945</v>
      </c>
    </row>
    <row r="17" spans="1:3" ht="14.25">
      <c r="A17" s="5" t="s">
        <v>3941</v>
      </c>
      <c r="B17" s="6">
        <v>9232</v>
      </c>
      <c r="C17" s="8" t="s">
        <v>3945</v>
      </c>
    </row>
    <row r="18" spans="1:3" ht="14.25">
      <c r="A18" s="5" t="s">
        <v>3941</v>
      </c>
      <c r="B18" s="6">
        <v>9312</v>
      </c>
      <c r="C18" s="8" t="s">
        <v>3945</v>
      </c>
    </row>
    <row r="19" spans="1:3" ht="14.25">
      <c r="A19" s="5" t="s">
        <v>3941</v>
      </c>
      <c r="B19" s="6">
        <v>9322</v>
      </c>
      <c r="C19" s="8" t="s">
        <v>3945</v>
      </c>
    </row>
    <row r="20" spans="1:3" ht="14.25">
      <c r="A20" s="5" t="s">
        <v>3941</v>
      </c>
      <c r="B20" s="6">
        <v>9332</v>
      </c>
      <c r="C20" s="8" t="s">
        <v>3945</v>
      </c>
    </row>
    <row r="21" spans="1:3" ht="14.25">
      <c r="A21" s="5" t="s">
        <v>3941</v>
      </c>
      <c r="B21" s="6">
        <v>9342</v>
      </c>
      <c r="C21" s="8" t="s">
        <v>3945</v>
      </c>
    </row>
    <row r="22" spans="1:3" ht="14.25">
      <c r="A22" s="5" t="s">
        <v>3941</v>
      </c>
      <c r="B22" s="6">
        <v>9412</v>
      </c>
      <c r="C22" s="8" t="s">
        <v>3945</v>
      </c>
    </row>
    <row r="23" spans="1:3" ht="14.25">
      <c r="A23" s="5" t="s">
        <v>3941</v>
      </c>
      <c r="B23" s="6">
        <v>9422</v>
      </c>
      <c r="C23" s="8" t="s">
        <v>3945</v>
      </c>
    </row>
    <row r="24" spans="1:3" ht="14.25">
      <c r="A24" s="5" t="s">
        <v>3941</v>
      </c>
      <c r="B24" s="6">
        <v>9432</v>
      </c>
      <c r="C24" s="8" t="s">
        <v>3945</v>
      </c>
    </row>
    <row r="25" spans="1:3" ht="14.25">
      <c r="A25" s="5" t="s">
        <v>3941</v>
      </c>
      <c r="B25" s="6">
        <v>9442</v>
      </c>
      <c r="C25" s="8" t="s">
        <v>3945</v>
      </c>
    </row>
    <row r="26" spans="1:3" ht="14.25">
      <c r="A26" s="5" t="s">
        <v>3941</v>
      </c>
      <c r="B26" s="6">
        <v>9452</v>
      </c>
      <c r="C26" s="8" t="s">
        <v>3945</v>
      </c>
    </row>
    <row r="27" spans="1:3" ht="14.25">
      <c r="A27" s="5" t="s">
        <v>3942</v>
      </c>
      <c r="B27" s="6">
        <v>9113</v>
      </c>
      <c r="C27" s="8" t="s">
        <v>3945</v>
      </c>
    </row>
    <row r="28" spans="1:3" ht="14.25">
      <c r="A28" s="5" t="s">
        <v>3942</v>
      </c>
      <c r="B28" s="6">
        <v>9123</v>
      </c>
      <c r="C28" s="8" t="s">
        <v>3945</v>
      </c>
    </row>
    <row r="29" spans="1:3" ht="14.25">
      <c r="A29" s="5" t="s">
        <v>3942</v>
      </c>
      <c r="B29" s="6">
        <v>9133</v>
      </c>
      <c r="C29" s="8" t="s">
        <v>3945</v>
      </c>
    </row>
    <row r="30" spans="1:3" ht="14.25">
      <c r="A30" s="5" t="s">
        <v>3942</v>
      </c>
      <c r="B30" s="6">
        <v>9213</v>
      </c>
      <c r="C30" s="8" t="s">
        <v>3945</v>
      </c>
    </row>
    <row r="31" spans="1:3" ht="14.25">
      <c r="A31" s="5" t="s">
        <v>3942</v>
      </c>
      <c r="B31" s="6">
        <v>9223</v>
      </c>
      <c r="C31" s="8" t="s">
        <v>3945</v>
      </c>
    </row>
    <row r="32" spans="1:3" ht="14.25">
      <c r="A32" s="5" t="s">
        <v>3942</v>
      </c>
      <c r="B32" s="6">
        <v>9233</v>
      </c>
      <c r="C32" s="8" t="s">
        <v>3945</v>
      </c>
    </row>
    <row r="33" spans="1:3" ht="14.25">
      <c r="A33" s="5" t="s">
        <v>3942</v>
      </c>
      <c r="B33" s="6">
        <v>9313</v>
      </c>
      <c r="C33" s="8" t="s">
        <v>3945</v>
      </c>
    </row>
    <row r="34" spans="1:3" ht="14.25">
      <c r="A34" s="5" t="s">
        <v>3942</v>
      </c>
      <c r="B34" s="6">
        <v>9323</v>
      </c>
      <c r="C34" s="8" t="s">
        <v>3945</v>
      </c>
    </row>
    <row r="35" spans="1:3" ht="14.25">
      <c r="A35" s="5" t="s">
        <v>3942</v>
      </c>
      <c r="B35" s="6">
        <v>9333</v>
      </c>
      <c r="C35" s="8" t="s">
        <v>3945</v>
      </c>
    </row>
    <row r="36" spans="1:3" ht="14.25">
      <c r="A36" s="5" t="s">
        <v>3942</v>
      </c>
      <c r="B36" s="6">
        <v>9343</v>
      </c>
      <c r="C36" s="8" t="s">
        <v>3945</v>
      </c>
    </row>
    <row r="37" spans="1:3" ht="14.25">
      <c r="A37" s="5" t="s">
        <v>3942</v>
      </c>
      <c r="B37" s="6">
        <v>9413</v>
      </c>
      <c r="C37" s="8" t="s">
        <v>3945</v>
      </c>
    </row>
    <row r="38" spans="1:3" ht="14.25">
      <c r="A38" s="5" t="s">
        <v>3942</v>
      </c>
      <c r="B38" s="6">
        <v>9423</v>
      </c>
      <c r="C38" s="8" t="s">
        <v>3945</v>
      </c>
    </row>
    <row r="39" spans="1:3" ht="14.25">
      <c r="A39" s="5" t="s">
        <v>3942</v>
      </c>
      <c r="B39" s="6">
        <v>9433</v>
      </c>
      <c r="C39" s="8" t="s">
        <v>3945</v>
      </c>
    </row>
    <row r="40" spans="1:3" ht="14.25">
      <c r="A40" s="5" t="s">
        <v>3942</v>
      </c>
      <c r="B40" s="6">
        <v>9443</v>
      </c>
      <c r="C40" s="8" t="s">
        <v>3945</v>
      </c>
    </row>
    <row r="41" spans="1:3" ht="14.25">
      <c r="A41" s="5" t="s">
        <v>3942</v>
      </c>
      <c r="B41" s="6">
        <v>9453</v>
      </c>
      <c r="C41" s="8" t="s">
        <v>3945</v>
      </c>
    </row>
    <row r="42" spans="1:3" ht="14.25">
      <c r="A42" s="5" t="s">
        <v>3943</v>
      </c>
      <c r="B42" s="6">
        <v>9114</v>
      </c>
      <c r="C42" s="8" t="s">
        <v>3945</v>
      </c>
    </row>
    <row r="43" spans="1:3" ht="14.25">
      <c r="A43" s="5" t="s">
        <v>3943</v>
      </c>
      <c r="B43" s="6">
        <v>9124</v>
      </c>
      <c r="C43" s="8" t="s">
        <v>3945</v>
      </c>
    </row>
    <row r="44" spans="1:3" ht="14.25">
      <c r="A44" s="5" t="s">
        <v>3943</v>
      </c>
      <c r="B44" s="6">
        <v>9134</v>
      </c>
      <c r="C44" s="8" t="s">
        <v>3945</v>
      </c>
    </row>
    <row r="45" spans="1:3" ht="14.25">
      <c r="A45" s="5" t="s">
        <v>3943</v>
      </c>
      <c r="B45" s="6">
        <v>9214</v>
      </c>
      <c r="C45" s="8" t="s">
        <v>3945</v>
      </c>
    </row>
    <row r="46" spans="1:3" ht="14.25">
      <c r="A46" s="5" t="s">
        <v>3943</v>
      </c>
      <c r="B46" s="6">
        <v>9224</v>
      </c>
      <c r="C46" s="8" t="s">
        <v>3945</v>
      </c>
    </row>
    <row r="47" spans="1:3" ht="14.25">
      <c r="A47" s="5" t="s">
        <v>3943</v>
      </c>
      <c r="B47" s="6">
        <v>9234</v>
      </c>
      <c r="C47" s="8" t="s">
        <v>3945</v>
      </c>
    </row>
    <row r="48" spans="1:3" ht="14.25">
      <c r="A48" s="5" t="s">
        <v>3943</v>
      </c>
      <c r="B48" s="6">
        <v>9314</v>
      </c>
      <c r="C48" s="8" t="s">
        <v>3945</v>
      </c>
    </row>
    <row r="49" spans="1:3" ht="14.25">
      <c r="A49" s="5" t="s">
        <v>3943</v>
      </c>
      <c r="B49" s="6">
        <v>9324</v>
      </c>
      <c r="C49" s="8" t="s">
        <v>3945</v>
      </c>
    </row>
    <row r="50" spans="1:3" ht="14.25">
      <c r="A50" s="5" t="s">
        <v>3943</v>
      </c>
      <c r="B50" s="6">
        <v>9334</v>
      </c>
      <c r="C50" s="8" t="s">
        <v>3945</v>
      </c>
    </row>
    <row r="51" spans="1:3" ht="14.25">
      <c r="A51" s="5" t="s">
        <v>3943</v>
      </c>
      <c r="B51" s="6">
        <v>9344</v>
      </c>
      <c r="C51" s="8" t="s">
        <v>3945</v>
      </c>
    </row>
    <row r="52" spans="1:3" ht="14.25">
      <c r="A52" s="5" t="s">
        <v>3943</v>
      </c>
      <c r="B52" s="6">
        <v>9414</v>
      </c>
      <c r="C52" s="8" t="s">
        <v>3945</v>
      </c>
    </row>
    <row r="53" spans="1:3" ht="14.25">
      <c r="A53" s="5" t="s">
        <v>3943</v>
      </c>
      <c r="B53" s="6">
        <v>9424</v>
      </c>
      <c r="C53" s="8" t="s">
        <v>3945</v>
      </c>
    </row>
    <row r="54" spans="1:3" ht="14.25">
      <c r="A54" s="5" t="s">
        <v>3943</v>
      </c>
      <c r="B54" s="6">
        <v>9434</v>
      </c>
      <c r="C54" s="8" t="s">
        <v>3945</v>
      </c>
    </row>
    <row r="55" spans="1:3" ht="14.25">
      <c r="A55" s="5" t="s">
        <v>3943</v>
      </c>
      <c r="B55" s="6">
        <v>9444</v>
      </c>
      <c r="C55" s="8" t="s">
        <v>3945</v>
      </c>
    </row>
    <row r="56" spans="1:3" ht="14.25">
      <c r="A56" s="5" t="s">
        <v>3943</v>
      </c>
      <c r="B56" s="6">
        <v>9454</v>
      </c>
      <c r="C56" s="8" t="s">
        <v>3945</v>
      </c>
    </row>
    <row r="57" spans="1:3" ht="14.25">
      <c r="A57" s="5" t="s">
        <v>3944</v>
      </c>
      <c r="B57" s="6">
        <v>9115</v>
      </c>
      <c r="C57" s="8" t="s">
        <v>3945</v>
      </c>
    </row>
    <row r="58" spans="1:3" ht="14.25">
      <c r="A58" s="5" t="s">
        <v>3944</v>
      </c>
      <c r="B58" s="6">
        <v>9125</v>
      </c>
      <c r="C58" s="8" t="s">
        <v>3945</v>
      </c>
    </row>
    <row r="59" spans="1:3" ht="14.25">
      <c r="A59" s="5" t="s">
        <v>3944</v>
      </c>
      <c r="B59" s="6">
        <v>9135</v>
      </c>
      <c r="C59" s="8" t="s">
        <v>3945</v>
      </c>
    </row>
    <row r="60" spans="1:3" ht="14.25">
      <c r="A60" s="5" t="s">
        <v>3944</v>
      </c>
      <c r="B60" s="6">
        <v>9215</v>
      </c>
      <c r="C60" s="8" t="s">
        <v>3945</v>
      </c>
    </row>
    <row r="61" spans="1:3" ht="14.25">
      <c r="A61" s="5" t="s">
        <v>3944</v>
      </c>
      <c r="B61" s="6">
        <v>9225</v>
      </c>
      <c r="C61" s="8" t="s">
        <v>3945</v>
      </c>
    </row>
    <row r="62" spans="1:3" ht="14.25">
      <c r="A62" s="5" t="s">
        <v>3944</v>
      </c>
      <c r="B62" s="6">
        <v>9235</v>
      </c>
      <c r="C62" s="8" t="s">
        <v>3945</v>
      </c>
    </row>
    <row r="63" spans="1:3" ht="14.25">
      <c r="A63" s="5" t="s">
        <v>3944</v>
      </c>
      <c r="B63" s="6">
        <v>9315</v>
      </c>
      <c r="C63" s="8" t="s">
        <v>3945</v>
      </c>
    </row>
    <row r="64" spans="1:3" ht="14.25">
      <c r="A64" s="5" t="s">
        <v>3944</v>
      </c>
      <c r="B64" s="6">
        <v>9325</v>
      </c>
      <c r="C64" s="8" t="s">
        <v>3945</v>
      </c>
    </row>
    <row r="65" spans="1:3" ht="14.25">
      <c r="A65" s="5" t="s">
        <v>3944</v>
      </c>
      <c r="B65" s="6">
        <v>9335</v>
      </c>
      <c r="C65" s="8" t="s">
        <v>3945</v>
      </c>
    </row>
    <row r="66" spans="1:3" ht="14.25">
      <c r="A66" s="5" t="s">
        <v>3944</v>
      </c>
      <c r="B66" s="6">
        <v>9345</v>
      </c>
      <c r="C66" s="8" t="s">
        <v>3945</v>
      </c>
    </row>
    <row r="67" spans="1:3" ht="14.25">
      <c r="A67" s="5" t="s">
        <v>3944</v>
      </c>
      <c r="B67" s="6">
        <v>9415</v>
      </c>
      <c r="C67" s="8" t="s">
        <v>3945</v>
      </c>
    </row>
    <row r="68" spans="1:3" ht="14.25">
      <c r="A68" s="5" t="s">
        <v>3944</v>
      </c>
      <c r="B68" s="6">
        <v>9425</v>
      </c>
      <c r="C68" s="8" t="s">
        <v>3945</v>
      </c>
    </row>
    <row r="69" spans="1:3" ht="14.25">
      <c r="A69" s="5" t="s">
        <v>3944</v>
      </c>
      <c r="B69" s="6">
        <v>9435</v>
      </c>
      <c r="C69" s="8" t="s">
        <v>3945</v>
      </c>
    </row>
    <row r="70" spans="1:3" ht="14.25">
      <c r="A70" s="5" t="s">
        <v>3944</v>
      </c>
      <c r="B70" s="6">
        <v>9445</v>
      </c>
      <c r="C70" s="8" t="s">
        <v>3945</v>
      </c>
    </row>
    <row r="71" spans="1:3" ht="14.25">
      <c r="A71" s="5" t="s">
        <v>3944</v>
      </c>
      <c r="B71" s="6">
        <v>9455</v>
      </c>
      <c r="C71" s="8" t="s">
        <v>3945</v>
      </c>
    </row>
  </sheetData>
  <phoneticPr fontId="2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GoodsAttr</vt:lpstr>
      <vt:lpstr>GoodsUse</vt:lpstr>
      <vt:lpstr>GoodsComposite</vt:lpstr>
      <vt:lpstr>Equipment</vt:lpstr>
      <vt:lpstr>GoodsCompose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usq</cp:lastModifiedBy>
  <dcterms:created xsi:type="dcterms:W3CDTF">2006-09-13T11:21:00Z</dcterms:created>
  <dcterms:modified xsi:type="dcterms:W3CDTF">2016-06-16T07:19:20Z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2052-10.1.0.5554</vt:lpwstr>
  </property>
</Properties>
</file>