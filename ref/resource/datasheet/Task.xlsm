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15" yWindow="-15" windowWidth="28860" windowHeight="5940" activeTab="1"/>
  </bookViews>
  <sheets>
    <sheet name="TaskSign" sheetId="1" r:id="rId1"/>
    <sheet name="TaskMain" sheetId="2" r:id="rId2"/>
    <sheet name="TaskDaily" sheetId="3" r:id="rId3"/>
    <sheet name="TaskPrecondition" sheetId="7" r:id="rId4"/>
    <sheet name="TaskCondition" sheetId="9" r:id="rId5"/>
    <sheet name="TaskLink" sheetId="11" r:id="rId6"/>
  </sheets>
  <definedNames>
    <definedName name="_xlnm._FilterDatabase" localSheetId="1" hidden="1">TaskMain!$A$1:$A$307</definedName>
    <definedName name="OLE_LINK100" localSheetId="3">TaskPrecondition!#REF!</definedName>
    <definedName name="OLE_LINK104" localSheetId="3">TaskPrecondition!#REF!</definedName>
    <definedName name="OLE_LINK112" localSheetId="3">TaskPrecondition!#REF!</definedName>
    <definedName name="OLE_LINK114" localSheetId="3">TaskPrecondition!#REF!</definedName>
    <definedName name="OLE_LINK116" localSheetId="1">TaskMain!#REF!</definedName>
    <definedName name="OLE_LINK124" localSheetId="3">TaskPrecondition!#REF!</definedName>
    <definedName name="OLE_LINK131" localSheetId="3">TaskPrecondition!#REF!</definedName>
    <definedName name="OLE_LINK140" localSheetId="3">TaskPrecondition!#REF!</definedName>
    <definedName name="OLE_LINK154" localSheetId="3">TaskPrecondition!#REF!</definedName>
    <definedName name="OLE_LINK160" localSheetId="3">TaskPrecondition!#REF!</definedName>
    <definedName name="OLE_LINK162" localSheetId="3">TaskPrecondition!#REF!</definedName>
    <definedName name="OLE_LINK164" localSheetId="3">TaskPrecondition!#REF!</definedName>
    <definedName name="OLE_LINK166" localSheetId="3">TaskPrecondition!#REF!</definedName>
    <definedName name="OLE_LINK168" localSheetId="3">TaskPrecondition!#REF!</definedName>
    <definedName name="OLE_LINK170" localSheetId="3">TaskPrecondition!#REF!</definedName>
    <definedName name="OLE_LINK172" localSheetId="1">TaskMain!#REF!</definedName>
    <definedName name="OLE_LINK174" localSheetId="3">TaskPrecondition!#REF!</definedName>
    <definedName name="OLE_LINK178" localSheetId="3">TaskPrecondition!#REF!</definedName>
    <definedName name="OLE_LINK182" localSheetId="3">TaskPrecondition!#REF!</definedName>
    <definedName name="OLE_LINK186" localSheetId="3">TaskPrecondition!#REF!</definedName>
    <definedName name="OLE_LINK187" localSheetId="3">TaskPrecondition!#REF!</definedName>
    <definedName name="OLE_LINK193" localSheetId="3">TaskPrecondition!#REF!</definedName>
    <definedName name="OLE_LINK198" localSheetId="3">TaskPrecondition!#REF!</definedName>
    <definedName name="OLE_LINK200" localSheetId="3">TaskPrecondition!#REF!</definedName>
    <definedName name="OLE_LINK203" localSheetId="3">TaskPrecondition!#REF!</definedName>
    <definedName name="OLE_LINK205" localSheetId="3">TaskPrecondition!#REF!</definedName>
    <definedName name="OLE_LINK207" localSheetId="3">TaskPrecondition!#REF!</definedName>
    <definedName name="OLE_LINK209" localSheetId="3">TaskPrecondition!#REF!</definedName>
    <definedName name="OLE_LINK211" localSheetId="3">TaskPrecondition!#REF!</definedName>
    <definedName name="OLE_LINK213" localSheetId="3">TaskPrecondition!#REF!</definedName>
    <definedName name="OLE_LINK219" localSheetId="3">TaskPrecondition!#REF!</definedName>
    <definedName name="OLE_LINK22" localSheetId="3">TaskPrecondition!#REF!</definedName>
    <definedName name="OLE_LINK222" localSheetId="3">TaskPrecondition!#REF!</definedName>
    <definedName name="OLE_LINK224" localSheetId="3">TaskPrecondition!#REF!</definedName>
    <definedName name="OLE_LINK228" localSheetId="3">TaskPrecondition!#REF!</definedName>
    <definedName name="OLE_LINK230" localSheetId="3">TaskPrecondition!#REF!</definedName>
    <definedName name="OLE_LINK232" localSheetId="3">TaskPrecondition!#REF!</definedName>
    <definedName name="OLE_LINK238" localSheetId="3">TaskPrecondition!#REF!</definedName>
    <definedName name="OLE_LINK24" localSheetId="3">TaskPrecondition!#REF!</definedName>
    <definedName name="OLE_LINK240" localSheetId="3">TaskPrecondition!#REF!</definedName>
    <definedName name="OLE_LINK242" localSheetId="3">TaskPrecondition!#REF!</definedName>
    <definedName name="OLE_LINK244" localSheetId="3">TaskPrecondition!#REF!</definedName>
    <definedName name="OLE_LINK256" localSheetId="3">TaskPrecondition!#REF!</definedName>
    <definedName name="OLE_LINK266" localSheetId="3">TaskPrecondition!#REF!</definedName>
    <definedName name="OLE_LINK272" localSheetId="3">TaskPrecondition!#REF!</definedName>
    <definedName name="OLE_LINK274" localSheetId="3">TaskPrecondition!#REF!</definedName>
    <definedName name="OLE_LINK280" localSheetId="3">TaskPrecondition!#REF!</definedName>
    <definedName name="OLE_LINK282" localSheetId="3">TaskPrecondition!#REF!</definedName>
    <definedName name="OLE_LINK286" localSheetId="3">TaskPrecondition!#REF!</definedName>
    <definedName name="OLE_LINK288" localSheetId="3">TaskPrecondition!#REF!</definedName>
    <definedName name="OLE_LINK296" localSheetId="3">TaskPrecondition!#REF!</definedName>
    <definedName name="OLE_LINK298" localSheetId="3">TaskPrecondition!#REF!</definedName>
    <definedName name="OLE_LINK30" localSheetId="3">TaskPrecondition!#REF!</definedName>
    <definedName name="OLE_LINK304" localSheetId="3">TaskPrecondition!#REF!</definedName>
    <definedName name="OLE_LINK308" localSheetId="3">TaskPrecondition!#REF!</definedName>
    <definedName name="OLE_LINK310" localSheetId="3">TaskPrecondition!#REF!</definedName>
    <definedName name="OLE_LINK312" localSheetId="3">TaskPrecondition!#REF!</definedName>
    <definedName name="OLE_LINK314" localSheetId="3">TaskPrecondition!#REF!</definedName>
    <definedName name="OLE_LINK318" localSheetId="3">TaskPrecondition!#REF!</definedName>
    <definedName name="OLE_LINK320" localSheetId="3">TaskPrecondition!#REF!</definedName>
    <definedName name="OLE_LINK322" localSheetId="3">TaskPrecondition!#REF!</definedName>
    <definedName name="OLE_LINK324" localSheetId="3">TaskPrecondition!#REF!</definedName>
    <definedName name="OLE_LINK326" localSheetId="3">TaskPrecondition!#REF!</definedName>
    <definedName name="OLE_LINK328" localSheetId="3">TaskPrecondition!#REF!</definedName>
    <definedName name="OLE_LINK332" localSheetId="3">TaskPrecondition!#REF!</definedName>
    <definedName name="OLE_LINK338" localSheetId="3">TaskPrecondition!#REF!</definedName>
    <definedName name="OLE_LINK340" localSheetId="3">TaskPrecondition!#REF!</definedName>
    <definedName name="OLE_LINK344" localSheetId="3">TaskPrecondition!#REF!</definedName>
    <definedName name="OLE_LINK346" localSheetId="3">TaskPrecondition!#REF!</definedName>
    <definedName name="OLE_LINK348" localSheetId="3">TaskPrecondition!#REF!</definedName>
    <definedName name="OLE_LINK354" localSheetId="3">TaskPrecondition!#REF!</definedName>
    <definedName name="OLE_LINK358" localSheetId="3">TaskPrecondition!#REF!</definedName>
    <definedName name="OLE_LINK362" localSheetId="3">TaskPrecondition!#REF!</definedName>
    <definedName name="OLE_LINK364" localSheetId="3">TaskPrecondition!#REF!</definedName>
    <definedName name="OLE_LINK366" localSheetId="3">TaskPrecondition!#REF!</definedName>
    <definedName name="OLE_LINK374" localSheetId="3">TaskPrecondition!#REF!</definedName>
    <definedName name="OLE_LINK376" localSheetId="3">TaskPrecondition!#REF!</definedName>
    <definedName name="OLE_LINK380" localSheetId="3">TaskPrecondition!#REF!</definedName>
    <definedName name="OLE_LINK382" localSheetId="3">TaskPrecondition!#REF!</definedName>
    <definedName name="OLE_LINK384" localSheetId="3">TaskPrecondition!#REF!</definedName>
    <definedName name="OLE_LINK390" localSheetId="3">TaskPrecondition!#REF!</definedName>
    <definedName name="OLE_LINK392" localSheetId="3">TaskPrecondition!#REF!</definedName>
    <definedName name="OLE_LINK394" localSheetId="3">TaskPrecondition!#REF!</definedName>
    <definedName name="OLE_LINK396" localSheetId="3">TaskPrecondition!#REF!</definedName>
    <definedName name="OLE_LINK398" localSheetId="3">TaskPrecondition!#REF!</definedName>
    <definedName name="OLE_LINK402" localSheetId="3">TaskPrecondition!#REF!</definedName>
    <definedName name="OLE_LINK404" localSheetId="3">TaskPrecondition!#REF!</definedName>
    <definedName name="OLE_LINK406" localSheetId="3">TaskPrecondition!#REF!</definedName>
    <definedName name="OLE_LINK408" localSheetId="3">TaskPrecondition!#REF!</definedName>
    <definedName name="OLE_LINK410" localSheetId="3">TaskPrecondition!#REF!</definedName>
    <definedName name="OLE_LINK412" localSheetId="3">TaskPrecondition!#REF!</definedName>
    <definedName name="OLE_LINK418" localSheetId="3">TaskPrecondition!#REF!</definedName>
    <definedName name="OLE_LINK424" localSheetId="3">TaskPrecondition!#REF!</definedName>
    <definedName name="OLE_LINK426" localSheetId="3">TaskPrecondition!#REF!</definedName>
    <definedName name="OLE_LINK430" localSheetId="3">TaskPrecondition!#REF!</definedName>
    <definedName name="OLE_LINK432" localSheetId="3">TaskPrecondition!#REF!</definedName>
    <definedName name="OLE_LINK434" localSheetId="3">TaskPrecondition!#REF!</definedName>
    <definedName name="OLE_LINK436" localSheetId="3">TaskPrecondition!#REF!</definedName>
    <definedName name="OLE_LINK438" localSheetId="3">TaskPrecondition!#REF!</definedName>
    <definedName name="OLE_LINK440" localSheetId="3">TaskPrecondition!#REF!</definedName>
    <definedName name="OLE_LINK442" localSheetId="3">TaskPrecondition!#REF!</definedName>
    <definedName name="OLE_LINK447" localSheetId="3">TaskPrecondition!#REF!</definedName>
    <definedName name="OLE_LINK470" localSheetId="1">TaskMain!#REF!</definedName>
    <definedName name="OLE_LINK478" localSheetId="1">TaskMain!#REF!</definedName>
    <definedName name="OLE_LINK482" localSheetId="3">TaskPrecondition!#REF!</definedName>
    <definedName name="OLE_LINK494" localSheetId="3">TaskPrecondition!#REF!</definedName>
    <definedName name="OLE_LINK499" localSheetId="3">TaskPrecondition!#REF!</definedName>
    <definedName name="OLE_LINK500" localSheetId="3">TaskPrecondition!#REF!</definedName>
    <definedName name="OLE_LINK502" localSheetId="3">TaskPrecondition!#REF!</definedName>
    <definedName name="OLE_LINK504" localSheetId="3">TaskPrecondition!#REF!</definedName>
    <definedName name="OLE_LINK508" localSheetId="3">TaskPrecondition!#REF!</definedName>
    <definedName name="OLE_LINK510" localSheetId="3">TaskPrecondition!#REF!</definedName>
    <definedName name="OLE_LINK512" localSheetId="3">TaskPrecondition!#REF!</definedName>
    <definedName name="OLE_LINK514" localSheetId="3">TaskPrecondition!#REF!</definedName>
    <definedName name="OLE_LINK517" localSheetId="3">TaskPrecondition!#REF!</definedName>
    <definedName name="OLE_LINK533" localSheetId="3">TaskPrecondition!#REF!</definedName>
    <definedName name="OLE_LINK538" localSheetId="3">TaskPrecondition!#REF!</definedName>
    <definedName name="OLE_LINK540" localSheetId="3">TaskPrecondition!#REF!</definedName>
    <definedName name="OLE_LINK542" localSheetId="3">TaskPrecondition!#REF!</definedName>
    <definedName name="OLE_LINK544" localSheetId="3">TaskPrecondition!#REF!</definedName>
    <definedName name="OLE_LINK546" localSheetId="3">TaskPrecondition!#REF!</definedName>
    <definedName name="OLE_LINK550" localSheetId="3">TaskPrecondition!#REF!</definedName>
    <definedName name="OLE_LINK56" localSheetId="1">TaskMain!#REF!</definedName>
    <definedName name="OLE_LINK59" localSheetId="3">TaskPrecondition!#REF!</definedName>
    <definedName name="OLE_LINK63" localSheetId="3">TaskPrecondition!#REF!</definedName>
    <definedName name="OLE_LINK69" localSheetId="3">TaskPrecondition!#REF!</definedName>
    <definedName name="OLE_LINK73" localSheetId="3">TaskPrecondition!#REF!</definedName>
    <definedName name="OLE_LINK78" localSheetId="3">TaskPrecondition!#REF!</definedName>
    <definedName name="OLE_LINK80" localSheetId="3">TaskPrecondition!#REF!</definedName>
    <definedName name="OLE_LINK85" localSheetId="3">TaskPrecondition!#REF!</definedName>
    <definedName name="OLE_LINK91" localSheetId="3">TaskPrecondition!#REF!</definedName>
    <definedName name="OLE_LINK94" localSheetId="3">TaskPrecondition!#REF!</definedName>
    <definedName name="OLE_LINK96" localSheetId="3">TaskPrecondition!#REF!</definedName>
  </definedNames>
  <calcPr calcId="125725"/>
</workbook>
</file>

<file path=xl/calcChain.xml><?xml version="1.0" encoding="utf-8"?>
<calcChain xmlns="http://schemas.openxmlformats.org/spreadsheetml/2006/main">
  <c r="S83" i="9"/>
  <c r="P83"/>
  <c r="M83"/>
  <c r="J83"/>
  <c r="H83"/>
  <c r="S82"/>
  <c r="P82"/>
  <c r="M82"/>
  <c r="J82"/>
  <c r="H82"/>
  <c r="S81"/>
  <c r="P81"/>
  <c r="M81"/>
  <c r="J81"/>
  <c r="H81"/>
  <c r="S80"/>
  <c r="P80"/>
  <c r="M80"/>
  <c r="J80"/>
  <c r="H80"/>
  <c r="S79"/>
  <c r="P79"/>
  <c r="M79"/>
  <c r="J79"/>
  <c r="H79"/>
  <c r="S78"/>
  <c r="P78"/>
  <c r="M78"/>
  <c r="J78"/>
  <c r="H78"/>
  <c r="S77"/>
  <c r="P77"/>
  <c r="M77"/>
  <c r="J77"/>
  <c r="H77"/>
  <c r="S76"/>
  <c r="P76"/>
  <c r="M76"/>
  <c r="J76"/>
  <c r="H76"/>
  <c r="S75"/>
  <c r="P75"/>
  <c r="M75"/>
  <c r="J75"/>
  <c r="H75"/>
  <c r="S74"/>
  <c r="P74"/>
  <c r="M74"/>
  <c r="J74"/>
  <c r="H74"/>
  <c r="S73"/>
  <c r="P73"/>
  <c r="M73"/>
  <c r="J73"/>
  <c r="H73"/>
  <c r="S72"/>
  <c r="P72"/>
  <c r="M72"/>
  <c r="J72"/>
  <c r="H72"/>
  <c r="S71"/>
  <c r="P71"/>
  <c r="M71"/>
  <c r="J71"/>
  <c r="H71"/>
  <c r="S70"/>
  <c r="P70"/>
  <c r="M70"/>
  <c r="J70"/>
  <c r="H70"/>
  <c r="S69"/>
  <c r="P69"/>
  <c r="M69"/>
  <c r="J69"/>
  <c r="H69"/>
  <c r="S68"/>
  <c r="P68"/>
  <c r="M68"/>
  <c r="J68"/>
  <c r="H68"/>
  <c r="S31"/>
  <c r="P31"/>
  <c r="M31"/>
  <c r="J31"/>
  <c r="H31"/>
  <c r="S30"/>
  <c r="P30"/>
  <c r="M30"/>
  <c r="J30"/>
  <c r="H30"/>
  <c r="S29"/>
  <c r="P29"/>
  <c r="M29"/>
  <c r="J29"/>
  <c r="H29"/>
  <c r="S28"/>
  <c r="P28"/>
  <c r="M28"/>
  <c r="J28"/>
  <c r="H28"/>
  <c r="S27"/>
  <c r="P27"/>
  <c r="M27"/>
  <c r="J27"/>
  <c r="H27"/>
  <c r="S26"/>
  <c r="P26"/>
  <c r="M26"/>
  <c r="J26"/>
  <c r="H26"/>
  <c r="S25"/>
  <c r="P25"/>
  <c r="M25"/>
  <c r="J25"/>
  <c r="H25"/>
  <c r="S24"/>
  <c r="P24"/>
  <c r="M24"/>
  <c r="J24"/>
  <c r="H24"/>
  <c r="S23"/>
  <c r="P23"/>
  <c r="M23"/>
  <c r="J23"/>
  <c r="H23"/>
  <c r="S22"/>
  <c r="P22"/>
  <c r="M22"/>
  <c r="J22"/>
  <c r="H22"/>
  <c r="S21"/>
  <c r="P21"/>
  <c r="M21"/>
  <c r="J21"/>
  <c r="H21"/>
  <c r="S20"/>
  <c r="P20"/>
  <c r="M20"/>
  <c r="J20"/>
  <c r="H20"/>
  <c r="S19"/>
  <c r="P19"/>
  <c r="M19"/>
  <c r="J19"/>
  <c r="H19"/>
  <c r="S18"/>
  <c r="P18"/>
  <c r="M18"/>
  <c r="J18"/>
  <c r="H18"/>
  <c r="S17"/>
  <c r="P17"/>
  <c r="M17"/>
  <c r="J17"/>
  <c r="H17"/>
  <c r="S16"/>
  <c r="P16"/>
  <c r="M16"/>
  <c r="J16"/>
  <c r="H16"/>
  <c r="S15"/>
  <c r="P15"/>
  <c r="M15"/>
  <c r="J15"/>
  <c r="H15"/>
  <c r="S14"/>
  <c r="P14"/>
  <c r="M14"/>
  <c r="J14"/>
  <c r="H14"/>
  <c r="S13"/>
  <c r="P13"/>
  <c r="M13"/>
  <c r="J13"/>
  <c r="H13"/>
  <c r="S12"/>
  <c r="P12"/>
  <c r="M12"/>
  <c r="J12"/>
  <c r="H12"/>
  <c r="S11"/>
  <c r="P11"/>
  <c r="M11"/>
  <c r="J11"/>
  <c r="H11"/>
  <c r="S10"/>
  <c r="P10"/>
  <c r="M10"/>
  <c r="J10"/>
  <c r="H10"/>
  <c r="S9"/>
  <c r="P9"/>
  <c r="M9"/>
  <c r="J9"/>
  <c r="H9"/>
  <c r="S8"/>
  <c r="P8"/>
  <c r="M8"/>
  <c r="J8"/>
  <c r="H8"/>
  <c r="S7"/>
  <c r="P7"/>
  <c r="M7"/>
  <c r="J7"/>
  <c r="H7"/>
  <c r="S6"/>
  <c r="P6"/>
  <c r="M6"/>
  <c r="J6"/>
  <c r="H6"/>
  <c r="S5"/>
  <c r="P5"/>
  <c r="M5"/>
  <c r="J5"/>
  <c r="H5"/>
  <c r="S4"/>
  <c r="P4"/>
  <c r="M4"/>
  <c r="J4"/>
  <c r="H4"/>
  <c r="S3"/>
  <c r="P3"/>
  <c r="M3"/>
  <c r="J3"/>
  <c r="H3"/>
  <c r="S2"/>
  <c r="P2"/>
  <c r="M2"/>
  <c r="J2"/>
  <c r="H2"/>
  <c r="T4" i="3"/>
  <c r="T3"/>
  <c r="T6"/>
  <c r="T5"/>
  <c r="X6"/>
  <c r="X3"/>
  <c r="X4"/>
  <c r="X5"/>
</calcChain>
</file>

<file path=xl/comments1.xml><?xml version="1.0" encoding="utf-8"?>
<comments xmlns="http://schemas.openxmlformats.org/spreadsheetml/2006/main">
  <authors>
    <author>admin</author>
    <author/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签到天数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奖励描述</t>
        </r>
      </text>
    </comment>
  </commentList>
</comments>
</file>

<file path=xl/comments2.xml><?xml version="1.0" encoding="utf-8"?>
<comments xmlns="http://schemas.openxmlformats.org/spreadsheetml/2006/main">
  <authors>
    <author>admin</author>
    <author/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任务ID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任务类型
FESTIVAL（活动）：1
MAIN（主线任务）：2
DAILY（日常任务）：3
SIGN（签到任务）：4
OTHER（其他任务）：5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任务图标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任务标题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任务描述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任务奖励提示</t>
        </r>
      </text>
    </comment>
    <comment ref="H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M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N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O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任务奖励库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任务前往链接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显示任务进度：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为显示，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为不显示</t>
        </r>
      </text>
    </comment>
  </commentList>
</comments>
</file>

<file path=xl/comments3.xml><?xml version="1.0" encoding="utf-8"?>
<comments xmlns="http://schemas.openxmlformats.org/spreadsheetml/2006/main">
  <authors>
    <author>admin</author>
    <author/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任务ID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任务类型
FESTIVAL（活动）：1
MAIN（主线任务）：2
DAILY（日常任务）：3
SIGN（签到任务）：4
OTHER（其他任务）：5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任务图标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任务标题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任务描述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任务奖励提示</t>
        </r>
      </text>
    </comment>
    <comment ref="H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M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N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O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任务奖励库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任务前往链接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显示任务进度：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为显示，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为不显示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G2" authorId="0">
      <text>
        <r>
          <rPr>
            <sz val="9"/>
            <color indexed="81"/>
            <rFont val="宋体"/>
            <family val="3"/>
            <charset val="134"/>
          </rPr>
          <t xml:space="preserve">TaskManager.lu文件填充内容
</t>
        </r>
      </text>
    </comment>
    <comment ref="L2" authorId="0">
      <text>
        <r>
          <rPr>
            <sz val="9"/>
            <color indexed="81"/>
            <rFont val="宋体"/>
            <family val="3"/>
            <charset val="134"/>
          </rPr>
          <t>Charactor.lua文件填充内容</t>
        </r>
      </text>
    </comment>
    <comment ref="O2" authorId="0">
      <text>
        <r>
          <rPr>
            <sz val="9"/>
            <color indexed="81"/>
            <rFont val="宋体"/>
            <family val="3"/>
            <charset val="134"/>
          </rPr>
          <t xml:space="preserve">InitBaseCharInfo.lua文件填充内容
</t>
        </r>
      </text>
    </comment>
    <comment ref="R2" authorId="0">
      <text>
        <r>
          <rPr>
            <sz val="9"/>
            <color indexed="81"/>
            <rFont val="宋体"/>
            <family val="3"/>
            <charset val="134"/>
          </rPr>
          <t xml:space="preserve">InitBaseCharInfo.lua文件填充内容
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</commentList>
</comments>
</file>

<file path=xl/sharedStrings.xml><?xml version="1.0" encoding="utf-8"?>
<sst xmlns="http://schemas.openxmlformats.org/spreadsheetml/2006/main" count="2433" uniqueCount="1108">
  <si>
    <t>condition</t>
  </si>
  <si>
    <t>condition_id</t>
  </si>
  <si>
    <t>sign_times</t>
  </si>
  <si>
    <t>sign_award_desc</t>
  </si>
  <si>
    <t>奖励金币200</t>
  </si>
  <si>
    <t>奖励金币300</t>
  </si>
  <si>
    <t>奖励金币301</t>
  </si>
  <si>
    <t>奖励金币500</t>
  </si>
  <si>
    <t>奖励钻石20</t>
  </si>
  <si>
    <t>奖励金币600</t>
  </si>
  <si>
    <t>奖励金币601</t>
  </si>
  <si>
    <t>奖励金币800</t>
  </si>
  <si>
    <t>奖励金币900</t>
  </si>
  <si>
    <t>奖励道具X</t>
    <phoneticPr fontId="8" type="noConversion"/>
  </si>
  <si>
    <t>奖励金币1000</t>
  </si>
  <si>
    <t>奖励金币1200</t>
  </si>
  <si>
    <t>奖励金币1400</t>
  </si>
  <si>
    <t>奖励金币1300</t>
  </si>
  <si>
    <t>奖励钻石50</t>
  </si>
  <si>
    <t>奖励金币1500</t>
  </si>
  <si>
    <t>奖励金币2000</t>
  </si>
  <si>
    <t>奖励金币3000</t>
  </si>
  <si>
    <t>奖励金币4000</t>
  </si>
  <si>
    <t>奖励金币5000</t>
  </si>
  <si>
    <t>奖励金币6000</t>
  </si>
  <si>
    <t>奖励金币7000</t>
  </si>
  <si>
    <t>奖励金币8000</t>
  </si>
  <si>
    <t>奖励金币9000</t>
  </si>
  <si>
    <t>奖励金币10000</t>
  </si>
  <si>
    <t>奖励金币11000</t>
  </si>
  <si>
    <t>奖励金币12000</t>
  </si>
  <si>
    <t>奖励金币13000</t>
  </si>
  <si>
    <t>奖励金币14000</t>
  </si>
  <si>
    <t>奖励金币15000</t>
  </si>
  <si>
    <t>id</t>
  </si>
  <si>
    <t>type</t>
  </si>
  <si>
    <t>icon</t>
  </si>
  <si>
    <t>title</t>
  </si>
  <si>
    <t>desc</t>
  </si>
  <si>
    <t>award_tips</t>
  </si>
  <si>
    <t>condition_value1</t>
  </si>
  <si>
    <t>condition_id2</t>
  </si>
  <si>
    <t>condition_value2</t>
  </si>
  <si>
    <t>award_id</t>
    <phoneticPr fontId="8" type="noConversion"/>
  </si>
  <si>
    <t>precondition</t>
  </si>
  <si>
    <t>precondition_type</t>
  </si>
  <si>
    <t>precondition_id</t>
  </si>
  <si>
    <t>等级</t>
  </si>
  <si>
    <t>LEVEL</t>
  </si>
  <si>
    <t>任务</t>
  </si>
  <si>
    <t>TASK</t>
  </si>
  <si>
    <t>类型</t>
  </si>
  <si>
    <t>购买金币X次</t>
  </si>
  <si>
    <t>购买体力X次</t>
  </si>
  <si>
    <t>switch</t>
    <phoneticPr fontId="7" type="noConversion"/>
  </si>
  <si>
    <t>财大气粗</t>
  </si>
  <si>
    <t>挥金如土</t>
  </si>
  <si>
    <t>参加常规竞技赛X次</t>
  </si>
  <si>
    <t>在常规竞技赛中胜利X次</t>
  </si>
  <si>
    <t>提升一次技能等级</t>
  </si>
  <si>
    <t>在生涯模式中战胜任意关卡X次</t>
  </si>
  <si>
    <t>condition_id1</t>
    <phoneticPr fontId="7" type="noConversion"/>
  </si>
  <si>
    <t>precondition_id1</t>
    <phoneticPr fontId="7" type="noConversion"/>
  </si>
  <si>
    <t>precondition_id2</t>
    <phoneticPr fontId="7" type="noConversion"/>
  </si>
  <si>
    <t>precondition_value2</t>
    <phoneticPr fontId="7" type="noConversion"/>
  </si>
  <si>
    <t>点石成金</t>
  </si>
  <si>
    <t>购买体力</t>
  </si>
  <si>
    <t>腰缠万贯</t>
  </si>
  <si>
    <t>强大的队伍</t>
  </si>
  <si>
    <t>被动</t>
    <phoneticPr fontId="7" type="noConversion"/>
  </si>
  <si>
    <t>主动</t>
    <phoneticPr fontId="7" type="noConversion"/>
  </si>
  <si>
    <t>第3章</t>
  </si>
  <si>
    <t>第4章</t>
  </si>
  <si>
    <t>第5章</t>
  </si>
  <si>
    <t>第6章</t>
  </si>
  <si>
    <t>第7章</t>
  </si>
  <si>
    <t>第8章</t>
  </si>
  <si>
    <t>第9章</t>
  </si>
  <si>
    <t>第10章</t>
  </si>
  <si>
    <t>第11章</t>
  </si>
  <si>
    <t>link</t>
    <phoneticPr fontId="8" type="noConversion"/>
  </si>
  <si>
    <t>show_process</t>
    <phoneticPr fontId="7" type="noConversion"/>
  </si>
  <si>
    <t>任务ID</t>
    <phoneticPr fontId="7" type="noConversion"/>
  </si>
  <si>
    <t>任务类型</t>
    <phoneticPr fontId="7" type="noConversion"/>
  </si>
  <si>
    <t>任务ICON图标</t>
    <phoneticPr fontId="7" type="noConversion"/>
  </si>
  <si>
    <t>任务标题</t>
    <phoneticPr fontId="7" type="noConversion"/>
  </si>
  <si>
    <t>任务简介</t>
    <phoneticPr fontId="7" type="noConversion"/>
  </si>
  <si>
    <t>任务奖励提示</t>
    <phoneticPr fontId="7" type="noConversion"/>
  </si>
  <si>
    <t>开启前置条件ID</t>
    <phoneticPr fontId="7" type="noConversion"/>
  </si>
  <si>
    <t>开启前置条数量</t>
    <phoneticPr fontId="7" type="noConversion"/>
  </si>
  <si>
    <t>完成条件ID</t>
    <phoneticPr fontId="7" type="noConversion"/>
  </si>
  <si>
    <t>完成数值</t>
    <phoneticPr fontId="7" type="noConversion"/>
  </si>
  <si>
    <t>奖励包ID</t>
    <phoneticPr fontId="7" type="noConversion"/>
  </si>
  <si>
    <t>任务超链接</t>
    <phoneticPr fontId="7" type="noConversion"/>
  </si>
  <si>
    <t>进度显示开关</t>
    <phoneticPr fontId="7" type="noConversion"/>
  </si>
  <si>
    <t>奖励简介</t>
    <phoneticPr fontId="7" type="noConversion"/>
  </si>
  <si>
    <t>签到天数</t>
    <phoneticPr fontId="7" type="noConversion"/>
  </si>
  <si>
    <t>超链接ID</t>
    <phoneticPr fontId="7" type="noConversion"/>
  </si>
  <si>
    <t>UI界面ID</t>
    <phoneticPr fontId="7" type="noConversion"/>
  </si>
  <si>
    <t>UI名称</t>
    <phoneticPr fontId="7" type="noConversion"/>
  </si>
  <si>
    <t>UI子界面ID</t>
    <phoneticPr fontId="7" type="noConversion"/>
  </si>
  <si>
    <t>UI子界面名称</t>
    <phoneticPr fontId="7" type="noConversion"/>
  </si>
  <si>
    <t>#</t>
    <phoneticPr fontId="7" type="noConversion"/>
  </si>
  <si>
    <t>#</t>
    <phoneticPr fontId="7" type="noConversion"/>
  </si>
  <si>
    <t>UISkill</t>
    <phoneticPr fontId="7" type="noConversion"/>
  </si>
  <si>
    <t>队长技能</t>
    <phoneticPr fontId="7" type="noConversion"/>
  </si>
  <si>
    <t>UITattoo</t>
    <phoneticPr fontId="7" type="noConversion"/>
  </si>
  <si>
    <t>队长纹身</t>
    <phoneticPr fontId="7" type="noConversion"/>
  </si>
  <si>
    <t>UITraining</t>
    <phoneticPr fontId="7" type="noConversion"/>
  </si>
  <si>
    <t>队长训练</t>
    <phoneticPr fontId="7" type="noConversion"/>
  </si>
  <si>
    <t>UICareer</t>
    <phoneticPr fontId="7" type="noConversion"/>
  </si>
  <si>
    <t>生涯界面</t>
    <phoneticPr fontId="7" type="noConversion"/>
  </si>
  <si>
    <t>第1章</t>
    <phoneticPr fontId="7" type="noConversion"/>
  </si>
  <si>
    <t>第2章</t>
    <phoneticPr fontId="7" type="noConversion"/>
  </si>
  <si>
    <t>UIMatchHall</t>
  </si>
  <si>
    <t>UIPackage</t>
  </si>
  <si>
    <t xml:space="preserve">UIStore </t>
  </si>
  <si>
    <t>商店</t>
    <phoneticPr fontId="7" type="noConversion"/>
  </si>
  <si>
    <t>黑市商店</t>
    <phoneticPr fontId="7" type="noConversion"/>
  </si>
  <si>
    <t>技能商店</t>
    <phoneticPr fontId="7" type="noConversion"/>
  </si>
  <si>
    <t>荣誉商店</t>
    <phoneticPr fontId="7" type="noConversion"/>
  </si>
  <si>
    <t>赛事</t>
    <phoneticPr fontId="7" type="noConversion"/>
  </si>
  <si>
    <t>大厅</t>
    <phoneticPr fontId="7" type="noConversion"/>
  </si>
  <si>
    <t>背包</t>
    <phoneticPr fontId="7" type="noConversion"/>
  </si>
  <si>
    <t>UITask</t>
  </si>
  <si>
    <t>UIHonorCompetition</t>
  </si>
  <si>
    <t>任务</t>
    <phoneticPr fontId="7" type="noConversion"/>
  </si>
  <si>
    <t>荣誉争霸赛</t>
    <phoneticPr fontId="7" type="noConversion"/>
  </si>
  <si>
    <t>日常</t>
    <phoneticPr fontId="7" type="noConversion"/>
  </si>
  <si>
    <t>UICaptain</t>
  </si>
  <si>
    <t>UIMember</t>
  </si>
  <si>
    <t>队长替换界面</t>
  </si>
  <si>
    <t>队员界面</t>
  </si>
  <si>
    <t>title</t>
    <phoneticPr fontId="7" type="noConversion"/>
  </si>
  <si>
    <t>每日通关</t>
  </si>
  <si>
    <t>精英关卡</t>
  </si>
  <si>
    <t>街头巡回赛</t>
  </si>
  <si>
    <t>排位赛</t>
  </si>
  <si>
    <t>好运相伴</t>
  </si>
  <si>
    <t>挑战不止</t>
  </si>
  <si>
    <t>球员强化</t>
  </si>
  <si>
    <t>迎接挑战</t>
  </si>
  <si>
    <t>崛起的球队</t>
  </si>
  <si>
    <t>力争上游</t>
  </si>
  <si>
    <t>switch</t>
    <phoneticPr fontId="7" type="noConversion"/>
  </si>
  <si>
    <t>ID</t>
    <phoneticPr fontId="7" type="noConversion"/>
  </si>
  <si>
    <t>UIName</t>
    <phoneticPr fontId="7" type="noConversion"/>
  </si>
  <si>
    <t>UIMain</t>
    <phoneticPr fontId="7" type="noConversion"/>
  </si>
  <si>
    <t>SubID</t>
    <phoneticPr fontId="7" type="noConversion"/>
  </si>
  <si>
    <t>UISub</t>
    <phoneticPr fontId="7" type="noConversion"/>
  </si>
  <si>
    <t>UIHall1</t>
    <phoneticPr fontId="7" type="noConversion"/>
  </si>
  <si>
    <t>购买财产</t>
    <phoneticPr fontId="7" type="noConversion"/>
  </si>
  <si>
    <t>钻石</t>
    <phoneticPr fontId="7" type="noConversion"/>
  </si>
  <si>
    <t>金币</t>
    <phoneticPr fontId="7" type="noConversion"/>
  </si>
  <si>
    <t>荣誉</t>
    <phoneticPr fontId="7" type="noConversion"/>
  </si>
  <si>
    <t>体力</t>
    <phoneticPr fontId="7" type="noConversion"/>
  </si>
  <si>
    <t>UIRole</t>
    <phoneticPr fontId="7" type="noConversion"/>
  </si>
  <si>
    <t>球员</t>
    <phoneticPr fontId="7" type="noConversion"/>
  </si>
  <si>
    <t>UIMail</t>
    <phoneticPr fontId="7" type="noConversion"/>
  </si>
  <si>
    <t>邮件</t>
    <phoneticPr fontId="7" type="noConversion"/>
  </si>
  <si>
    <t>UIActivity</t>
    <phoneticPr fontId="7" type="noConversion"/>
  </si>
  <si>
    <t>活动</t>
    <phoneticPr fontId="7" type="noConversion"/>
  </si>
  <si>
    <t>试衣间</t>
    <phoneticPr fontId="7" type="noConversion"/>
  </si>
  <si>
    <t>UIRankList</t>
    <phoneticPr fontId="7" type="noConversion"/>
  </si>
  <si>
    <t>排行榜</t>
    <phoneticPr fontId="7" type="noConversion"/>
  </si>
  <si>
    <t>UILottery</t>
    <phoneticPr fontId="7" type="noConversion"/>
  </si>
  <si>
    <t>幸运篮球</t>
    <phoneticPr fontId="7" type="noConversion"/>
  </si>
  <si>
    <t>UIPractice</t>
    <phoneticPr fontId="7" type="noConversion"/>
  </si>
  <si>
    <t>新手训练</t>
    <phoneticPr fontId="7" type="noConversion"/>
  </si>
  <si>
    <t>UIQualifying</t>
    <phoneticPr fontId="7" type="noConversion"/>
  </si>
  <si>
    <t>排位赛</t>
    <phoneticPr fontId="7" type="noConversion"/>
  </si>
  <si>
    <t>街头巡回赛</t>
    <phoneticPr fontId="7" type="noConversion"/>
  </si>
  <si>
    <t>挑战赛</t>
    <phoneticPr fontId="7" type="noConversion"/>
  </si>
  <si>
    <t>UIPlayerBuyDiamondGoldHP</t>
    <phoneticPr fontId="7" type="noConversion"/>
  </si>
  <si>
    <t>UITour</t>
    <phoneticPr fontId="7" type="noConversion"/>
  </si>
  <si>
    <t>4</t>
  </si>
  <si>
    <t>21</t>
  </si>
  <si>
    <t>24</t>
  </si>
  <si>
    <t>22</t>
  </si>
  <si>
    <t>19</t>
  </si>
  <si>
    <t>precondition_value1</t>
    <phoneticPr fontId="7" type="noConversion"/>
  </si>
  <si>
    <t>9</t>
    <phoneticPr fontId="7" type="noConversion"/>
  </si>
  <si>
    <t>每日活动</t>
    <phoneticPr fontId="7" type="noConversion"/>
  </si>
  <si>
    <t>每日活动II</t>
    <phoneticPr fontId="7" type="noConversion"/>
  </si>
  <si>
    <t>10</t>
    <phoneticPr fontId="7" type="noConversion"/>
  </si>
  <si>
    <t>1</t>
    <phoneticPr fontId="7" type="noConversion"/>
  </si>
  <si>
    <t>7</t>
    <phoneticPr fontId="7" type="noConversion"/>
  </si>
  <si>
    <t>30</t>
    <phoneticPr fontId="7" type="noConversion"/>
  </si>
  <si>
    <t>29</t>
  </si>
  <si>
    <t>13</t>
    <phoneticPr fontId="7" type="noConversion"/>
  </si>
  <si>
    <t>1</t>
    <phoneticPr fontId="7" type="noConversion"/>
  </si>
  <si>
    <t>球员潜能</t>
  </si>
  <si>
    <t>1</t>
  </si>
  <si>
    <t>33</t>
  </si>
  <si>
    <t>完成投篮训练</t>
  </si>
  <si>
    <t>完成上篮和扣篮训练</t>
  </si>
  <si>
    <t>完成盖帽训练</t>
  </si>
  <si>
    <t>完成篮板训练</t>
  </si>
  <si>
    <t>完成练习赛</t>
  </si>
  <si>
    <t>8003</t>
  </si>
  <si>
    <t>8004</t>
  </si>
  <si>
    <t>8005</t>
  </si>
  <si>
    <t>8006</t>
  </si>
  <si>
    <t>8007</t>
  </si>
  <si>
    <t>8008</t>
  </si>
  <si>
    <t>8009</t>
  </si>
  <si>
    <t>8010</t>
  </si>
  <si>
    <t>8001</t>
    <phoneticPr fontId="7" type="noConversion"/>
  </si>
  <si>
    <t>8002</t>
  </si>
  <si>
    <t>34</t>
  </si>
  <si>
    <t>35</t>
  </si>
  <si>
    <t>18</t>
    <phoneticPr fontId="7" type="noConversion"/>
  </si>
  <si>
    <t>30000</t>
    <phoneticPr fontId="7" type="noConversion"/>
  </si>
  <si>
    <t>15</t>
    <phoneticPr fontId="7" type="noConversion"/>
  </si>
  <si>
    <t>斗牛赛</t>
    <phoneticPr fontId="7" type="noConversion"/>
  </si>
  <si>
    <t>UIBullFight</t>
    <phoneticPr fontId="7" type="noConversion"/>
  </si>
  <si>
    <t>UIShootGame</t>
    <phoneticPr fontId="7" type="noConversion"/>
  </si>
  <si>
    <t>投篮赛</t>
    <phoneticPr fontId="7" type="noConversion"/>
  </si>
  <si>
    <t>23</t>
    <phoneticPr fontId="7" type="noConversion"/>
  </si>
  <si>
    <t>25</t>
    <phoneticPr fontId="7" type="noConversion"/>
  </si>
  <si>
    <t>icon_task_015</t>
    <phoneticPr fontId="7" type="noConversion"/>
  </si>
  <si>
    <t>icon_task_001</t>
    <phoneticPr fontId="7" type="noConversion"/>
  </si>
  <si>
    <t>icon_task_011</t>
    <phoneticPr fontId="7" type="noConversion"/>
  </si>
  <si>
    <t>icon_task_012</t>
    <phoneticPr fontId="7" type="noConversion"/>
  </si>
  <si>
    <t>icon_task_014</t>
    <phoneticPr fontId="7" type="noConversion"/>
  </si>
  <si>
    <t>icon_task_013</t>
    <phoneticPr fontId="7" type="noConversion"/>
  </si>
  <si>
    <t>icon_task_017</t>
    <phoneticPr fontId="7" type="noConversion"/>
  </si>
  <si>
    <t>通关第[00F6FF]7章[-]</t>
  </si>
  <si>
    <t>通关第[00F6FF]8章[-]</t>
  </si>
  <si>
    <t>通关第[00F6FF]9章[-]</t>
  </si>
  <si>
    <t>通关第[00F6FF]10章[-]</t>
  </si>
  <si>
    <t>通关第[00F6FF]11章[-]</t>
  </si>
  <si>
    <t>通关第[00F6FF]12章[-]</t>
  </si>
  <si>
    <t>通关第[00F6FF]13章[-]</t>
  </si>
  <si>
    <t>通关第[00F6FF]14章[-]</t>
  </si>
  <si>
    <t>通关第[00F6FF]15章[-]</t>
  </si>
  <si>
    <t>通关第[00F6FF]16章[-]</t>
  </si>
  <si>
    <t>通关第[00F6FF]17章[-]</t>
  </si>
  <si>
    <t>通关第[00F6FF]18章[-]</t>
  </si>
  <si>
    <t>队伍等级达到[00F6FF]40[-]</t>
  </si>
  <si>
    <t>队伍等级达到[00F6FF]50[-]</t>
  </si>
  <si>
    <t>排位赛排名进入[00F6FF]前18000[-]</t>
  </si>
  <si>
    <t>排位赛排名进入[00F6FF]前10000[-]</t>
  </si>
  <si>
    <t>排位赛排名进入[00F6FF]前7500[-]</t>
  </si>
  <si>
    <t>排位赛排名进入[00F6FF]前4500[-]</t>
  </si>
  <si>
    <t>排位赛排名进入[00F6FF]前2400[-]</t>
  </si>
  <si>
    <t>排位赛排名进入[00F6FF]前1000[-]</t>
  </si>
  <si>
    <t>排位赛排名进入[00F6FF]前600[-]</t>
  </si>
  <si>
    <t>排位赛排名进入[00F6FF]前300[-]</t>
  </si>
  <si>
    <t>排位赛排名进入[00F6FF]前100[-]</t>
  </si>
  <si>
    <t>排位赛排名进入[00F6FF]前30[-]</t>
  </si>
  <si>
    <t>排位赛排名进入[00F6FF]前10[-]</t>
  </si>
  <si>
    <t>[00F6FF]1名[-]队员等级达到[00F6FF]30[-]</t>
  </si>
  <si>
    <t>[00F6FF]2名[-]队员等级达到[00F6FF]30[-]</t>
  </si>
  <si>
    <t>[00F6FF]3名[-]队员等级达到[00F6FF]30[-]</t>
  </si>
  <si>
    <t>[00F6FF]1名[-]队员等级达到[00F6FF]40[-]</t>
  </si>
  <si>
    <t>[00F6FF]2名[-]队员等级达到[00F6FF]40[-]</t>
  </si>
  <si>
    <t>[00F6FF]3名[-]队员等级达到[00F6FF]40[-]</t>
  </si>
  <si>
    <t>[00F6FF]1名[-]队员等级达到[00F6FF]50[-]</t>
  </si>
  <si>
    <t>[00F6FF]2名[-]队员等级达到[00F6FF]50[-]</t>
  </si>
  <si>
    <t>[00F6FF]3名[-]队员等级达到[00F6FF]50[-]</t>
  </si>
  <si>
    <t>[00F6FF]1名[-]队员等级达到[00F6FF]60[-]</t>
  </si>
  <si>
    <t>[00F6FF]2名[-]队员等级达到[00F6FF]60[-]</t>
  </si>
  <si>
    <t>[00F6FF]3名[-]队员等级达到[00F6FF]60[-]</t>
  </si>
  <si>
    <t>[00F6FF]1名[-]队员等级达到[00F6FF]70[-]</t>
  </si>
  <si>
    <t>[00F6FF]2名[-]队员等级达到[00F6FF]70[-]</t>
  </si>
  <si>
    <t>[00F6FF]3名[-]队员等级达到[00F6FF]70[-]</t>
  </si>
  <si>
    <t>[00F6FF]1名[-]队员等级达到[00F6FF]80[-]</t>
  </si>
  <si>
    <t>[00F6FF]2名[-]队员等级达到[00F6FF]80[-]</t>
  </si>
  <si>
    <t>[00F6FF]3名[-]队员等级达到[00F6FF]80[-]</t>
  </si>
  <si>
    <t>[00F6FF]1个[-]球员进阶到[00F6FF]+1[-]</t>
  </si>
  <si>
    <t>[00F6FF]2个[-]球员进阶到[00F6FF]+1[-]</t>
  </si>
  <si>
    <t>[00F6FF]3个[-]球员进阶到[00F6FF]+1[-]</t>
  </si>
  <si>
    <t>[00F6FF]1个[-]球员进阶到[00F6FF]+2[-]</t>
  </si>
  <si>
    <t>[00F6FF]2个[-]球员进阶到[00F6FF]+2[-]</t>
  </si>
  <si>
    <t>[00F6FF]3个[-]球员进阶到[00F6FF]+2[-]</t>
  </si>
  <si>
    <t>[00F6FF]1个[-]球员进阶到[00F6FF]+3[-]</t>
  </si>
  <si>
    <t>[00F6FF]2个[-]球员进阶到[00F6FF]+3[-]</t>
  </si>
  <si>
    <t>[00F6FF]3个[-]球员进阶到[00F6FF]+3[-]</t>
  </si>
  <si>
    <t>[00F6FF]1个[-]球员进阶到[00F6FF]+4[-]</t>
  </si>
  <si>
    <t>[00F6FF]2个[-]球员进阶到[00F6FF]+4[-]</t>
  </si>
  <si>
    <t>[00F6FF]3个[-]球员进阶到[00F6FF]+4[-]</t>
  </si>
  <si>
    <t>[00F6FF]1个[-]球员进阶到[00F6FF]+5[-]</t>
  </si>
  <si>
    <t>[00F6FF]2个[-]球员进阶到[00F6FF]+5[-]</t>
  </si>
  <si>
    <t>[00F6FF]3个[-]球员进阶到[00F6FF]+5[-]</t>
  </si>
  <si>
    <t>[00F6FF]1个[-]球员进阶到[00F6FF]+6[-]</t>
  </si>
  <si>
    <t>[00F6FF]2个[-]球员进阶到[00F6FF]+6[-]</t>
  </si>
  <si>
    <t>[00F6FF]3个[-]球员进阶到[00F6FF]+6[-]</t>
  </si>
  <si>
    <t>[00F6FF]1个[-]球员进阶到[00F6FF]+7[-]</t>
  </si>
  <si>
    <t>[00F6FF]2个[-]球员进阶到[00F6FF]+7[-]</t>
  </si>
  <si>
    <t>[00F6FF]3个[-]球员进阶到[00F6FF]+7[-]</t>
  </si>
  <si>
    <t>[00F6FF]1个[-]球员进阶到[00F6FF]+8[-]</t>
  </si>
  <si>
    <t>[00F6FF]2个[-]球员进阶到[00F6FF]+8[-]</t>
  </si>
  <si>
    <t>[00F6FF]3个[-]球员进阶到[00F6FF]+8[-]</t>
  </si>
  <si>
    <t>[00F6FF]1个[-]球员进阶到[00F6FF]+9[-]</t>
  </si>
  <si>
    <t>[00F6FF]2个[-]球员进阶到[00F6FF]+9[-]</t>
  </si>
  <si>
    <t>[00F6FF]3个[-]球员进阶到[00F6FF]+9[-]</t>
  </si>
  <si>
    <t>[00F6FF]1个[-]球员进阶到[00F6FF]+10[-]</t>
  </si>
  <si>
    <t>[00F6FF]2个[-]球员进阶到[00F6FF]+10[-]</t>
  </si>
  <si>
    <t>[00F6FF]3个[-]球员进阶到[00F6FF]+10[-]</t>
  </si>
  <si>
    <t xml:space="preserve">[00F6FF]1名[-]队员潜能达到[10DC00]绿色[-]                  </t>
  </si>
  <si>
    <t xml:space="preserve">[00F6FF]2名[-]队员潜能达到[10DC00]绿色[-]                  </t>
  </si>
  <si>
    <t>[00F6FF]3名[-]队员潜能达到[10DC00]绿色[-]</t>
  </si>
  <si>
    <t>[00F6FF]1名[-]队员潜能达到[00F6FF]蓝色[-]</t>
  </si>
  <si>
    <t>[00F6FF]2名[-]队员潜能达到[00F6FF]蓝色[-]</t>
  </si>
  <si>
    <t>[00F6FF]3名[-]队员潜能达到[00F6FF]蓝色[-]</t>
  </si>
  <si>
    <t>[00F6FF]1名[-]队员潜能达到[C000FF]紫色[-]</t>
  </si>
  <si>
    <t>[00F6FF]2名[-]队员潜能达到[C000FF]紫色[-]</t>
  </si>
  <si>
    <t>[00F6FF]3名[-]队员潜能达到[C000FF]紫色[-]</t>
  </si>
  <si>
    <t>[00F6FF]1名[-]队员潜能达到[FF9000]橙色[-]</t>
  </si>
  <si>
    <t>[00F6FF]2名[-]队员潜能达到[FF9000]橙色[-]</t>
  </si>
  <si>
    <t>[00F6FF]3名[-]队员潜能达到[FF9000]橙色[-]</t>
  </si>
  <si>
    <t>完成[00F6FF]练习赛[-]</t>
  </si>
  <si>
    <t>3</t>
    <phoneticPr fontId="7" type="noConversion"/>
  </si>
  <si>
    <t>队伍等级达到[00F6FF]31[-]</t>
  </si>
  <si>
    <t>队伍等级达到[00F6FF]32[-]</t>
  </si>
  <si>
    <t>队伍等级达到[00F6FF]33[-]</t>
  </si>
  <si>
    <t>队伍等级达到[00F6FF]34[-]</t>
  </si>
  <si>
    <t>队伍等级达到[00F6FF]35[-]</t>
  </si>
  <si>
    <t>队伍等级达到[00F6FF]36[-]</t>
  </si>
  <si>
    <t>队伍等级达到[00F6FF]37[-]</t>
  </si>
  <si>
    <t>队伍等级达到[00F6FF]38[-]</t>
  </si>
  <si>
    <t>队伍等级达到[00F6FF]39[-]</t>
  </si>
  <si>
    <t>队伍等级达到[00F6FF]41[-]</t>
  </si>
  <si>
    <t>队伍等级达到[00F6FF]42[-]</t>
  </si>
  <si>
    <t>队伍等级达到[00F6FF]43[-]</t>
  </si>
  <si>
    <t>队伍等级达到[00F6FF]44[-]</t>
  </si>
  <si>
    <t>队伍等级达到[00F6FF]45[-]</t>
  </si>
  <si>
    <t>队伍等级达到[00F6FF]46[-]</t>
  </si>
  <si>
    <t>队伍等级达到[00F6FF]47[-]</t>
  </si>
  <si>
    <t>队伍等级达到[00F6FF]48[-]</t>
  </si>
  <si>
    <t>队伍等级达到[00F6FF]49[-]</t>
  </si>
  <si>
    <t>12</t>
    <phoneticPr fontId="7" type="noConversion"/>
  </si>
  <si>
    <t>31</t>
  </si>
  <si>
    <t>32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</si>
  <si>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</si>
  <si>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</si>
  <si>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</si>
  <si>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</si>
  <si>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</si>
  <si>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</si>
  <si>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</si>
  <si>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</si>
  <si>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</si>
  <si>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</si>
  <si>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</si>
  <si>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</si>
  <si>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</si>
  <si>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</si>
  <si>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</si>
  <si>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icon_task_002</t>
  </si>
  <si>
    <t>[00F6FF]2名[-]队员等级达到[00F6FF]25[-]</t>
  </si>
  <si>
    <t>[00F6FF]3名[-]队员等级达到[00F6FF]25[-]</t>
  </si>
  <si>
    <t>[00F6FF]1名[-]队员等级达到[00F6FF]25[-]</t>
  </si>
  <si>
    <t>[00F6FF]1名[-]队员等级达到[00F6FF]35[-]</t>
  </si>
  <si>
    <t>[00F6FF]2名[-]队员等级达到[00F6FF]35[-]</t>
  </si>
  <si>
    <t>[00F6FF]3名[-]队员等级达到[00F6FF]35[-]</t>
  </si>
  <si>
    <t>[00F6FF]1名[-]队员等级达到[00F6FF]45[-]</t>
  </si>
  <si>
    <t>[00F6FF]2名[-]队员等级达到[00F6FF]45[-]</t>
  </si>
  <si>
    <t>[00F6FF]3名[-]队员等级达到[00F6FF]45[-]</t>
  </si>
  <si>
    <t>icon_task_004</t>
  </si>
  <si>
    <t>activity</t>
  </si>
  <si>
    <t>活跃度</t>
  </si>
  <si>
    <t>8012</t>
  </si>
  <si>
    <t>3</t>
  </si>
  <si>
    <t>UIFashion</t>
    <phoneticPr fontId="7" type="noConversion"/>
  </si>
  <si>
    <t>UIPVPEntrance</t>
    <phoneticPr fontId="7" type="noConversion"/>
  </si>
  <si>
    <t>天梯赛</t>
    <phoneticPr fontId="7" type="noConversion"/>
  </si>
  <si>
    <t>9</t>
    <phoneticPr fontId="7" type="noConversion"/>
  </si>
  <si>
    <t>#</t>
    <phoneticPr fontId="7" type="noConversion"/>
  </si>
  <si>
    <t>拥有[00F6FF]2名[-]队员</t>
  </si>
  <si>
    <t>拥有[00F6FF]3名[-]队员</t>
  </si>
  <si>
    <t>拥有[00F6FF]4名[-]队员</t>
  </si>
  <si>
    <t>拥有[00F6FF]5名[-]队员</t>
  </si>
  <si>
    <t>天梯赛胜利次数</t>
  </si>
  <si>
    <t>和好友共同战斗次数</t>
  </si>
  <si>
    <t>每日登陆</t>
  </si>
  <si>
    <t>新秀</t>
  </si>
  <si>
    <t>替补</t>
  </si>
  <si>
    <t>主力</t>
  </si>
  <si>
    <t>球星</t>
  </si>
  <si>
    <t>全明星</t>
  </si>
  <si>
    <t>8019</t>
  </si>
  <si>
    <t>8020</t>
  </si>
  <si>
    <t>8021</t>
  </si>
  <si>
    <t>8022</t>
  </si>
  <si>
    <t>富甲一方</t>
  </si>
  <si>
    <t>富甲天下</t>
  </si>
  <si>
    <t>晶莹剔透</t>
  </si>
  <si>
    <t>璀璨光芒</t>
  </si>
  <si>
    <t>绚丽夺目</t>
  </si>
  <si>
    <t>熠熠生辉</t>
  </si>
  <si>
    <t>珠光宝气</t>
  </si>
  <si>
    <t>投篮训练</t>
  </si>
  <si>
    <t>扣篮训练</t>
  </si>
  <si>
    <t>盖帽训练</t>
  </si>
  <si>
    <t>篮板训练</t>
  </si>
  <si>
    <t>排位赛</t>
    <phoneticPr fontId="7" type="noConversion"/>
  </si>
  <si>
    <t>天梯赛</t>
    <phoneticPr fontId="7" type="noConversion"/>
  </si>
  <si>
    <t>涂鸦墙</t>
    <phoneticPr fontId="7" type="noConversion"/>
  </si>
  <si>
    <t>涂鸦仓库</t>
    <phoneticPr fontId="7" type="noConversion"/>
  </si>
  <si>
    <t>技能佩戴</t>
    <phoneticPr fontId="7" type="noConversion"/>
  </si>
  <si>
    <t>技能仓库</t>
    <phoneticPr fontId="7" type="noConversion"/>
  </si>
  <si>
    <t>涂鸦</t>
    <phoneticPr fontId="7" type="noConversion"/>
  </si>
  <si>
    <t>技能</t>
    <phoneticPr fontId="7" type="noConversion"/>
  </si>
  <si>
    <t>游戏中累积获得[F8BA27]金币[-]总量[F8BA27]5000[-]</t>
  </si>
  <si>
    <t>游戏中累积获得[F8BA27]金币[-]总量[F8BA27]10000[-]</t>
  </si>
  <si>
    <t>游戏中累积获得[F8BA27]金币[-]总量[F8BA27]80000[-]</t>
  </si>
  <si>
    <t>游戏中累积获得[F8BA27]金币[-]总量[F8BA27]150000[-]</t>
  </si>
  <si>
    <t>UIQualifyingNew</t>
    <phoneticPr fontId="7" type="noConversion"/>
  </si>
  <si>
    <t>UILadder</t>
    <phoneticPr fontId="7" type="noConversion"/>
  </si>
  <si>
    <t>UIBadge</t>
    <phoneticPr fontId="7" type="noConversion"/>
  </si>
  <si>
    <t>UISkillManager</t>
    <phoneticPr fontId="7" type="noConversion"/>
  </si>
  <si>
    <t>通关生涯模式[F8BA27]第1章[-]</t>
  </si>
  <si>
    <t>通关生涯模式[F8BA27]第2章[-]</t>
  </si>
  <si>
    <t>通关生涯模式[F8BA27]第3章[-]</t>
  </si>
  <si>
    <t>通关生涯模式[F8BA27]第4章[-]</t>
  </si>
  <si>
    <t>通关生涯模式[F8BA27]第5章[-]</t>
  </si>
  <si>
    <t>通关生涯模式[F8BA27]第6章[-]</t>
  </si>
  <si>
    <t>队伍等级达到[F8BA27]7[-]</t>
  </si>
  <si>
    <t>队伍等级达到[F8BA27]10[-]</t>
  </si>
  <si>
    <t>队伍等级达到[F8BA27]12[-]</t>
  </si>
  <si>
    <t>队伍等级达到[F8BA27]15[-]</t>
  </si>
  <si>
    <t>队伍等级达到[F8BA27]18[-]</t>
  </si>
  <si>
    <t>队伍等级达到[F8BA27]20[-]</t>
  </si>
  <si>
    <t>队伍等级达到[F8BA27]21[-]</t>
  </si>
  <si>
    <t>队伍等级达到[F8BA27]22[-]</t>
  </si>
  <si>
    <t>队伍等级达到[F8BA27]23[-]</t>
  </si>
  <si>
    <t>队伍等级达到[F8BA27]24[-]</t>
  </si>
  <si>
    <t>队伍等级达到[F8BA27]25[-]</t>
  </si>
  <si>
    <t>队伍等级达到[F8BA27]26[-]</t>
  </si>
  <si>
    <t>队伍等级达到[F8BA27]27[-]</t>
  </si>
  <si>
    <t>队伍等级达到[F8BA27]28[-]</t>
  </si>
  <si>
    <t>队伍等级达到[F8BA27]29[-]</t>
  </si>
  <si>
    <t>队伍等级达到[F8BA27]30[-]</t>
  </si>
  <si>
    <t>游戏中累积获得[F8BA27]钻石[-]总量[F8BA27]80[-]</t>
  </si>
  <si>
    <t>游戏中累积获得[F8BA27]钻石[-]总量[F8BA27]300[-]</t>
  </si>
  <si>
    <t>游戏中累积获得[F8BA27]钻石[-]总量[F8BA27]800[-]</t>
  </si>
  <si>
    <t>游戏中累积获得[F8BA27]钻石[-]总量[F8BA27]1200[-]</t>
  </si>
  <si>
    <t>游戏中累积获得[F8BA27]钻石[-]总量[F8BA27]2000[-]</t>
  </si>
  <si>
    <t>游戏中获得[F8BA27]荣誉[-]总量[F8BA27]80[-]</t>
  </si>
  <si>
    <t>游戏中获得[F8BA27]荣誉[-]总量[F8BA27]300[-]</t>
  </si>
  <si>
    <t>游戏中获得[F8BA27]荣誉[-]总量[F8BA27]800[-]</t>
  </si>
  <si>
    <t>游戏中获得[F8BA27]荣誉[-]总量[F8BA27]1200[-]</t>
  </si>
  <si>
    <t>游戏中获得[F8BA27]荣誉[-]总量[F8BA27]2000[-]</t>
  </si>
  <si>
    <t>完成[F8BA27]投篮训练[-]</t>
  </si>
  <si>
    <t>完成[F8BA27]上篮和扣篮训练[-]</t>
  </si>
  <si>
    <t>完成[F8BA27]盖帽训练[-]</t>
  </si>
  <si>
    <t>完成[F8BA27]篮板训练[-]</t>
  </si>
  <si>
    <t>排位赛累积胜利[F8BA27]10[-]场</t>
  </si>
  <si>
    <t>排位赛累积胜利[F8BA27]30[-]场</t>
  </si>
  <si>
    <t>排位赛累积胜利[F8BA27]80[-]场</t>
  </si>
  <si>
    <t>排位赛累积胜利[F8BA27]120[-]场</t>
  </si>
  <si>
    <t>排位赛累积胜利[F8BA27]400[-]场</t>
  </si>
  <si>
    <t>排位赛最大连胜达到[F8BA27]3[-]场</t>
  </si>
  <si>
    <t>排位赛最大连胜达到[F8BA27]5[-]场</t>
  </si>
  <si>
    <t>排位赛最大连胜达到[F8BA27]8[-]场</t>
  </si>
  <si>
    <t>排位赛最大连胜达到[F8BA27]12[-]场</t>
  </si>
  <si>
    <t>排位赛最大连胜达到[F8BA27]20[-]场</t>
  </si>
  <si>
    <t>通关任意普通关卡[F8BA27]10次[-]</t>
  </si>
  <si>
    <t>通关精英关卡[F8BA27]3次[-]</t>
  </si>
  <si>
    <t>参加街头巡回赛[F8BA27]5次[-]</t>
  </si>
  <si>
    <t>在赛事中进行投篮赛[F8BA27]1次。</t>
  </si>
  <si>
    <t>在赛事中进行斗牛赛[F8BA27]1次。</t>
  </si>
  <si>
    <t>参加排位赛[F8BA27]3次[-]</t>
  </si>
  <si>
    <t>进行挑战赛[F8BA27]1次[-]</t>
  </si>
  <si>
    <t>商店购买涂鸦[F8BA27]2次[-]</t>
  </si>
  <si>
    <t>兑换金币[F8BA27]1次[-]</t>
  </si>
  <si>
    <t>兑换体力[F8BA27]1次[-]</t>
  </si>
  <si>
    <t>完成[F8BA27]4次[-]训练</t>
  </si>
  <si>
    <t>完成[F8BA27]3次[-]联网对战</t>
  </si>
  <si>
    <t>联网对战中累计得分达到[F8BA27]150分[-]</t>
  </si>
  <si>
    <t>累计获得[F8BA27]1000[-]金币</t>
  </si>
  <si>
    <t>完成[F8BA27]1次[-]技能升级</t>
  </si>
  <si>
    <t>花费钻石购买[F8BA27]1次[-]金币</t>
  </si>
  <si>
    <t>#</t>
  </si>
  <si>
    <t>icon_task_016</t>
  </si>
  <si>
    <t>2</t>
  </si>
  <si>
    <t>30020</t>
  </si>
  <si>
    <t>10</t>
  </si>
  <si>
    <t>icon_task_007</t>
  </si>
  <si>
    <t>8</t>
  </si>
  <si>
    <t>13:2</t>
  </si>
  <si>
    <t>15</t>
  </si>
  <si>
    <t>icon_task_010</t>
  </si>
  <si>
    <t>13:4</t>
  </si>
  <si>
    <t>8011</t>
  </si>
  <si>
    <t>icon_task_009</t>
  </si>
  <si>
    <t>天天向上</t>
  </si>
  <si>
    <t>17</t>
  </si>
  <si>
    <t>20</t>
  </si>
  <si>
    <t>icon_task_018</t>
  </si>
  <si>
    <t>开工福利</t>
  </si>
  <si>
    <t>0</t>
  </si>
  <si>
    <t>8013</t>
  </si>
  <si>
    <t>积极参赛</t>
  </si>
  <si>
    <t>完成[F8BA27]1次[-]联网对战</t>
  </si>
  <si>
    <t>30021</t>
  </si>
  <si>
    <t>8014</t>
  </si>
  <si>
    <t>商店购买涂鸦喷漆[F8BA27]2次[-]</t>
  </si>
  <si>
    <t>8015</t>
  </si>
  <si>
    <t>好基友</t>
  </si>
  <si>
    <t>组队完成排位赛[F8BA27]1次[-]</t>
  </si>
  <si>
    <t>6</t>
  </si>
  <si>
    <t>30</t>
  </si>
  <si>
    <t>8016</t>
  </si>
  <si>
    <t>icon_task_005</t>
  </si>
  <si>
    <t>勤学苦练</t>
  </si>
  <si>
    <t>5</t>
  </si>
  <si>
    <t>29:2</t>
  </si>
  <si>
    <t>8017</t>
  </si>
  <si>
    <t>30022</t>
  </si>
  <si>
    <t>8018</t>
  </si>
  <si>
    <t>icon_task_011</t>
  </si>
  <si>
    <t>追求胜利</t>
  </si>
  <si>
    <t>排位赛胜利[F8BA27]2次[-]</t>
  </si>
  <si>
    <t>28</t>
  </si>
  <si>
    <t>icon_task_014</t>
  </si>
  <si>
    <t>联网对战中累计得分达到[F8BA27]70分[-]</t>
  </si>
  <si>
    <t>25</t>
  </si>
  <si>
    <t>70</t>
  </si>
  <si>
    <t>完成[F8BA27]6次[-]联网对战</t>
  </si>
  <si>
    <t>30023</t>
  </si>
  <si>
    <t>外快</t>
  </si>
  <si>
    <t>26</t>
  </si>
  <si>
    <t>1000</t>
  </si>
  <si>
    <t>8023</t>
  </si>
  <si>
    <t>150</t>
  </si>
  <si>
    <t>30024</t>
  </si>
  <si>
    <t>32204</t>
  </si>
  <si>
    <t>32209</t>
  </si>
  <si>
    <t>7</t>
  </si>
  <si>
    <t>32202</t>
  </si>
  <si>
    <t>32208</t>
  </si>
  <si>
    <t>32213</t>
  </si>
  <si>
    <t>拥有[00F6FF]6名[-]球员</t>
  </si>
  <si>
    <t>32200</t>
  </si>
  <si>
    <t>拥有[00F6FF]7名[-]球员</t>
  </si>
  <si>
    <t>拥有[00F6FF]8名[-]球员</t>
  </si>
  <si>
    <t>拥有[00F6FF]9名[-]球员</t>
  </si>
  <si>
    <t>拥有[00F6FF]10名[-]球员</t>
  </si>
  <si>
    <t>拥有[00F6FF]11名[-]球员</t>
  </si>
  <si>
    <t>拥有[00F6FF]12名[-]球员</t>
  </si>
  <si>
    <t>脱贫致富</t>
  </si>
  <si>
    <t>游戏中累积获得[F8BA27]金币[-]总量[F8BA27]600[-]</t>
  </si>
  <si>
    <t>游戏中累积获得[F8BA27]金币[-]总量[F8BA27]900[-]</t>
  </si>
  <si>
    <t>迈向小康</t>
  </si>
  <si>
    <t>游戏中累积获得[F8BA27]金币[-]总量[F8BA27]1200[-]</t>
  </si>
  <si>
    <t>游戏中累积获得[F8BA27]金币[-]总量[F8BA27]1600[-]</t>
  </si>
  <si>
    <t>游戏中累积获得[F8BA27]金币[-]总量[F8BA27]2000[-]</t>
  </si>
  <si>
    <t>32214</t>
  </si>
  <si>
    <t>32206</t>
  </si>
  <si>
    <t>拥有[00F6FF]3[-]个技能</t>
  </si>
  <si>
    <t>拥有[00F6FF]6[-]个技能</t>
  </si>
  <si>
    <t>拥有[00F6FF]10[-]个技能</t>
  </si>
  <si>
    <t>拥有[00F6FF]16[-]个技能</t>
  </si>
  <si>
    <t>拥有[00F6FF]25[-]个技能</t>
  </si>
  <si>
    <t>32216</t>
  </si>
  <si>
    <t>热血青铜</t>
  </si>
  <si>
    <t>排位赛最高达到[00F6FF]热血青铜[-]段位以上</t>
  </si>
  <si>
    <t>英勇白银</t>
  </si>
  <si>
    <t>排位赛最高达到[00F6FF]英勇白银[-]段位以上</t>
  </si>
  <si>
    <t>荣耀黄金</t>
  </si>
  <si>
    <t>排位赛最高达到[00F6FF]荣耀黄金[-]段位以上</t>
  </si>
  <si>
    <t>天才钻石</t>
  </si>
  <si>
    <t>排位赛最高达到[00F6FF]天才钻石[-]段位以上</t>
  </si>
  <si>
    <t>排位赛最高达到[00F6FF]全明星[-]段位</t>
  </si>
  <si>
    <t>名人堂</t>
  </si>
  <si>
    <t>排位赛最高达到[00F6FF]名人堂[-]段位以上</t>
  </si>
  <si>
    <t>大师</t>
  </si>
  <si>
    <t>排位赛最高达到[00F6FF]大师[-]段位以上</t>
  </si>
  <si>
    <t>宗师</t>
  </si>
  <si>
    <t>排位赛最高达到[00F6FF]宗师[-]段位以上</t>
  </si>
  <si>
    <t>传奇</t>
  </si>
  <si>
    <t>排位赛最高达到[00F6FF]传奇[-]段位</t>
  </si>
  <si>
    <t>明星之路</t>
  </si>
  <si>
    <t>排位赛累积胜利[00F6FF]2[-]场</t>
  </si>
  <si>
    <t>排位赛累积胜利[00F6FF]5[-]场</t>
  </si>
  <si>
    <t>排位赛累积胜利[00F6FF]8[-]场</t>
  </si>
  <si>
    <t>32210</t>
  </si>
  <si>
    <t>32215</t>
  </si>
  <si>
    <t>巡回赛达到[00F6FF]3[-]次全明星段位</t>
  </si>
  <si>
    <t>巡回赛达到[00F6FF]5[-]次全明星段位</t>
  </si>
  <si>
    <t>球场巨星</t>
  </si>
  <si>
    <t>巡回赛累积胜利[00F6FF]1[-]场</t>
  </si>
  <si>
    <t>巡回赛累积胜利[00F6FF]3[-]场</t>
  </si>
  <si>
    <t>巡回赛累积胜利[00F6FF]6[-]场</t>
  </si>
  <si>
    <t>巡回赛累积胜利[00F6FF]10[-]场</t>
  </si>
  <si>
    <t>巡回赛累积胜利[00F6FF]30[-]场</t>
  </si>
  <si>
    <t>巡回赛累积胜利[00F6FF]80[-]场</t>
  </si>
  <si>
    <t>巡回赛累积胜利[00F6FF]120[-]场</t>
  </si>
  <si>
    <t>完成[00F6FF]1[-]场联网对战</t>
  </si>
  <si>
    <t>完成[00F6FF]3[-]场联网对战</t>
  </si>
  <si>
    <t>完成[00F6FF]6[-]场联网对战</t>
  </si>
  <si>
    <t>完成[00F6FF]10[-]场联网对战</t>
  </si>
  <si>
    <t>完成[00F6FF]30[-]场联网对战</t>
  </si>
  <si>
    <t>完成[00F6FF]80[-]场联网对战</t>
  </si>
  <si>
    <t>完成[00F6FF]120[-]场联网对战</t>
  </si>
  <si>
    <t>完成[00F6FF]400[-]场联网对战</t>
  </si>
  <si>
    <t>得分机器</t>
  </si>
  <si>
    <t>耀眼巨星</t>
  </si>
  <si>
    <t>在排位赛中获得[00F6FF]1[-]次mvp</t>
  </si>
  <si>
    <t>在排位赛中获得[00F6FF]3[-]次mvp</t>
  </si>
  <si>
    <t>在排位赛中获得[00F6FF]6[-]次mvp</t>
  </si>
  <si>
    <t>在排位赛中获得[00F6FF]20[-]次mvp</t>
  </si>
  <si>
    <t>在排位赛中获得[00F6FF]60[-]次mvp</t>
  </si>
  <si>
    <t>在排位赛中获得[00F6FF]120[-]次mvp</t>
  </si>
  <si>
    <t>在排位赛中获得[00F6FF]300[-]次mvp</t>
  </si>
  <si>
    <t>路人王者</t>
  </si>
  <si>
    <t>28:2</t>
  </si>
  <si>
    <t>新排位赛胜利次数</t>
  </si>
  <si>
    <t>在生涯模式中战胜任意精英关卡X次</t>
  </si>
  <si>
    <t>进行X次队长训练</t>
  </si>
  <si>
    <t>进行X次纹身升级</t>
  </si>
  <si>
    <t>进行街头巡回赛X次</t>
  </si>
  <si>
    <t>进行排位赛X次</t>
  </si>
  <si>
    <t>进行排位赛胜利X次</t>
  </si>
  <si>
    <t>进行投篮赛X次</t>
  </si>
  <si>
    <t>进行挑战赛X次</t>
  </si>
  <si>
    <t>抽取幸运篮球X次</t>
  </si>
  <si>
    <t>训练中，4个练习都进行一次</t>
  </si>
  <si>
    <t>进行斗牛比赛X次</t>
  </si>
  <si>
    <t>联网对战</t>
  </si>
  <si>
    <t>排位赛次数</t>
  </si>
  <si>
    <t>邀请好友参与天梯赛</t>
  </si>
  <si>
    <t>天梯赛MVP次数</t>
  </si>
  <si>
    <t>联网对战获得X分</t>
  </si>
  <si>
    <t>每日获得金币数量</t>
  </si>
  <si>
    <t>涂鸦制作</t>
  </si>
  <si>
    <t>新排位赛MVP次数</t>
  </si>
  <si>
    <t>组队完成排位赛次数</t>
  </si>
  <si>
    <t>condition_type</t>
  </si>
  <si>
    <t>主线</t>
    <phoneticPr fontId="1" type="noConversion"/>
  </si>
  <si>
    <t>金币总量达到</t>
    <phoneticPr fontId="1" type="noConversion"/>
  </si>
  <si>
    <t>GOLD_REACH</t>
    <phoneticPr fontId="6" type="noConversion"/>
  </si>
  <si>
    <t>荣誉总量达到</t>
    <phoneticPr fontId="1" type="noConversion"/>
  </si>
  <si>
    <t>HONOR_REACH</t>
    <phoneticPr fontId="6" type="noConversion"/>
  </si>
  <si>
    <t>游戏中获得的钻石总量达到</t>
    <phoneticPr fontId="1" type="noConversion"/>
  </si>
  <si>
    <t>DIAMOND_EARNED_REACH</t>
    <phoneticPr fontId="6" type="noConversion"/>
  </si>
  <si>
    <t>荣誉争霸赛中获得X连胜</t>
    <phoneticPr fontId="1" type="noConversion"/>
  </si>
  <si>
    <t>REGULAR_WINNING_STREAK</t>
    <phoneticPr fontId="6" type="noConversion"/>
  </si>
  <si>
    <t>通关生涯模式X关卡</t>
    <phoneticPr fontId="1" type="noConversion"/>
  </si>
  <si>
    <t>COMPLETE_SECTION</t>
    <phoneticPr fontId="6" type="noConversion"/>
  </si>
  <si>
    <t>队伍等级达到X级</t>
    <phoneticPr fontId="1" type="noConversion"/>
  </si>
  <si>
    <t>TEAM_LEVEL_REACH</t>
    <phoneticPr fontId="6" type="noConversion"/>
  </si>
  <si>
    <t>球员数量达到</t>
    <phoneticPr fontId="1" type="noConversion"/>
  </si>
  <si>
    <t>ROLE_NUM_REACH</t>
    <phoneticPr fontId="6" type="noConversion"/>
  </si>
  <si>
    <t>球员的等级达到</t>
    <phoneticPr fontId="1" type="noConversion"/>
  </si>
  <si>
    <t>ROLE_LEVEL_REACH</t>
    <phoneticPr fontId="6" type="noConversion"/>
  </si>
  <si>
    <t>球员的强化达到</t>
    <phoneticPr fontId="1" type="noConversion"/>
  </si>
  <si>
    <t>ROLE_STAR_REACH</t>
    <phoneticPr fontId="6" type="noConversion"/>
  </si>
  <si>
    <t>球员的品质达到</t>
    <phoneticPr fontId="1" type="noConversion"/>
  </si>
  <si>
    <t>ROLE_QUALITY_REACH</t>
    <phoneticPr fontId="6" type="noConversion"/>
  </si>
  <si>
    <t>球员的天资达到</t>
    <phoneticPr fontId="1" type="noConversion"/>
  </si>
  <si>
    <t>ROLE_TALENT_REACH</t>
    <phoneticPr fontId="6" type="noConversion"/>
  </si>
  <si>
    <t>球员的任意训练项达到</t>
    <phoneticPr fontId="1" type="noConversion"/>
  </si>
  <si>
    <t>ROLE_EXERCISE_REACH</t>
    <phoneticPr fontId="6" type="noConversion"/>
  </si>
  <si>
    <t>花式技能升级到X级</t>
    <phoneticPr fontId="1" type="noConversion"/>
  </si>
  <si>
    <t>FREESTYLE_LEVEL_REACH</t>
    <phoneticPr fontId="6" type="noConversion"/>
  </si>
  <si>
    <t>技能升级到X级</t>
    <phoneticPr fontId="1" type="noConversion"/>
  </si>
  <si>
    <t>SKILL_LEVEL_REACH</t>
    <phoneticPr fontId="6" type="noConversion"/>
  </si>
  <si>
    <t>开启技能槽X个</t>
    <phoneticPr fontId="1" type="noConversion"/>
  </si>
  <si>
    <t>ROLE_OPENED_SKILL_SLOT_REACH</t>
    <phoneticPr fontId="6" type="noConversion"/>
  </si>
  <si>
    <t>荣誉争霸赛中胜利总次数达到</t>
    <phoneticPr fontId="1" type="noConversion"/>
  </si>
  <si>
    <t>REGULAR_WIN_TIMES_REACH</t>
    <phoneticPr fontId="6" type="noConversion"/>
  </si>
  <si>
    <t>队长数量达到</t>
    <phoneticPr fontId="1" type="noConversion"/>
  </si>
  <si>
    <t>CAPTAIN_NUM_REACH</t>
    <phoneticPr fontId="1" type="noConversion"/>
  </si>
  <si>
    <t>纹身数量达到</t>
    <phoneticPr fontId="1" type="noConversion"/>
  </si>
  <si>
    <t>TATTOO_NUM_REACH</t>
    <phoneticPr fontId="1" type="noConversion"/>
  </si>
  <si>
    <t>纹身的等级达到</t>
    <phoneticPr fontId="1" type="noConversion"/>
  </si>
  <si>
    <t>TATTOO_LEVEL_REACH</t>
    <phoneticPr fontId="1" type="noConversion"/>
  </si>
  <si>
    <t>分解的纹身数量达到</t>
    <phoneticPr fontId="1" type="noConversion"/>
  </si>
  <si>
    <t>DECOMPOSE_TATTOO_NUM_REACH</t>
    <phoneticPr fontId="1" type="noConversion"/>
  </si>
  <si>
    <t>体能训练项目达到X级</t>
    <phoneticPr fontId="1" type="noConversion"/>
  </si>
  <si>
    <t>TRAINING_PH_LEVLE_REACH</t>
    <phoneticPr fontId="1" type="noConversion"/>
  </si>
  <si>
    <t>力量训练项目达到X级</t>
    <phoneticPr fontId="1" type="noConversion"/>
  </si>
  <si>
    <t>TRAINING_STRENGTH_LEVLE_REACH</t>
    <phoneticPr fontId="1" type="noConversion"/>
  </si>
  <si>
    <t>扣篮训练项目达到X级</t>
    <phoneticPr fontId="1" type="noConversion"/>
  </si>
  <si>
    <t>TRAINING_DUNK_LEVLE_REACH</t>
    <phoneticPr fontId="1" type="noConversion"/>
  </si>
  <si>
    <t>上篮训练项目达到X级</t>
    <phoneticPr fontId="1" type="noConversion"/>
  </si>
  <si>
    <t>TRAINING_LAYUP_LEVLE_REACH</t>
    <phoneticPr fontId="1" type="noConversion"/>
  </si>
  <si>
    <t>投篮训练项目达到X级</t>
    <phoneticPr fontId="1" type="noConversion"/>
  </si>
  <si>
    <t>TRAINING_SHOOT_LEVLE_REACH</t>
    <phoneticPr fontId="1" type="noConversion"/>
  </si>
  <si>
    <t>防守训练项目达到X级</t>
    <phoneticPr fontId="1" type="noConversion"/>
  </si>
  <si>
    <t>TRAINING_DEFENSE_LEVLE_REACH</t>
    <phoneticPr fontId="1" type="noConversion"/>
  </si>
  <si>
    <t>技巧训练项目达到X级</t>
    <phoneticPr fontId="1" type="noConversion"/>
  </si>
  <si>
    <t>TRAINING_SKILL_LEVLE_REACH</t>
    <phoneticPr fontId="1" type="noConversion"/>
  </si>
  <si>
    <t>气势训练项目达到X级</t>
    <phoneticPr fontId="1" type="noConversion"/>
  </si>
  <si>
    <t>TRAINING_VIGOUR_LEVLE_REACH</t>
    <phoneticPr fontId="1" type="noConversion"/>
  </si>
  <si>
    <t>排位赛排名进入X名</t>
    <phoneticPr fontId="1" type="noConversion"/>
  </si>
  <si>
    <t>QUALIFYING_RANK_REACH</t>
    <phoneticPr fontId="1" type="noConversion"/>
  </si>
  <si>
    <t>累计获得排位赛胜利X次</t>
    <phoneticPr fontId="1" type="noConversion"/>
  </si>
  <si>
    <t>QUALIFYING_WIN_TIMES</t>
    <phoneticPr fontId="1" type="noConversion"/>
  </si>
  <si>
    <t>BASE_PRACTICE_RACE</t>
  </si>
  <si>
    <t>31</t>
    <phoneticPr fontId="1" type="noConversion"/>
  </si>
  <si>
    <t>SHOOT_PRACTICE_RACE</t>
  </si>
  <si>
    <t>32</t>
    <phoneticPr fontId="1" type="noConversion"/>
  </si>
  <si>
    <t>LAYUP_DUNK_PRACTICE_RACE</t>
  </si>
  <si>
    <t>REBOUND_PRACTICE_RACE</t>
  </si>
  <si>
    <t>BLOCK_PRACTICE_RACE</t>
  </si>
  <si>
    <t>常规赛胜利次数</t>
    <phoneticPr fontId="1" type="noConversion"/>
  </si>
  <si>
    <t>REGULAR_WIN_TIMES</t>
  </si>
  <si>
    <t>36</t>
    <phoneticPr fontId="1" type="noConversion"/>
  </si>
  <si>
    <t>常规赛获得积分</t>
    <phoneticPr fontId="1" type="noConversion"/>
  </si>
  <si>
    <t>REGULAR_GET_SCORE</t>
  </si>
  <si>
    <t>37</t>
    <phoneticPr fontId="1" type="noConversion"/>
  </si>
  <si>
    <t>排位赛达到段位</t>
    <phoneticPr fontId="1" type="noConversion"/>
  </si>
  <si>
    <t>QUALIFYING_NEW_REACH</t>
  </si>
  <si>
    <t>38</t>
    <phoneticPr fontId="1" type="noConversion"/>
  </si>
  <si>
    <t>排位赛胜利次数</t>
    <phoneticPr fontId="1" type="noConversion"/>
  </si>
  <si>
    <t>QUALIFYING_NEW_WIN_TIMES</t>
  </si>
  <si>
    <t>39</t>
    <phoneticPr fontId="1" type="noConversion"/>
  </si>
  <si>
    <t>排位赛连胜次数</t>
    <phoneticPr fontId="1" type="noConversion"/>
  </si>
  <si>
    <t>QUALIFYING_NEW_WINNINGSTREAK</t>
    <phoneticPr fontId="1" type="noConversion"/>
  </si>
  <si>
    <t>40</t>
    <phoneticPr fontId="1" type="noConversion"/>
  </si>
  <si>
    <t>排位赛获得积分</t>
    <phoneticPr fontId="1" type="noConversion"/>
  </si>
  <si>
    <t>QUALIFYING_NEW_SCORE</t>
    <phoneticPr fontId="1" type="noConversion"/>
  </si>
  <si>
    <t>41</t>
    <phoneticPr fontId="1" type="noConversion"/>
  </si>
  <si>
    <t>天梯赛达到段位</t>
    <phoneticPr fontId="1" type="noConversion"/>
  </si>
  <si>
    <t>LADDER_REACH</t>
    <phoneticPr fontId="1" type="noConversion"/>
  </si>
  <si>
    <t>42</t>
    <phoneticPr fontId="1" type="noConversion"/>
  </si>
  <si>
    <t>天梯赛胜利次数</t>
    <phoneticPr fontId="1" type="noConversion"/>
  </si>
  <si>
    <t>LADDER_WIN_TIMES</t>
    <phoneticPr fontId="1" type="noConversion"/>
  </si>
  <si>
    <t>43</t>
    <phoneticPr fontId="1" type="noConversion"/>
  </si>
  <si>
    <t>天梯赛获得积分</t>
    <phoneticPr fontId="1" type="noConversion"/>
  </si>
  <si>
    <t>LADDER_GET_SCORE</t>
    <phoneticPr fontId="1" type="noConversion"/>
  </si>
  <si>
    <t>44</t>
    <phoneticPr fontId="1" type="noConversion"/>
  </si>
  <si>
    <t>天梯赛获得MVP次数</t>
    <phoneticPr fontId="1" type="noConversion"/>
  </si>
  <si>
    <t>LADDER_GET_MVP_TIMES</t>
  </si>
  <si>
    <t>45</t>
    <phoneticPr fontId="1" type="noConversion"/>
  </si>
  <si>
    <t>WITH_FRIEND_BATTLE</t>
  </si>
  <si>
    <t>46</t>
    <phoneticPr fontId="1" type="noConversion"/>
  </si>
  <si>
    <t>完成联网对战</t>
    <phoneticPr fontId="1" type="noConversion"/>
  </si>
  <si>
    <t>ONLINE_BATTLE_REACH</t>
    <phoneticPr fontId="1" type="noConversion"/>
  </si>
  <si>
    <t>联网对战中本方累积得分</t>
    <phoneticPr fontId="1" type="noConversion"/>
  </si>
  <si>
    <t>ONLINE_BATTLE_GET_SCORE</t>
    <phoneticPr fontId="1" type="noConversion"/>
  </si>
  <si>
    <t>三星通关生涯模式X关卡</t>
    <phoneticPr fontId="1" type="noConversion"/>
  </si>
  <si>
    <t>FULL_STAR_COMPLETE_SECTION</t>
    <phoneticPr fontId="1" type="noConversion"/>
  </si>
  <si>
    <t>拥有涂鸦数量</t>
    <phoneticPr fontId="1" type="noConversion"/>
  </si>
  <si>
    <t>BADGE_NUMBER_REACH</t>
    <phoneticPr fontId="1" type="noConversion"/>
  </si>
  <si>
    <t>50</t>
    <phoneticPr fontId="1" type="noConversion"/>
  </si>
  <si>
    <t>拥有x级涂鸦</t>
    <phoneticPr fontId="1" type="noConversion"/>
  </si>
  <si>
    <t>BADGE_LEVEL_NUMBER_REACH</t>
    <phoneticPr fontId="1" type="noConversion"/>
  </si>
  <si>
    <t>51</t>
    <phoneticPr fontId="1" type="noConversion"/>
  </si>
  <si>
    <t>组队取得排位赛胜利次数</t>
    <phoneticPr fontId="1" type="noConversion"/>
  </si>
  <si>
    <t>WITH_FRIEND_QUALIFYING_NEWER_TIMES</t>
    <phoneticPr fontId="1" type="noConversion"/>
  </si>
  <si>
    <t>52</t>
    <phoneticPr fontId="1" type="noConversion"/>
  </si>
  <si>
    <t>新排位赛达到X段位以上</t>
    <phoneticPr fontId="1" type="noConversion"/>
  </si>
  <si>
    <t>QUALIFYING_NEWER_REACH</t>
    <phoneticPr fontId="1" type="noConversion"/>
  </si>
  <si>
    <t>53</t>
    <phoneticPr fontId="1" type="noConversion"/>
  </si>
  <si>
    <t>新排位赛胜利次数</t>
    <phoneticPr fontId="1" type="noConversion"/>
  </si>
  <si>
    <t>QUALIFYING_NEWER_WIN_TIMES</t>
    <phoneticPr fontId="1" type="noConversion"/>
  </si>
  <si>
    <t>54</t>
    <phoneticPr fontId="1" type="noConversion"/>
  </si>
  <si>
    <t>新排位赛本方累积获得分数</t>
    <phoneticPr fontId="1" type="noConversion"/>
  </si>
  <si>
    <t>WITH_FRIEND_QUALIFYING_NEWER_GET_SOURCE</t>
    <phoneticPr fontId="1" type="noConversion"/>
  </si>
  <si>
    <t>55</t>
    <phoneticPr fontId="1" type="noConversion"/>
  </si>
  <si>
    <t>新排位赛获得MVP次数</t>
    <phoneticPr fontId="1" type="noConversion"/>
  </si>
  <si>
    <t>QUALIFYING_NEWER_MVP_TIMES</t>
    <phoneticPr fontId="1" type="noConversion"/>
  </si>
  <si>
    <t>56</t>
    <phoneticPr fontId="1" type="noConversion"/>
  </si>
  <si>
    <t>QUALIFYING_NEW_MVP_TIMES</t>
    <phoneticPr fontId="1" type="noConversion"/>
  </si>
  <si>
    <t>57</t>
    <phoneticPr fontId="1" type="noConversion"/>
  </si>
  <si>
    <t>巡回赛胜利次数</t>
    <phoneticPr fontId="1" type="noConversion"/>
  </si>
  <si>
    <t>QUALIFYING_NEW_WIN_TIMES</t>
    <phoneticPr fontId="1" type="noConversion"/>
  </si>
  <si>
    <t>58</t>
    <phoneticPr fontId="1" type="noConversion"/>
  </si>
  <si>
    <t>BUY_GOLD_TIMES</t>
  </si>
  <si>
    <t>日常</t>
    <phoneticPr fontId="1" type="noConversion"/>
  </si>
  <si>
    <t>BUY_HP_TIMES</t>
  </si>
  <si>
    <t>REGULAR_RACE_TIMES</t>
  </si>
  <si>
    <t>REGULAR_RACE_WIN_TIMES</t>
  </si>
  <si>
    <t>X_SKILL_LEVEL_UP</t>
  </si>
  <si>
    <t>COMPLETE_SECTION_TIMES</t>
  </si>
  <si>
    <t>COMPLETE_BOSS_SECTION_TIMES</t>
  </si>
  <si>
    <t>DO_TRAINING_TIMES</t>
  </si>
  <si>
    <t>X_TATTOO_LEVEL_UP</t>
  </si>
  <si>
    <t>TOUR_TIMES</t>
  </si>
  <si>
    <t>QUALIFYING_TIMES</t>
  </si>
  <si>
    <t>QUALIFYING_WIN_TIMES</t>
  </si>
  <si>
    <t>NEW_GAMES_TIMES</t>
  </si>
  <si>
    <t>CHALLENGE_TIMES</t>
  </si>
  <si>
    <t>LOTTERY_TIMES</t>
  </si>
  <si>
    <t>PRACTICE_TIMES</t>
  </si>
  <si>
    <t>BULLFIGHT_TIMES</t>
  </si>
  <si>
    <t>PERDAY_LOGIN</t>
  </si>
  <si>
    <t>ONLINE_BATTLE</t>
  </si>
  <si>
    <t>QUALIFYING_NEW_TIMES</t>
  </si>
  <si>
    <t>LADDER_WIN_TIMES</t>
  </si>
  <si>
    <t>WITH_FRIEND_LADDER</t>
  </si>
  <si>
    <t>LADDER_MVP_TIMES</t>
  </si>
  <si>
    <t>ONLINE_BATTLE_GET_SCORE</t>
  </si>
  <si>
    <t>GET_MONEY</t>
  </si>
  <si>
    <t>MAKE_BADGE</t>
  </si>
  <si>
    <t>QUALIFYING_NEWER_WIN_TIMES</t>
  </si>
  <si>
    <t>QUALIFYING_NEWER_MVP_TIMES</t>
  </si>
  <si>
    <t>QUALIFYING_NEWER_TEAM_TIMES</t>
  </si>
  <si>
    <t>switch</t>
    <phoneticPr fontId="1" type="noConversion"/>
  </si>
  <si>
    <t>precondition_id1</t>
    <phoneticPr fontId="1" type="noConversion"/>
  </si>
  <si>
    <t>precondition_value1</t>
    <phoneticPr fontId="1" type="noConversion"/>
  </si>
  <si>
    <t>precondition_id2</t>
  </si>
  <si>
    <t>precondition_value2</t>
  </si>
  <si>
    <t>condition_id1</t>
    <phoneticPr fontId="1" type="noConversion"/>
  </si>
  <si>
    <t>award_id</t>
    <phoneticPr fontId="6" type="noConversion"/>
  </si>
  <si>
    <t>link</t>
    <phoneticPr fontId="6" type="noConversion"/>
  </si>
  <si>
    <t>show_process</t>
    <phoneticPr fontId="1" type="noConversion"/>
  </si>
  <si>
    <t>#</t>
    <phoneticPr fontId="1" type="noConversion"/>
  </si>
  <si>
    <t>任务ID</t>
    <phoneticPr fontId="1" type="noConversion"/>
  </si>
  <si>
    <t>任务类型</t>
    <phoneticPr fontId="1" type="noConversion"/>
  </si>
  <si>
    <t>任务ICON图标</t>
    <phoneticPr fontId="1" type="noConversion"/>
  </si>
  <si>
    <t>任务标题</t>
    <phoneticPr fontId="1" type="noConversion"/>
  </si>
  <si>
    <t>任务简介</t>
    <phoneticPr fontId="1" type="noConversion"/>
  </si>
  <si>
    <t>任务奖励提示</t>
    <phoneticPr fontId="1" type="noConversion"/>
  </si>
  <si>
    <t>开启前置条件ID</t>
    <phoneticPr fontId="1" type="noConversion"/>
  </si>
  <si>
    <t>开启前置条数量</t>
    <phoneticPr fontId="1" type="noConversion"/>
  </si>
  <si>
    <t>完成条件ID</t>
    <phoneticPr fontId="1" type="noConversion"/>
  </si>
  <si>
    <t>完成数值</t>
    <phoneticPr fontId="1" type="noConversion"/>
  </si>
  <si>
    <t>奖励包ID</t>
    <phoneticPr fontId="1" type="noConversion"/>
  </si>
  <si>
    <t>任务超链接</t>
    <phoneticPr fontId="1" type="noConversion"/>
  </si>
  <si>
    <t>进度显示开关</t>
    <phoneticPr fontId="1" type="noConversion"/>
  </si>
  <si>
    <t>icon_task_001</t>
    <phoneticPr fontId="1" type="noConversion"/>
  </si>
  <si>
    <t/>
  </si>
  <si>
    <t>20701</t>
    <phoneticPr fontId="1" type="noConversion"/>
  </si>
  <si>
    <t>2</t>
    <phoneticPr fontId="1" type="noConversion"/>
  </si>
  <si>
    <t>icon_task_006</t>
    <phoneticPr fontId="1" type="noConversion"/>
  </si>
  <si>
    <t>崛起的球队</t>
    <phoneticPr fontId="1" type="noConversion"/>
  </si>
  <si>
    <t>1</t>
    <phoneticPr fontId="1" type="noConversion"/>
  </si>
  <si>
    <t>6</t>
    <phoneticPr fontId="1" type="noConversion"/>
  </si>
  <si>
    <t>7</t>
    <phoneticPr fontId="1" type="noConversion"/>
  </si>
  <si>
    <t>32218</t>
    <phoneticPr fontId="1" type="noConversion"/>
  </si>
  <si>
    <t>0</t>
    <phoneticPr fontId="1" type="noConversion"/>
  </si>
  <si>
    <t>11014</t>
  </si>
  <si>
    <t>11015</t>
  </si>
  <si>
    <t>11016</t>
  </si>
  <si>
    <t>11017</t>
  </si>
  <si>
    <t>11018</t>
  </si>
  <si>
    <t>11019</t>
  </si>
  <si>
    <t>11020</t>
  </si>
  <si>
    <t>11021</t>
  </si>
  <si>
    <t>11022</t>
  </si>
  <si>
    <t>11023</t>
  </si>
  <si>
    <t>11024</t>
  </si>
  <si>
    <t>11025</t>
  </si>
  <si>
    <t>11026</t>
  </si>
  <si>
    <t>11027</t>
  </si>
  <si>
    <t>11028</t>
  </si>
  <si>
    <t>11029</t>
  </si>
  <si>
    <t>11030</t>
  </si>
  <si>
    <t>11031</t>
  </si>
  <si>
    <t>11032</t>
  </si>
  <si>
    <t>11033</t>
  </si>
  <si>
    <t>队伍等级达到[00F6FF]60[-]</t>
    <phoneticPr fontId="1" type="noConversion"/>
  </si>
  <si>
    <t>11034</t>
  </si>
  <si>
    <t>60</t>
    <phoneticPr fontId="1" type="noConversion"/>
  </si>
  <si>
    <t>队伍等级达到[00F6FF]70[-]</t>
    <phoneticPr fontId="1" type="noConversion"/>
  </si>
  <si>
    <t>11035</t>
  </si>
  <si>
    <t>70</t>
    <phoneticPr fontId="1" type="noConversion"/>
  </si>
  <si>
    <t>队伍等级达到[00F6FF]80[-]</t>
    <phoneticPr fontId="1" type="noConversion"/>
  </si>
  <si>
    <t>11036</t>
  </si>
  <si>
    <t>80</t>
    <phoneticPr fontId="1" type="noConversion"/>
  </si>
  <si>
    <t>icon_task_003</t>
    <phoneticPr fontId="1" type="noConversion"/>
  </si>
  <si>
    <t>9</t>
    <phoneticPr fontId="1" type="noConversion"/>
  </si>
  <si>
    <t>29</t>
    <phoneticPr fontId="1" type="noConversion"/>
  </si>
  <si>
    <t>18000</t>
    <phoneticPr fontId="1" type="noConversion"/>
  </si>
  <si>
    <t>7500</t>
    <phoneticPr fontId="1" type="noConversion"/>
  </si>
  <si>
    <t>4500</t>
    <phoneticPr fontId="1" type="noConversion"/>
  </si>
  <si>
    <t>2400</t>
    <phoneticPr fontId="1" type="noConversion"/>
  </si>
  <si>
    <t>1000</t>
    <phoneticPr fontId="1" type="noConversion"/>
  </si>
  <si>
    <t>600</t>
    <phoneticPr fontId="1" type="noConversion"/>
  </si>
  <si>
    <t>300</t>
    <phoneticPr fontId="1" type="noConversion"/>
  </si>
  <si>
    <t>100</t>
    <phoneticPr fontId="1" type="noConversion"/>
  </si>
  <si>
    <t>30</t>
    <phoneticPr fontId="1" type="noConversion"/>
  </si>
  <si>
    <t>10</t>
    <phoneticPr fontId="1" type="noConversion"/>
  </si>
  <si>
    <t>icon_task_002</t>
    <phoneticPr fontId="1" type="noConversion"/>
  </si>
  <si>
    <t>拥有[00F6FF]1名[-]队员</t>
    <phoneticPr fontId="1" type="noConversion"/>
  </si>
  <si>
    <t>25</t>
    <phoneticPr fontId="1" type="noConversion"/>
  </si>
  <si>
    <t>35</t>
    <phoneticPr fontId="1" type="noConversion"/>
  </si>
  <si>
    <t>40</t>
    <phoneticPr fontId="1" type="noConversion"/>
  </si>
  <si>
    <t>45</t>
    <phoneticPr fontId="1" type="noConversion"/>
  </si>
  <si>
    <t>50</t>
    <phoneticPr fontId="1" type="noConversion"/>
  </si>
  <si>
    <t>icon_task_005</t>
    <phoneticPr fontId="1" type="noConversion"/>
  </si>
  <si>
    <t>4</t>
    <phoneticPr fontId="1" type="noConversion"/>
  </si>
  <si>
    <t>icon_task_007</t>
    <phoneticPr fontId="1" type="noConversion"/>
  </si>
  <si>
    <t>游戏中累积获得[F8BA27]金币[-]总量[F8BA27]400000[-]</t>
    <phoneticPr fontId="1" type="noConversion"/>
  </si>
  <si>
    <t>icon_task_008</t>
    <phoneticPr fontId="1" type="noConversion"/>
  </si>
  <si>
    <t>icon_task_009</t>
    <phoneticPr fontId="1" type="noConversion"/>
  </si>
  <si>
    <t>举世瞩目</t>
    <phoneticPr fontId="1" type="noConversion"/>
  </si>
  <si>
    <t>全面发展</t>
    <phoneticPr fontId="1" type="noConversion"/>
  </si>
  <si>
    <t>59</t>
    <phoneticPr fontId="1" type="noConversion"/>
  </si>
  <si>
    <t>3</t>
    <phoneticPr fontId="1" type="noConversion"/>
  </si>
  <si>
    <t>16</t>
    <phoneticPr fontId="1" type="noConversion"/>
  </si>
  <si>
    <t>练习赛</t>
    <phoneticPr fontId="1" type="noConversion"/>
  </si>
  <si>
    <t>31</t>
    <phoneticPr fontId="1" type="noConversion"/>
  </si>
  <si>
    <t>常规赛胜利次数</t>
    <phoneticPr fontId="1" type="noConversion"/>
  </si>
  <si>
    <t>完成[00F6FF]常规赛胜利次数[-]</t>
    <phoneticPr fontId="1" type="noConversion"/>
  </si>
  <si>
    <t>36</t>
    <phoneticPr fontId="1" type="noConversion"/>
  </si>
  <si>
    <t>常规赛获得积分</t>
    <phoneticPr fontId="1" type="noConversion"/>
  </si>
  <si>
    <t>完成[00F6FF]常规赛获得分数[-]</t>
    <phoneticPr fontId="1" type="noConversion"/>
  </si>
  <si>
    <t>37</t>
    <phoneticPr fontId="1" type="noConversion"/>
  </si>
  <si>
    <t>排位赛达到段位</t>
    <phoneticPr fontId="1" type="noConversion"/>
  </si>
  <si>
    <t>完成[00F6FF]排位赛达到段位[-]</t>
    <phoneticPr fontId="1" type="noConversion"/>
  </si>
  <si>
    <t>38</t>
    <phoneticPr fontId="1" type="noConversion"/>
  </si>
  <si>
    <t>排位赛胜利次数</t>
    <phoneticPr fontId="1" type="noConversion"/>
  </si>
  <si>
    <t>完成[00F6FF]排位赛胜利次数[-]</t>
    <phoneticPr fontId="1" type="noConversion"/>
  </si>
  <si>
    <t>39</t>
    <phoneticPr fontId="1" type="noConversion"/>
  </si>
  <si>
    <t>排位赛连胜次数</t>
    <phoneticPr fontId="1" type="noConversion"/>
  </si>
  <si>
    <t>完成[00F6FF]排位赛连胜次数[-]</t>
    <phoneticPr fontId="1" type="noConversion"/>
  </si>
  <si>
    <t>排位赛获得分数</t>
    <phoneticPr fontId="1" type="noConversion"/>
  </si>
  <si>
    <t>完成[00F6FF]排位赛获得分数[-]</t>
    <phoneticPr fontId="1" type="noConversion"/>
  </si>
  <si>
    <t>41</t>
    <phoneticPr fontId="1" type="noConversion"/>
  </si>
  <si>
    <t>天梯赛达到段位</t>
    <phoneticPr fontId="1" type="noConversion"/>
  </si>
  <si>
    <t>完成[00F6FF]天梯赛达到段位[-]</t>
    <phoneticPr fontId="1" type="noConversion"/>
  </si>
  <si>
    <t>42</t>
    <phoneticPr fontId="1" type="noConversion"/>
  </si>
  <si>
    <t>天梯赛胜利次数</t>
    <phoneticPr fontId="1" type="noConversion"/>
  </si>
  <si>
    <t>完成[00F6FF]天梯赛胜利次数[-]</t>
    <phoneticPr fontId="1" type="noConversion"/>
  </si>
  <si>
    <t>43</t>
    <phoneticPr fontId="1" type="noConversion"/>
  </si>
  <si>
    <t>天梯赛获得积分</t>
    <phoneticPr fontId="1" type="noConversion"/>
  </si>
  <si>
    <t>完成[00F6FF]天梯赛获得分数[-]</t>
    <phoneticPr fontId="1" type="noConversion"/>
  </si>
  <si>
    <t>44</t>
    <phoneticPr fontId="1" type="noConversion"/>
  </si>
  <si>
    <t>天梯赛获得MVP次数</t>
    <phoneticPr fontId="1" type="noConversion"/>
  </si>
  <si>
    <t>完成[00F6FF]天梯赛获得MVP次数[-]</t>
    <phoneticPr fontId="1" type="noConversion"/>
  </si>
  <si>
    <t>和好友共同战斗次数</t>
    <phoneticPr fontId="1" type="noConversion"/>
  </si>
  <si>
    <t>完成[00F6FF]和好友共同战斗次数[-]</t>
    <phoneticPr fontId="1" type="noConversion"/>
  </si>
  <si>
    <t>46</t>
    <phoneticPr fontId="1" type="noConversion"/>
  </si>
  <si>
    <t>icon_task_013</t>
    <phoneticPr fontId="1" type="noConversion"/>
  </si>
  <si>
    <t>明星之路</t>
    <phoneticPr fontId="1" type="noConversion"/>
  </si>
  <si>
    <t>孤独求败</t>
    <phoneticPr fontId="1" type="noConversion"/>
  </si>
  <si>
    <t>icon_task_011</t>
    <phoneticPr fontId="1" type="noConversion"/>
  </si>
  <si>
    <t>icon_task_012</t>
    <phoneticPr fontId="1" type="noConversion"/>
  </si>
  <si>
    <t>球场巨星</t>
    <phoneticPr fontId="1" type="noConversion"/>
  </si>
  <si>
    <t>巡回赛累积胜利[00F6FF]400[-]场</t>
    <phoneticPr fontId="1" type="noConversion"/>
  </si>
  <si>
    <t>icon_task_014</t>
    <phoneticPr fontId="1" type="noConversion"/>
  </si>
  <si>
    <t>耀眼巨星</t>
    <phoneticPr fontId="1" type="noConversion"/>
  </si>
  <si>
    <t>上分高手</t>
    <phoneticPr fontId="1" type="noConversion"/>
  </si>
  <si>
    <t>icon_task_004</t>
    <phoneticPr fontId="1" type="noConversion"/>
  </si>
  <si>
    <t>新人首秀</t>
    <phoneticPr fontId="1" type="noConversion"/>
  </si>
  <si>
    <t>完成[F8BA27]3次[-]联网对战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</si>
  <si>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1</t>
    </r>
    <phoneticPr fontId="1" type="noConversion"/>
  </si>
  <si>
    <t>生涯之路</t>
    <phoneticPr fontId="1" type="noConversion"/>
  </si>
  <si>
    <t>胜利</t>
    <phoneticPr fontId="1" type="noConversion"/>
  </si>
  <si>
    <t>获得[F8BA27]3次[-]排位赛胜利</t>
    <phoneticPr fontId="1" type="noConversion"/>
  </si>
  <si>
    <r>
      <t>icon_task_0</t>
    </r>
    <r>
      <rPr>
        <sz val="11"/>
        <color theme="1"/>
        <rFont val="宋体"/>
        <family val="2"/>
        <charset val="134"/>
        <scheme val="minor"/>
      </rPr>
      <t>15</t>
    </r>
    <phoneticPr fontId="1" type="noConversion"/>
  </si>
  <si>
    <t>街头艺术</t>
    <phoneticPr fontId="1" type="noConversion"/>
  </si>
  <si>
    <t>拥有[F8BA27]1个[-]3级涂鸦</t>
    <phoneticPr fontId="1" type="noConversion"/>
  </si>
  <si>
    <t>51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</si>
  <si>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5</t>
    </r>
    <phoneticPr fontId="1" type="noConversion"/>
  </si>
  <si>
    <t>球技精湛</t>
    <phoneticPr fontId="1" type="noConversion"/>
  </si>
  <si>
    <t>拥有[F8BA27]4个[-]技能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</si>
  <si>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</si>
  <si>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并肩作战</t>
    <phoneticPr fontId="1" type="noConversion"/>
  </si>
  <si>
    <t>组队获得[F8BA27]1次[-]排位赛胜利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</si>
  <si>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101</t>
    </r>
    <phoneticPr fontId="1" type="noConversion"/>
  </si>
  <si>
    <r>
      <t>icon_task_0</t>
    </r>
    <r>
      <rPr>
        <sz val="11"/>
        <color theme="1"/>
        <rFont val="宋体"/>
        <family val="2"/>
        <charset val="134"/>
        <scheme val="minor"/>
      </rPr>
      <t>03</t>
    </r>
    <phoneticPr fontId="1" type="noConversion"/>
  </si>
  <si>
    <t>赛场主宰</t>
    <phoneticPr fontId="1" type="noConversion"/>
  </si>
  <si>
    <t>获得[F8BA27]1次[-]排位赛MVP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</si>
  <si>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102</t>
    </r>
    <phoneticPr fontId="1" type="noConversion"/>
  </si>
  <si>
    <t>拥有[F8BA27]1个[-]10级以上技能</t>
    <phoneticPr fontId="1" type="noConversion"/>
  </si>
  <si>
    <t>14</t>
    <phoneticPr fontId="1" type="noConversion"/>
  </si>
  <si>
    <t>获得[F8BA27]5次[-]排位赛胜利</t>
    <phoneticPr fontId="1" type="noConversion"/>
  </si>
  <si>
    <t>巡回表演</t>
    <phoneticPr fontId="1" type="noConversion"/>
  </si>
  <si>
    <t>获得[F8BA27]5次[-]巡回赛胜利</t>
    <phoneticPr fontId="1" type="noConversion"/>
  </si>
  <si>
    <t>拥有[F8BA27]2个[-]4级涂鸦</t>
    <phoneticPr fontId="1" type="noConversion"/>
  </si>
  <si>
    <t>拥有[F8BA27]3个[-]10级以上技能</t>
    <phoneticPr fontId="1" type="noConversion"/>
  </si>
  <si>
    <r>
      <t>icon_task_</t>
    </r>
    <r>
      <rPr>
        <sz val="11"/>
        <color theme="1"/>
        <rFont val="宋体"/>
        <family val="2"/>
        <charset val="134"/>
        <scheme val="minor"/>
      </rPr>
      <t>002</t>
    </r>
    <phoneticPr fontId="1" type="noConversion"/>
  </si>
  <si>
    <t>组队获得[F8BA27]3次[-]排位赛胜利</t>
    <phoneticPr fontId="1" type="noConversion"/>
  </si>
  <si>
    <t>获得[F8BA27]3次[-]排位赛MVP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</si>
  <si>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202</t>
    </r>
    <phoneticPr fontId="1" type="noConversion"/>
  </si>
  <si>
    <t>拥有[F8BA27]1个[-]20级以上技能</t>
    <phoneticPr fontId="1" type="noConversion"/>
  </si>
  <si>
    <t>获得[F8BA27]7次[-]排位赛胜利</t>
    <phoneticPr fontId="1" type="noConversion"/>
  </si>
  <si>
    <t>拥有[F8BA27]2个[-]5级涂鸦</t>
    <phoneticPr fontId="1" type="noConversion"/>
  </si>
  <si>
    <t>拥有[F8BA27]3个[-]20级以上技能</t>
    <phoneticPr fontId="1" type="noConversion"/>
  </si>
  <si>
    <t>获得[F8BA27]5次[-]排位赛MVP</t>
    <phoneticPr fontId="1" type="noConversion"/>
  </si>
  <si>
    <t>获得[F8BA27]10次[-]巡回赛胜利</t>
    <phoneticPr fontId="1" type="noConversion"/>
  </si>
  <si>
    <t>拥有[F8BA27]1个[-]30级以上技能</t>
    <phoneticPr fontId="1" type="noConversion"/>
  </si>
  <si>
    <t>29:2</t>
    <phoneticPr fontId="1" type="noConversion"/>
  </si>
  <si>
    <t>第1场</t>
    <phoneticPr fontId="7" type="noConversion"/>
  </si>
  <si>
    <t>得分狂人</t>
    <phoneticPr fontId="7" type="noConversion"/>
  </si>
  <si>
    <t>得分高手</t>
    <phoneticPr fontId="7" type="noConversion"/>
  </si>
  <si>
    <t>赛霸</t>
    <phoneticPr fontId="7" type="noConversion"/>
  </si>
  <si>
    <t>新排位赛</t>
    <phoneticPr fontId="7" type="noConversion"/>
  </si>
  <si>
    <t>巡回赛</t>
    <phoneticPr fontId="7" type="noConversion"/>
  </si>
  <si>
    <t>UIQualifyingNewer</t>
    <phoneticPr fontId="7" type="noConversion"/>
  </si>
  <si>
    <t>30</t>
    <phoneticPr fontId="7" type="noConversion"/>
  </si>
  <si>
    <t>UIQualifyingNew</t>
    <phoneticPr fontId="7" type="noConversion"/>
  </si>
  <si>
    <t xml:space="preserve"> </t>
    <phoneticPr fontId="1" type="noConversion"/>
  </si>
  <si>
    <t xml:space="preserve">技能数量达到 </t>
    <phoneticPr fontId="1" type="noConversion"/>
  </si>
  <si>
    <t>SKILL_REACH</t>
    <phoneticPr fontId="1" type="noConversion"/>
  </si>
  <si>
    <t>59</t>
    <phoneticPr fontId="1" type="noConversion"/>
  </si>
  <si>
    <t>QUALIFYING_NEW_REACH</t>
    <phoneticPr fontId="7" type="noConversion"/>
  </si>
  <si>
    <t>60</t>
    <phoneticPr fontId="1" type="noConversion"/>
  </si>
  <si>
    <t>联网对战中获胜</t>
    <phoneticPr fontId="1" type="noConversion"/>
  </si>
  <si>
    <t>ONLINE_BATTLE_WIN_TIMES</t>
    <phoneticPr fontId="7" type="noConversion"/>
  </si>
  <si>
    <t>61</t>
    <phoneticPr fontId="1" type="noConversion"/>
  </si>
  <si>
    <t>巡回赛累计获得分数</t>
    <phoneticPr fontId="7" type="noConversion"/>
  </si>
  <si>
    <t>QUALIFYING_NEW_SCORE</t>
    <phoneticPr fontId="7" type="noConversion"/>
  </si>
  <si>
    <t>62</t>
    <phoneticPr fontId="7" type="noConversion"/>
  </si>
  <si>
    <t>54</t>
    <phoneticPr fontId="7" type="noConversion"/>
  </si>
  <si>
    <t>52</t>
    <phoneticPr fontId="7" type="noConversion"/>
  </si>
  <si>
    <t>56</t>
    <phoneticPr fontId="7" type="noConversion"/>
  </si>
  <si>
    <t>58</t>
    <phoneticPr fontId="7" type="noConversion"/>
  </si>
  <si>
    <t>巡回赛达到段位次数</t>
    <phoneticPr fontId="1" type="noConversion"/>
  </si>
  <si>
    <t>巡回赛达到X段位以上</t>
    <phoneticPr fontId="1" type="noConversion"/>
  </si>
  <si>
    <t>62</t>
    <phoneticPr fontId="7" type="noConversion"/>
  </si>
  <si>
    <t>55</t>
    <phoneticPr fontId="7" type="noConversion"/>
  </si>
  <si>
    <t>在巡回赛中本方累计得分达到[00F6FF]100[-]分</t>
    <phoneticPr fontId="7" type="noConversion"/>
  </si>
  <si>
    <t>在巡回赛中本方累计得分达到[00F6FF]800[-]分</t>
    <phoneticPr fontId="7" type="noConversion"/>
  </si>
  <si>
    <t>在巡回赛中本方累计得分达到[00F6FF]3000[-]分</t>
    <phoneticPr fontId="7" type="noConversion"/>
  </si>
  <si>
    <t>在巡回赛中本方累计得分达到[00F6FF]6000[-]分</t>
    <phoneticPr fontId="7" type="noConversion"/>
  </si>
  <si>
    <t>在巡回赛中本方累计得分达到[00F6FF]10000[-]分</t>
    <phoneticPr fontId="7" type="noConversion"/>
  </si>
  <si>
    <t>在联网对战中本方累计得分达到[00F6FF]20[-]分</t>
    <phoneticPr fontId="7" type="noConversion"/>
  </si>
  <si>
    <t>在联网对战中本方累计得分达到[00F6FF]50[-]分</t>
    <phoneticPr fontId="7" type="noConversion"/>
  </si>
  <si>
    <t>在联网对战中本方累计得分达到[00F6FF]70[-]分</t>
    <phoneticPr fontId="7" type="noConversion"/>
  </si>
  <si>
    <t>在联网对战中本方累计得分达到[00F6FF]120[-]分</t>
    <phoneticPr fontId="7" type="noConversion"/>
  </si>
  <si>
    <t>在联网对战中本方累计得分达到[00F6FF]150[-]分</t>
    <phoneticPr fontId="7" type="noConversion"/>
  </si>
  <si>
    <t>在联网对战中本方累计得分达到[00F6FF]200[-]分</t>
    <phoneticPr fontId="7" type="noConversion"/>
  </si>
  <si>
    <t>在联网对战中本方累计得分达到[00F6FF]500[-]分</t>
    <phoneticPr fontId="7" type="noConversion"/>
  </si>
  <si>
    <t>在联网对战中本方累计得分达到[00F6FF]800[-]分</t>
    <phoneticPr fontId="7" type="noConversion"/>
  </si>
  <si>
    <t>在联网对战中本方累计得分达到[00F6FF]3000[-]分</t>
    <phoneticPr fontId="7" type="noConversion"/>
  </si>
  <si>
    <t>在联网对战中本方累计得分达到[00F6FF]6000[-]分</t>
    <phoneticPr fontId="7" type="noConversion"/>
  </si>
  <si>
    <t>在联网对战中本方累计得分达到[00F6FF]10000[-]分</t>
    <phoneticPr fontId="7" type="noConversion"/>
  </si>
  <si>
    <t>在排位赛中本方累计得分达到[00F6FF]20[-]分</t>
    <phoneticPr fontId="7" type="noConversion"/>
  </si>
  <si>
    <t>在排位赛中本方累计得分达到[00F6FF]50[-]分</t>
    <phoneticPr fontId="7" type="noConversion"/>
  </si>
  <si>
    <t>在排位赛中本方累计得分达到[00F6FF]70[-]分</t>
    <phoneticPr fontId="7" type="noConversion"/>
  </si>
  <si>
    <t>在排位赛中本方累计得分达到[00F6FF]120[-]分</t>
    <phoneticPr fontId="7" type="noConversion"/>
  </si>
  <si>
    <t>在排位赛中本方累计得分达到[00F6FF]150[-]分</t>
    <phoneticPr fontId="7" type="noConversion"/>
  </si>
  <si>
    <t>在排位赛中本方累计得分达到[00F6FF]200[-]分</t>
    <phoneticPr fontId="7" type="noConversion"/>
  </si>
  <si>
    <t>在排位赛中本方累计得分达到[00F6FF]500[-]分</t>
    <phoneticPr fontId="7" type="noConversion"/>
  </si>
  <si>
    <t>在排位赛中本方累计得分达到[00F6FF]1200[-]分</t>
    <phoneticPr fontId="7" type="noConversion"/>
  </si>
  <si>
    <t>在排位赛中本方累计得分达到[00F6FF]2500[-]分</t>
    <phoneticPr fontId="7" type="noConversion"/>
  </si>
  <si>
    <t>在排位赛中本方累计得分达到[00F6FF]5000[-]分</t>
    <phoneticPr fontId="7" type="noConversion"/>
  </si>
  <si>
    <t>820</t>
    <phoneticPr fontId="7" type="noConversion"/>
  </si>
  <si>
    <t>950</t>
    <phoneticPr fontId="7" type="noConversion"/>
  </si>
  <si>
    <t>900</t>
    <phoneticPr fontId="1" type="noConversion"/>
  </si>
  <si>
    <t>860</t>
    <phoneticPr fontId="1" type="noConversion"/>
  </si>
  <si>
    <t>830</t>
    <phoneticPr fontId="1" type="noConversion"/>
  </si>
  <si>
    <t>巡回赛最高达到[00F6FF]新秀[-]段位以上</t>
    <phoneticPr fontId="7" type="noConversion"/>
  </si>
  <si>
    <t>57</t>
    <phoneticPr fontId="7" type="noConversion"/>
  </si>
  <si>
    <t>5</t>
    <phoneticPr fontId="7" type="noConversion"/>
  </si>
  <si>
    <t>3</t>
    <phoneticPr fontId="7" type="noConversion"/>
  </si>
  <si>
    <t>2</t>
    <phoneticPr fontId="7" type="noConversion"/>
  </si>
  <si>
    <t>60</t>
    <phoneticPr fontId="7" type="noConversion"/>
  </si>
  <si>
    <t>53</t>
    <phoneticPr fontId="7" type="noConversion"/>
  </si>
  <si>
    <t>920</t>
    <phoneticPr fontId="7" type="noConversion"/>
  </si>
  <si>
    <t>1010</t>
    <phoneticPr fontId="7" type="noConversion"/>
  </si>
  <si>
    <t>1100</t>
    <phoneticPr fontId="7" type="noConversion"/>
  </si>
  <si>
    <t>1220</t>
    <phoneticPr fontId="7" type="noConversion"/>
  </si>
  <si>
    <t>1340</t>
    <phoneticPr fontId="7" type="noConversion"/>
  </si>
  <si>
    <t>1460</t>
    <phoneticPr fontId="7" type="noConversion"/>
  </si>
  <si>
    <t>1610</t>
    <phoneticPr fontId="7" type="noConversion"/>
  </si>
  <si>
    <t>1760</t>
    <phoneticPr fontId="7" type="noConversion"/>
  </si>
  <si>
    <t>3</t>
    <phoneticPr fontId="7" type="noConversion"/>
  </si>
  <si>
    <t>8</t>
    <phoneticPr fontId="7" type="noConversion"/>
  </si>
  <si>
    <t>8</t>
    <phoneticPr fontId="1" type="noConversion"/>
  </si>
  <si>
    <t>2</t>
    <phoneticPr fontId="7" type="noConversion"/>
  </si>
  <si>
    <t>#</t>
    <phoneticPr fontId="7" type="noConversion"/>
  </si>
  <si>
    <t>游戏中累积获得[F8BA27]金币[-]总量[F8BA27]100[-]</t>
    <phoneticPr fontId="7" type="noConversion"/>
  </si>
  <si>
    <t>游戏中累积获得[F8BA27]金币[-]总量[F8BA27]100[-]</t>
    <phoneticPr fontId="7" type="noConversion"/>
  </si>
  <si>
    <t>游戏中累积获得[F8BA27]金币[-]总量[F8BA27]350[-]</t>
    <phoneticPr fontId="7" type="noConversion"/>
  </si>
  <si>
    <t>#</t>
    <phoneticPr fontId="7" type="noConversion"/>
  </si>
  <si>
    <t>100</t>
    <phoneticPr fontId="7" type="noConversion"/>
  </si>
  <si>
    <t>350</t>
    <phoneticPr fontId="7" type="noConversion"/>
  </si>
  <si>
    <t>14</t>
    <phoneticPr fontId="7" type="noConversion"/>
  </si>
  <si>
    <t>1</t>
    <phoneticPr fontId="7" type="noConversion"/>
  </si>
  <si>
    <t>0</t>
    <phoneticPr fontId="7" type="noConversion"/>
  </si>
  <si>
    <t>0</t>
    <phoneticPr fontId="7" type="noConversion"/>
  </si>
  <si>
    <t>巡回赛达到[00F6FF]2[-]次全明星段位</t>
    <phoneticPr fontId="7" type="noConversion"/>
  </si>
  <si>
    <t>巡回赛最高达到[00F6FF]替补[-]段位以上</t>
    <phoneticPr fontId="7" type="noConversion"/>
  </si>
  <si>
    <t>巡回赛最高达到[00F6FF]主力[-]段位以上</t>
    <phoneticPr fontId="7" type="noConversion"/>
  </si>
  <si>
    <t>巡回赛最高达到[00F6FF]球星[-]段位以上</t>
    <phoneticPr fontId="7" type="noConversion"/>
  </si>
  <si>
    <t>巡回赛最高达到[00F6FF]全明星[-]段位</t>
    <phoneticPr fontId="7" type="noConversion"/>
  </si>
  <si>
    <t>4:10001</t>
    <phoneticPr fontId="7" type="noConversion"/>
  </si>
  <si>
    <t>4:10002</t>
    <phoneticPr fontId="7" type="noConversion"/>
  </si>
  <si>
    <t>4:10003</t>
    <phoneticPr fontId="7" type="noConversion"/>
  </si>
  <si>
    <t>4:10003</t>
    <phoneticPr fontId="7" type="noConversion"/>
  </si>
  <si>
    <t>4:10004</t>
    <phoneticPr fontId="7" type="noConversion"/>
  </si>
  <si>
    <t>4:10005</t>
    <phoneticPr fontId="7" type="noConversion"/>
  </si>
  <si>
    <t>30</t>
    <phoneticPr fontId="7" type="noConversion"/>
  </si>
  <si>
    <t>10105</t>
    <phoneticPr fontId="1" type="noConversion"/>
  </si>
  <si>
    <t>10205</t>
    <phoneticPr fontId="7" type="noConversion"/>
  </si>
  <si>
    <t>10305</t>
    <phoneticPr fontId="7" type="noConversion"/>
  </si>
  <si>
    <t>10405</t>
    <phoneticPr fontId="7" type="noConversion"/>
  </si>
  <si>
    <t>10505</t>
    <phoneticPr fontId="7" type="noConversion"/>
  </si>
  <si>
    <t>10605</t>
    <phoneticPr fontId="7" type="noConversion"/>
  </si>
  <si>
    <t>10705</t>
    <phoneticPr fontId="7" type="noConversion"/>
  </si>
  <si>
    <t>10805</t>
    <phoneticPr fontId="7" type="noConversion"/>
  </si>
  <si>
    <t>10905</t>
    <phoneticPr fontId="7" type="noConversion"/>
  </si>
  <si>
    <t>通关生涯模式[F8BA27]第7章[-]</t>
    <phoneticPr fontId="7" type="noConversion"/>
  </si>
  <si>
    <t>通关生涯模式[F8BA27]第8章[-]</t>
    <phoneticPr fontId="7" type="noConversion"/>
  </si>
  <si>
    <t>通关生涯模式[F8BA27]第9章[-]</t>
    <phoneticPr fontId="7" type="noConversion"/>
  </si>
  <si>
    <t>3星通关生涯模式[F8BA27]第一章-第5关[-]</t>
    <phoneticPr fontId="1" type="noConversion"/>
  </si>
  <si>
    <t>10105</t>
    <phoneticPr fontId="7" type="noConversion"/>
  </si>
  <si>
    <r>
      <t>1020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</si>
  <si>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t>三星通关生涯模式[F8BA27]第二章-第5关[-]</t>
    <phoneticPr fontId="1" type="noConversion"/>
  </si>
  <si>
    <r>
      <t>1030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</si>
  <si>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r>
      <t>1040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</si>
  <si>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r>
      <t>1050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</si>
  <si>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r>
      <t>1030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</si>
  <si>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t>三星通关生涯模式[F8BA27]第九章-第5关[-]</t>
    <phoneticPr fontId="1" type="noConversion"/>
  </si>
  <si>
    <r>
      <t>109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</si>
  <si>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r>
      <t>10</t>
    </r>
    <r>
      <rPr>
        <sz val="11"/>
        <color theme="1"/>
        <rFont val="宋体"/>
        <family val="2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5</t>
    </r>
    <phoneticPr fontId="7" type="noConversion"/>
  </si>
  <si>
    <t>通关生涯模式[F8BA27]第八章-第5关[-]</t>
    <phoneticPr fontId="1" type="noConversion"/>
  </si>
  <si>
    <t>10605</t>
    <phoneticPr fontId="7" type="noConversion"/>
  </si>
  <si>
    <t>三星通关生涯模式[F8BA27]第六章-第5关[-]</t>
    <phoneticPr fontId="1" type="noConversion"/>
  </si>
  <si>
    <t>通关生涯模式[F8BA27]第五章-第5关[-]</t>
    <phoneticPr fontId="1" type="noConversion"/>
  </si>
  <si>
    <t>三星通关生涯模式[F8BA27]第四章-第5关[-]</t>
    <phoneticPr fontId="1" type="noConversion"/>
  </si>
  <si>
    <t>通关生涯模式[F8BA27]第四章-第5关[-]</t>
    <phoneticPr fontId="1" type="noConversion"/>
  </si>
  <si>
    <t>三星通关生涯模式[F8BA27]第三章-第5关[-]</t>
    <phoneticPr fontId="1" type="noConversion"/>
  </si>
  <si>
    <t>通关生涯模式[F8BA27]第三章-第5关[-]</t>
    <phoneticPr fontId="1" type="noConversion"/>
  </si>
  <si>
    <t>4:10009</t>
    <phoneticPr fontId="7" type="noConversion"/>
  </si>
  <si>
    <t>4:10008</t>
    <phoneticPr fontId="7" type="noConversion"/>
  </si>
  <si>
    <t>4:10006</t>
    <phoneticPr fontId="7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</si>
</sst>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/>
      <right style="thin">
        <color indexed="17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3">
    <xf numFmtId="0" fontId="0" fillId="0" borderId="0">
      <alignment vertical="center"/>
    </xf>
    <xf numFmtId="0" fontId="5" fillId="0" borderId="0">
      <alignment vertical="center"/>
    </xf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187">
    <xf numFmtId="0" fontId="0" fillId="0" borderId="0" xfId="0">
      <alignment vertical="center"/>
    </xf>
    <xf numFmtId="0" fontId="9" fillId="3" borderId="5" xfId="0" applyNumberFormat="1" applyFont="1" applyFill="1" applyBorder="1">
      <alignment vertical="center"/>
    </xf>
    <xf numFmtId="0" fontId="0" fillId="4" borderId="5" xfId="0" applyNumberFormat="1" applyFill="1" applyBorder="1">
      <alignment vertical="center"/>
    </xf>
    <xf numFmtId="0" fontId="7" fillId="0" borderId="4" xfId="0" applyNumberFormat="1" applyFont="1" applyFill="1" applyBorder="1">
      <alignment vertical="center"/>
    </xf>
    <xf numFmtId="0" fontId="5" fillId="0" borderId="0" xfId="1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4" xfId="0" applyNumberFormat="1" applyFill="1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0" fontId="0" fillId="4" borderId="2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0" fillId="5" borderId="2" xfId="0" applyNumberFormat="1" applyFill="1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5" borderId="5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6" xfId="0" applyNumberFormat="1" applyFill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5" xfId="0" applyNumberForma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49" fontId="0" fillId="0" borderId="0" xfId="0" applyNumberFormat="1" applyBorder="1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49" fontId="5" fillId="2" borderId="1" xfId="1" applyNumberFormat="1" applyFill="1" applyBorder="1" applyAlignment="1">
      <alignment horizontal="left" vertical="center"/>
    </xf>
    <xf numFmtId="49" fontId="0" fillId="2" borderId="2" xfId="0" applyNumberFormat="1" applyFill="1" applyBorder="1" applyAlignment="1">
      <alignment horizontal="left" vertical="center"/>
    </xf>
    <xf numFmtId="49" fontId="0" fillId="2" borderId="3" xfId="0" applyNumberFormat="1" applyFill="1" applyBorder="1" applyAlignment="1">
      <alignment horizontal="left" vertical="center"/>
    </xf>
    <xf numFmtId="49" fontId="0" fillId="2" borderId="8" xfId="0" applyNumberFormat="1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9" xfId="0" applyNumberFormat="1" applyBorder="1" applyAlignment="1">
      <alignment horizontal="left" vertical="center"/>
    </xf>
    <xf numFmtId="49" fontId="11" fillId="0" borderId="0" xfId="2" applyNumberFormat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49" fontId="12" fillId="0" borderId="1" xfId="3" applyNumberFormat="1" applyFont="1" applyBorder="1" applyAlignment="1">
      <alignment horizontal="left" vertical="center"/>
    </xf>
    <xf numFmtId="49" fontId="11" fillId="0" borderId="0" xfId="4" applyNumberFormat="1" applyAlignment="1">
      <alignment horizontal="left"/>
    </xf>
    <xf numFmtId="49" fontId="12" fillId="0" borderId="1" xfId="0" applyNumberFormat="1" applyFont="1" applyFill="1" applyBorder="1" applyAlignment="1">
      <alignment horizontal="left" vertical="center"/>
    </xf>
    <xf numFmtId="49" fontId="0" fillId="0" borderId="9" xfId="0" applyNumberForma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12" fillId="0" borderId="1" xfId="0" applyNumberFormat="1" applyFont="1" applyFill="1" applyBorder="1">
      <alignment vertical="center"/>
    </xf>
    <xf numFmtId="0" fontId="0" fillId="0" borderId="1" xfId="0" applyNumberFormat="1" applyBorder="1">
      <alignment vertical="center"/>
    </xf>
    <xf numFmtId="49" fontId="7" fillId="0" borderId="1" xfId="0" applyNumberFormat="1" applyFon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13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3" borderId="1" xfId="0" applyNumberFormat="1" applyFont="1" applyFill="1" applyBorder="1" applyAlignment="1">
      <alignment horizontal="left" vertical="center"/>
    </xf>
    <xf numFmtId="49" fontId="11" fillId="0" borderId="0" xfId="5" applyNumberFormat="1" applyAlignment="1">
      <alignment horizontal="left"/>
    </xf>
    <xf numFmtId="49" fontId="10" fillId="0" borderId="9" xfId="0" applyNumberFormat="1" applyFont="1" applyFill="1" applyBorder="1" applyAlignment="1">
      <alignment horizontal="left" vertical="center"/>
    </xf>
    <xf numFmtId="49" fontId="11" fillId="0" borderId="0" xfId="6" applyNumberFormat="1" applyAlignment="1">
      <alignment horizontal="left"/>
    </xf>
    <xf numFmtId="49" fontId="13" fillId="0" borderId="9" xfId="0" applyNumberFormat="1" applyFont="1" applyFill="1" applyBorder="1" applyAlignment="1">
      <alignment horizontal="left" vertical="center"/>
    </xf>
    <xf numFmtId="49" fontId="13" fillId="0" borderId="9" xfId="0" applyNumberFormat="1" applyFont="1" applyFill="1" applyBorder="1">
      <alignment vertical="center"/>
    </xf>
    <xf numFmtId="0" fontId="13" fillId="0" borderId="1" xfId="0" applyNumberFormat="1" applyFont="1" applyBorder="1">
      <alignment vertical="center"/>
    </xf>
    <xf numFmtId="49" fontId="10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Fill="1" applyBorder="1">
      <alignment vertical="center"/>
    </xf>
    <xf numFmtId="49" fontId="13" fillId="0" borderId="1" xfId="0" applyNumberFormat="1" applyFont="1" applyBorder="1">
      <alignment vertical="center"/>
    </xf>
    <xf numFmtId="49" fontId="0" fillId="0" borderId="1" xfId="0" applyNumberFormat="1" applyFont="1" applyBorder="1">
      <alignment vertical="center"/>
    </xf>
    <xf numFmtId="49" fontId="14" fillId="0" borderId="1" xfId="0" applyNumberFormat="1" applyFont="1" applyBorder="1">
      <alignment vertical="center"/>
    </xf>
    <xf numFmtId="49" fontId="0" fillId="6" borderId="1" xfId="0" applyNumberFormat="1" applyFill="1" applyBorder="1">
      <alignment vertical="center"/>
    </xf>
    <xf numFmtId="49" fontId="10" fillId="0" borderId="9" xfId="0" applyNumberFormat="1" applyFont="1" applyFill="1" applyBorder="1">
      <alignment vertical="center"/>
    </xf>
    <xf numFmtId="49" fontId="10" fillId="0" borderId="1" xfId="0" applyNumberFormat="1" applyFont="1" applyBorder="1">
      <alignment vertical="center"/>
    </xf>
    <xf numFmtId="49" fontId="13" fillId="0" borderId="1" xfId="0" applyNumberFormat="1" applyFont="1" applyFill="1" applyBorder="1">
      <alignment vertical="center"/>
    </xf>
    <xf numFmtId="49" fontId="13" fillId="0" borderId="1" xfId="0" applyNumberFormat="1" applyFont="1" applyBorder="1" applyAlignment="1">
      <alignment horizontal="center" vertical="center"/>
    </xf>
    <xf numFmtId="49" fontId="11" fillId="0" borderId="0" xfId="7" applyNumberFormat="1" applyAlignment="1">
      <alignment horizontal="left"/>
    </xf>
    <xf numFmtId="49" fontId="7" fillId="0" borderId="1" xfId="3" applyNumberFormat="1" applyFont="1" applyBorder="1" applyAlignment="1">
      <alignment horizontal="left" vertical="center"/>
    </xf>
    <xf numFmtId="49" fontId="11" fillId="0" borderId="0" xfId="8" applyNumberFormat="1" applyAlignment="1">
      <alignment horizontal="left"/>
    </xf>
    <xf numFmtId="49" fontId="7" fillId="0" borderId="1" xfId="3" applyNumberFormat="1" applyFont="1" applyFill="1" applyBorder="1" applyAlignment="1">
      <alignment horizontal="left" vertical="center"/>
    </xf>
    <xf numFmtId="0" fontId="11" fillId="0" borderId="0" xfId="7"/>
    <xf numFmtId="49" fontId="13" fillId="0" borderId="10" xfId="0" applyNumberFormat="1" applyFont="1" applyFill="1" applyBorder="1">
      <alignment vertical="center"/>
    </xf>
    <xf numFmtId="0" fontId="13" fillId="0" borderId="10" xfId="0" applyNumberFormat="1" applyFont="1" applyBorder="1">
      <alignment vertical="center"/>
    </xf>
    <xf numFmtId="49" fontId="13" fillId="0" borderId="10" xfId="0" applyNumberFormat="1" applyFont="1" applyBorder="1">
      <alignment vertical="center"/>
    </xf>
    <xf numFmtId="49" fontId="11" fillId="0" borderId="0" xfId="9" applyNumberFormat="1" applyAlignment="1">
      <alignment horizontal="left"/>
    </xf>
    <xf numFmtId="49" fontId="11" fillId="0" borderId="0" xfId="10" applyNumberFormat="1" applyAlignment="1">
      <alignment horizontal="left"/>
    </xf>
    <xf numFmtId="49" fontId="11" fillId="0" borderId="0" xfId="11" applyNumberFormat="1" applyAlignment="1">
      <alignment horizontal="left"/>
    </xf>
    <xf numFmtId="49" fontId="8" fillId="0" borderId="1" xfId="3" applyNumberFormat="1" applyBorder="1" applyAlignment="1">
      <alignment horizontal="left" vertical="center"/>
    </xf>
    <xf numFmtId="49" fontId="8" fillId="0" borderId="1" xfId="3" applyNumberFormat="1" applyFont="1" applyBorder="1" applyAlignment="1">
      <alignment horizontal="left" vertical="center"/>
    </xf>
    <xf numFmtId="49" fontId="0" fillId="0" borderId="1" xfId="3" applyNumberFormat="1" applyFont="1" applyBorder="1" applyAlignment="1">
      <alignment horizontal="left" vertical="center"/>
    </xf>
    <xf numFmtId="49" fontId="11" fillId="0" borderId="0" xfId="12" applyNumberFormat="1" applyAlignment="1">
      <alignment horizontal="left"/>
    </xf>
    <xf numFmtId="49" fontId="11" fillId="0" borderId="0" xfId="13" applyNumberFormat="1" applyAlignment="1">
      <alignment horizontal="left"/>
    </xf>
    <xf numFmtId="49" fontId="15" fillId="0" borderId="1" xfId="14" applyNumberFormat="1" applyFont="1" applyBorder="1"/>
    <xf numFmtId="49" fontId="8" fillId="0" borderId="1" xfId="3" applyNumberFormat="1" applyFont="1" applyBorder="1">
      <alignment vertical="center"/>
    </xf>
    <xf numFmtId="49" fontId="11" fillId="0" borderId="0" xfId="13" applyNumberFormat="1"/>
    <xf numFmtId="49" fontId="11" fillId="0" borderId="0" xfId="15" applyNumberFormat="1" applyAlignment="1">
      <alignment horizontal="left"/>
    </xf>
    <xf numFmtId="49" fontId="12" fillId="0" borderId="1" xfId="3" applyNumberFormat="1" applyFont="1" applyFill="1" applyBorder="1" applyAlignment="1">
      <alignment horizontal="left" vertical="center"/>
    </xf>
    <xf numFmtId="49" fontId="11" fillId="0" borderId="0" xfId="16" applyNumberFormat="1" applyAlignment="1">
      <alignment horizontal="left"/>
    </xf>
    <xf numFmtId="49" fontId="11" fillId="0" borderId="0" xfId="17" applyNumberFormat="1" applyAlignment="1">
      <alignment horizontal="left"/>
    </xf>
    <xf numFmtId="49" fontId="16" fillId="0" borderId="1" xfId="18" applyNumberFormat="1" applyFont="1" applyBorder="1" applyAlignment="1">
      <alignment horizontal="left"/>
    </xf>
    <xf numFmtId="49" fontId="11" fillId="0" borderId="0" xfId="19" applyNumberFormat="1" applyAlignment="1">
      <alignment horizontal="left"/>
    </xf>
    <xf numFmtId="0" fontId="11" fillId="0" borderId="0" xfId="20"/>
    <xf numFmtId="0" fontId="15" fillId="0" borderId="1" xfId="21" applyFont="1" applyBorder="1"/>
    <xf numFmtId="49" fontId="7" fillId="3" borderId="1" xfId="3" applyNumberFormat="1" applyFont="1" applyFill="1" applyBorder="1">
      <alignment vertical="center"/>
    </xf>
    <xf numFmtId="49" fontId="11" fillId="0" borderId="1" xfId="22" applyNumberFormat="1" applyBorder="1"/>
    <xf numFmtId="0" fontId="11" fillId="0" borderId="0" xfId="23"/>
    <xf numFmtId="49" fontId="11" fillId="0" borderId="0" xfId="24" applyNumberFormat="1"/>
    <xf numFmtId="49" fontId="0" fillId="0" borderId="0" xfId="0" applyNumberFormat="1" applyAlignment="1">
      <alignment horizontal="left" vertical="center"/>
    </xf>
    <xf numFmtId="49" fontId="11" fillId="0" borderId="0" xfId="20" applyNumberFormat="1" applyAlignment="1">
      <alignment horizontal="left"/>
    </xf>
    <xf numFmtId="49" fontId="15" fillId="0" borderId="1" xfId="21" applyNumberFormat="1" applyFont="1" applyBorder="1" applyAlignment="1">
      <alignment horizontal="left"/>
    </xf>
    <xf numFmtId="49" fontId="7" fillId="3" borderId="1" xfId="3" applyNumberFormat="1" applyFont="1" applyFill="1" applyBorder="1" applyAlignment="1">
      <alignment horizontal="left" vertical="center"/>
    </xf>
    <xf numFmtId="49" fontId="11" fillId="0" borderId="1" xfId="22" applyNumberFormat="1" applyBorder="1" applyAlignment="1">
      <alignment horizontal="left"/>
    </xf>
    <xf numFmtId="49" fontId="11" fillId="0" borderId="0" xfId="23" applyNumberFormat="1" applyAlignment="1">
      <alignment horizontal="left"/>
    </xf>
    <xf numFmtId="49" fontId="11" fillId="0" borderId="0" xfId="25" applyNumberFormat="1" applyAlignment="1">
      <alignment horizontal="left"/>
    </xf>
    <xf numFmtId="49" fontId="11" fillId="0" borderId="0" xfId="26" applyNumberFormat="1" applyAlignment="1">
      <alignment horizontal="left"/>
    </xf>
    <xf numFmtId="49" fontId="15" fillId="0" borderId="1" xfId="27" applyNumberFormat="1" applyFont="1" applyBorder="1" applyAlignment="1">
      <alignment horizontal="left"/>
    </xf>
    <xf numFmtId="49" fontId="11" fillId="0" borderId="0" xfId="28" applyNumberFormat="1" applyAlignment="1">
      <alignment horizontal="left"/>
    </xf>
    <xf numFmtId="49" fontId="11" fillId="0" borderId="0" xfId="29" applyNumberFormat="1" applyAlignment="1">
      <alignment horizontal="left"/>
    </xf>
    <xf numFmtId="49" fontId="15" fillId="0" borderId="1" xfId="30" applyNumberFormat="1" applyFont="1" applyBorder="1" applyAlignment="1">
      <alignment horizontal="left"/>
    </xf>
    <xf numFmtId="49" fontId="15" fillId="0" borderId="1" xfId="30" applyNumberFormat="1" applyFont="1" applyBorder="1"/>
    <xf numFmtId="0" fontId="11" fillId="0" borderId="0" xfId="26"/>
    <xf numFmtId="49" fontId="11" fillId="0" borderId="0" xfId="22" applyNumberFormat="1"/>
    <xf numFmtId="0" fontId="11" fillId="0" borderId="0" xfId="31"/>
    <xf numFmtId="49" fontId="11" fillId="0" borderId="0" xfId="32" applyNumberFormat="1"/>
    <xf numFmtId="49" fontId="11" fillId="0" borderId="0" xfId="31" applyNumberFormat="1" applyAlignment="1">
      <alignment horizontal="left"/>
    </xf>
    <xf numFmtId="49" fontId="11" fillId="0" borderId="0" xfId="32" applyNumberFormat="1" applyAlignment="1">
      <alignment horizontal="left"/>
    </xf>
    <xf numFmtId="49" fontId="11" fillId="0" borderId="0" xfId="33" applyNumberFormat="1" applyAlignment="1">
      <alignment horizontal="left"/>
    </xf>
    <xf numFmtId="49" fontId="15" fillId="0" borderId="1" xfId="34" applyNumberFormat="1" applyFont="1" applyBorder="1" applyAlignment="1">
      <alignment horizontal="left"/>
    </xf>
    <xf numFmtId="49" fontId="11" fillId="0" borderId="0" xfId="35" applyNumberFormat="1" applyAlignment="1">
      <alignment horizontal="left"/>
    </xf>
    <xf numFmtId="49" fontId="15" fillId="0" borderId="1" xfId="36" applyNumberFormat="1" applyFont="1" applyBorder="1" applyAlignment="1">
      <alignment horizontal="left"/>
    </xf>
    <xf numFmtId="49" fontId="11" fillId="0" borderId="0" xfId="37" applyNumberFormat="1" applyAlignment="1">
      <alignment horizontal="left"/>
    </xf>
    <xf numFmtId="49" fontId="11" fillId="0" borderId="0" xfId="38" applyNumberFormat="1" applyAlignment="1">
      <alignment horizontal="left"/>
    </xf>
    <xf numFmtId="49" fontId="11" fillId="0" borderId="0" xfId="39" applyNumberFormat="1" applyAlignment="1">
      <alignment horizontal="left"/>
    </xf>
    <xf numFmtId="49" fontId="15" fillId="0" borderId="1" xfId="40" applyNumberFormat="1" applyFont="1" applyBorder="1" applyAlignment="1">
      <alignment horizontal="left"/>
    </xf>
    <xf numFmtId="49" fontId="11" fillId="0" borderId="1" xfId="41" applyNumberFormat="1" applyBorder="1" applyAlignment="1">
      <alignment horizontal="left"/>
    </xf>
    <xf numFmtId="49" fontId="11" fillId="0" borderId="0" xfId="41" applyNumberFormat="1" applyAlignment="1">
      <alignment horizontal="left"/>
    </xf>
    <xf numFmtId="49" fontId="11" fillId="0" borderId="0" xfId="42" applyNumberFormat="1" applyAlignment="1">
      <alignment horizontal="left"/>
    </xf>
    <xf numFmtId="49" fontId="11" fillId="0" borderId="0" xfId="43" applyNumberFormat="1" applyAlignment="1">
      <alignment horizontal="left"/>
    </xf>
    <xf numFmtId="49" fontId="15" fillId="0" borderId="1" xfId="44" applyNumberFormat="1" applyFont="1" applyBorder="1" applyAlignment="1">
      <alignment horizontal="left"/>
    </xf>
    <xf numFmtId="49" fontId="7" fillId="0" borderId="1" xfId="45" applyNumberFormat="1" applyFont="1" applyFill="1" applyBorder="1" applyAlignment="1">
      <alignment horizontal="left" vertical="center"/>
    </xf>
    <xf numFmtId="49" fontId="11" fillId="0" borderId="1" xfId="46" applyNumberFormat="1" applyBorder="1" applyAlignment="1">
      <alignment horizontal="left"/>
    </xf>
    <xf numFmtId="49" fontId="11" fillId="0" borderId="0" xfId="47" applyNumberFormat="1" applyAlignment="1">
      <alignment horizontal="left"/>
    </xf>
    <xf numFmtId="49" fontId="11" fillId="0" borderId="0" xfId="48" applyNumberFormat="1" applyAlignment="1">
      <alignment horizontal="left"/>
    </xf>
    <xf numFmtId="49" fontId="7" fillId="3" borderId="1" xfId="45" applyNumberFormat="1" applyFont="1" applyFill="1" applyBorder="1" applyAlignment="1">
      <alignment horizontal="left" vertical="center"/>
    </xf>
    <xf numFmtId="49" fontId="11" fillId="0" borderId="0" xfId="49" applyNumberFormat="1" applyAlignment="1">
      <alignment horizontal="left"/>
    </xf>
    <xf numFmtId="49" fontId="15" fillId="0" borderId="1" xfId="50" applyNumberFormat="1" applyFont="1" applyBorder="1" applyAlignment="1">
      <alignment horizontal="left"/>
    </xf>
    <xf numFmtId="49" fontId="11" fillId="0" borderId="0" xfId="51" applyNumberFormat="1" applyAlignment="1">
      <alignment horizontal="left"/>
    </xf>
    <xf numFmtId="49" fontId="11" fillId="0" borderId="0" xfId="52" applyNumberFormat="1" applyAlignment="1">
      <alignment horizontal="left"/>
    </xf>
    <xf numFmtId="49" fontId="15" fillId="0" borderId="1" xfId="53" applyNumberFormat="1" applyFont="1" applyBorder="1" applyAlignment="1">
      <alignment horizontal="left"/>
    </xf>
    <xf numFmtId="49" fontId="11" fillId="0" borderId="0" xfId="54" applyNumberFormat="1" applyAlignment="1">
      <alignment horizontal="left"/>
    </xf>
    <xf numFmtId="49" fontId="11" fillId="0" borderId="0" xfId="46" applyNumberFormat="1" applyAlignment="1">
      <alignment horizontal="left"/>
    </xf>
    <xf numFmtId="49" fontId="11" fillId="0" borderId="0" xfId="55" applyNumberFormat="1" applyAlignment="1">
      <alignment horizontal="left"/>
    </xf>
    <xf numFmtId="49" fontId="11" fillId="0" borderId="0" xfId="56" applyNumberFormat="1" applyAlignment="1">
      <alignment horizontal="left"/>
    </xf>
    <xf numFmtId="49" fontId="15" fillId="0" borderId="1" xfId="57" applyNumberFormat="1" applyFont="1" applyBorder="1" applyAlignment="1">
      <alignment horizontal="left"/>
    </xf>
    <xf numFmtId="49" fontId="11" fillId="0" borderId="1" xfId="58" applyNumberFormat="1" applyBorder="1" applyAlignment="1">
      <alignment horizontal="left"/>
    </xf>
    <xf numFmtId="49" fontId="11" fillId="0" borderId="0" xfId="58" applyNumberFormat="1" applyAlignment="1">
      <alignment horizontal="left"/>
    </xf>
    <xf numFmtId="49" fontId="11" fillId="0" borderId="0" xfId="59" applyNumberFormat="1" applyAlignment="1">
      <alignment horizontal="left"/>
    </xf>
    <xf numFmtId="49" fontId="8" fillId="0" borderId="9" xfId="0" applyNumberFormat="1" applyFont="1" applyBorder="1" applyAlignment="1">
      <alignment horizontal="left" vertical="center"/>
    </xf>
    <xf numFmtId="49" fontId="11" fillId="0" borderId="0" xfId="60" applyNumberFormat="1" applyAlignment="1">
      <alignment horizontal="left"/>
    </xf>
    <xf numFmtId="49" fontId="8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3" borderId="1" xfId="0" applyNumberFormat="1" applyFont="1" applyFill="1" applyBorder="1" applyAlignment="1">
      <alignment horizontal="left" vertical="center"/>
    </xf>
    <xf numFmtId="49" fontId="11" fillId="0" borderId="0" xfId="61" applyNumberFormat="1" applyAlignment="1">
      <alignment horizontal="left"/>
    </xf>
    <xf numFmtId="49" fontId="11" fillId="0" borderId="0" xfId="62" applyNumberFormat="1" applyBorder="1" applyAlignment="1">
      <alignment horizontal="left"/>
    </xf>
    <xf numFmtId="49" fontId="11" fillId="0" borderId="0" xfId="63" applyNumberFormat="1" applyAlignment="1">
      <alignment horizontal="left"/>
    </xf>
    <xf numFmtId="49" fontId="11" fillId="0" borderId="1" xfId="64" applyNumberFormat="1" applyBorder="1" applyAlignment="1">
      <alignment horizontal="left"/>
    </xf>
    <xf numFmtId="49" fontId="8" fillId="0" borderId="9" xfId="0" applyNumberFormat="1" applyFont="1" applyFill="1" applyBorder="1" applyAlignment="1">
      <alignment horizontal="left" vertical="center"/>
    </xf>
    <xf numFmtId="49" fontId="14" fillId="0" borderId="1" xfId="0" applyNumberFormat="1" applyFont="1" applyBorder="1" applyAlignment="1">
      <alignment horizontal="left" vertical="center"/>
    </xf>
    <xf numFmtId="49" fontId="8" fillId="0" borderId="0" xfId="65" applyNumberFormat="1" applyBorder="1" applyAlignment="1">
      <alignment horizontal="left" vertical="center"/>
    </xf>
    <xf numFmtId="49" fontId="11" fillId="0" borderId="1" xfId="64" quotePrefix="1" applyNumberFormat="1" applyBorder="1" applyAlignment="1">
      <alignment horizontal="left"/>
    </xf>
    <xf numFmtId="49" fontId="14" fillId="0" borderId="9" xfId="0" applyNumberFormat="1" applyFont="1" applyFill="1" applyBorder="1" applyAlignment="1">
      <alignment horizontal="left" vertical="center"/>
    </xf>
    <xf numFmtId="49" fontId="11" fillId="0" borderId="0" xfId="62" applyNumberFormat="1" applyFill="1" applyBorder="1" applyAlignment="1">
      <alignment horizontal="left"/>
    </xf>
    <xf numFmtId="49" fontId="11" fillId="0" borderId="0" xfId="64" applyNumberFormat="1" applyAlignment="1">
      <alignment horizontal="left"/>
    </xf>
    <xf numFmtId="49" fontId="11" fillId="0" borderId="0" xfId="66" applyNumberFormat="1" applyAlignment="1">
      <alignment horizontal="left"/>
    </xf>
    <xf numFmtId="49" fontId="11" fillId="0" borderId="0" xfId="67" applyNumberFormat="1" applyAlignment="1">
      <alignment horizontal="left"/>
    </xf>
    <xf numFmtId="49" fontId="11" fillId="0" borderId="0" xfId="68" applyNumberFormat="1" applyAlignment="1">
      <alignment horizontal="left"/>
    </xf>
    <xf numFmtId="49" fontId="8" fillId="0" borderId="0" xfId="65" applyNumberFormat="1" applyFill="1" applyBorder="1" applyAlignment="1">
      <alignment horizontal="left" vertical="center"/>
    </xf>
    <xf numFmtId="49" fontId="11" fillId="0" borderId="0" xfId="69" applyNumberFormat="1" applyAlignment="1">
      <alignment horizontal="left"/>
    </xf>
    <xf numFmtId="49" fontId="8" fillId="0" borderId="0" xfId="0" applyNumberFormat="1" applyFont="1" applyAlignment="1">
      <alignment horizontal="left" vertical="center"/>
    </xf>
    <xf numFmtId="49" fontId="11" fillId="0" borderId="0" xfId="70" applyNumberFormat="1" applyAlignment="1">
      <alignment horizontal="left"/>
    </xf>
    <xf numFmtId="49" fontId="15" fillId="0" borderId="0" xfId="0" applyNumberFormat="1" applyFont="1" applyBorder="1" applyAlignment="1">
      <alignment horizontal="left" vertical="center"/>
    </xf>
    <xf numFmtId="49" fontId="11" fillId="0" borderId="0" xfId="71" applyNumberFormat="1" applyAlignment="1">
      <alignment horizontal="left"/>
    </xf>
    <xf numFmtId="49" fontId="15" fillId="0" borderId="0" xfId="0" applyNumberFormat="1" applyFont="1" applyFill="1" applyBorder="1" applyAlignment="1">
      <alignment horizontal="left" vertical="center"/>
    </xf>
    <xf numFmtId="49" fontId="11" fillId="0" borderId="0" xfId="72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0" fontId="10" fillId="0" borderId="2" xfId="0" applyNumberFormat="1" applyFont="1" applyFill="1" applyBorder="1" applyAlignment="1">
      <alignment horizontal="left" vertical="center"/>
    </xf>
    <xf numFmtId="0" fontId="13" fillId="0" borderId="2" xfId="0" applyNumberFormat="1" applyFont="1" applyFill="1" applyBorder="1">
      <alignment vertical="center"/>
    </xf>
    <xf numFmtId="49" fontId="13" fillId="0" borderId="0" xfId="0" applyNumberFormat="1" applyFont="1" applyBorder="1">
      <alignment vertical="center"/>
    </xf>
    <xf numFmtId="0" fontId="0" fillId="0" borderId="0" xfId="0">
      <alignment vertical="center"/>
    </xf>
    <xf numFmtId="49" fontId="0" fillId="0" borderId="0" xfId="65" applyNumberFormat="1" applyFont="1" applyBorder="1" applyAlignment="1">
      <alignment horizontal="left" vertical="center"/>
    </xf>
    <xf numFmtId="0" fontId="0" fillId="0" borderId="3" xfId="0" applyNumberForma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>
      <alignment vertical="center"/>
    </xf>
  </cellXfs>
  <cellStyles count="73">
    <cellStyle name="常规" xfId="0" builtinId="0"/>
    <cellStyle name="常规 10" xfId="46"/>
    <cellStyle name="常规 11" xfId="24"/>
    <cellStyle name="常规 17" xfId="55"/>
    <cellStyle name="常规 2" xfId="1"/>
    <cellStyle name="常规 24" xfId="32"/>
    <cellStyle name="常规 25" xfId="4"/>
    <cellStyle name="常规 26" xfId="5"/>
    <cellStyle name="常规 28" xfId="13"/>
    <cellStyle name="常规 29" xfId="14"/>
    <cellStyle name="常规 3" xfId="30"/>
    <cellStyle name="常规 30" xfId="60"/>
    <cellStyle name="常规 31" xfId="16"/>
    <cellStyle name="常规 32" xfId="66"/>
    <cellStyle name="常规 33" xfId="67"/>
    <cellStyle name="常规 34" xfId="68"/>
    <cellStyle name="常规 35" xfId="69"/>
    <cellStyle name="常规 36" xfId="70"/>
    <cellStyle name="常规 37" xfId="71"/>
    <cellStyle name="常规 38" xfId="72"/>
    <cellStyle name="常规 39" xfId="61"/>
    <cellStyle name="常规 39 2" xfId="65"/>
    <cellStyle name="常规 40" xfId="12"/>
    <cellStyle name="常规 41" xfId="63"/>
    <cellStyle name="常规 42" xfId="64"/>
    <cellStyle name="常规 43" xfId="62"/>
    <cellStyle name="常规 45" xfId="6"/>
    <cellStyle name="常规 46" xfId="2"/>
    <cellStyle name="常规 47" xfId="9"/>
    <cellStyle name="常规 48" xfId="7"/>
    <cellStyle name="常规 49" xfId="15"/>
    <cellStyle name="常规 5" xfId="3"/>
    <cellStyle name="常规 5 10" xfId="45"/>
    <cellStyle name="常规 50" xfId="17"/>
    <cellStyle name="常规 51" xfId="18"/>
    <cellStyle name="常规 52" xfId="21"/>
    <cellStyle name="常规 53" xfId="11"/>
    <cellStyle name="常规 54" xfId="20"/>
    <cellStyle name="常规 55" xfId="23"/>
    <cellStyle name="常规 57" xfId="34"/>
    <cellStyle name="常规 58" xfId="31"/>
    <cellStyle name="常规 61" xfId="10"/>
    <cellStyle name="常规 62" xfId="27"/>
    <cellStyle name="常规 64" xfId="26"/>
    <cellStyle name="常规 66" xfId="28"/>
    <cellStyle name="常规 68" xfId="29"/>
    <cellStyle name="常规 69" xfId="36"/>
    <cellStyle name="常规 70" xfId="54"/>
    <cellStyle name="常规 71" xfId="8"/>
    <cellStyle name="常规 72" xfId="19"/>
    <cellStyle name="常规 73" xfId="35"/>
    <cellStyle name="常规 74" xfId="25"/>
    <cellStyle name="常规 75" xfId="33"/>
    <cellStyle name="常规 76" xfId="37"/>
    <cellStyle name="常规 77" xfId="38"/>
    <cellStyle name="常规 78" xfId="40"/>
    <cellStyle name="常规 79" xfId="39"/>
    <cellStyle name="常规 8" xfId="22"/>
    <cellStyle name="常规 81" xfId="41"/>
    <cellStyle name="常规 82" xfId="42"/>
    <cellStyle name="常规 84" xfId="44"/>
    <cellStyle name="常规 85" xfId="43"/>
    <cellStyle name="常规 88" xfId="47"/>
    <cellStyle name="常规 89" xfId="48"/>
    <cellStyle name="常规 9" xfId="53"/>
    <cellStyle name="常规 90" xfId="50"/>
    <cellStyle name="常规 91" xfId="49"/>
    <cellStyle name="常规 92" xfId="51"/>
    <cellStyle name="常规 93" xfId="52"/>
    <cellStyle name="常规 94" xfId="57"/>
    <cellStyle name="常规 96" xfId="56"/>
    <cellStyle name="常规 97" xfId="58"/>
    <cellStyle name="常规 98" xfId="5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3"/>
  <sheetViews>
    <sheetView workbookViewId="0">
      <selection activeCell="B42" sqref="B42"/>
    </sheetView>
  </sheetViews>
  <sheetFormatPr defaultRowHeight="13.5"/>
  <cols>
    <col min="2" max="2" width="11.5" customWidth="1"/>
    <col min="3" max="3" width="17.375" bestFit="1" customWidth="1"/>
    <col min="4" max="4" width="10.75" customWidth="1"/>
    <col min="5" max="5" width="9.875" customWidth="1"/>
  </cols>
  <sheetData>
    <row r="1" spans="1:3" ht="15" customHeight="1">
      <c r="A1" t="s">
        <v>54</v>
      </c>
      <c r="B1" t="s">
        <v>2</v>
      </c>
      <c r="C1" t="s">
        <v>3</v>
      </c>
    </row>
    <row r="2" spans="1:3">
      <c r="A2" t="s">
        <v>102</v>
      </c>
      <c r="B2" t="s">
        <v>96</v>
      </c>
      <c r="C2" t="s">
        <v>95</v>
      </c>
    </row>
    <row r="3" spans="1:3" ht="15" customHeight="1">
      <c r="B3">
        <v>1</v>
      </c>
      <c r="C3" t="s">
        <v>4</v>
      </c>
    </row>
    <row r="4" spans="1:3" ht="15" customHeight="1">
      <c r="B4">
        <v>2</v>
      </c>
      <c r="C4" t="s">
        <v>5</v>
      </c>
    </row>
    <row r="5" spans="1:3" ht="15" customHeight="1">
      <c r="B5">
        <v>3</v>
      </c>
      <c r="C5" t="s">
        <v>6</v>
      </c>
    </row>
    <row r="6" spans="1:3" ht="15" customHeight="1">
      <c r="B6">
        <v>4</v>
      </c>
      <c r="C6" t="s">
        <v>7</v>
      </c>
    </row>
    <row r="7" spans="1:3" ht="15" customHeight="1">
      <c r="B7">
        <v>5</v>
      </c>
      <c r="C7" t="s">
        <v>8</v>
      </c>
    </row>
    <row r="8" spans="1:3">
      <c r="B8">
        <v>6</v>
      </c>
      <c r="C8" t="s">
        <v>9</v>
      </c>
    </row>
    <row r="9" spans="1:3">
      <c r="B9">
        <v>7</v>
      </c>
      <c r="C9" t="s">
        <v>10</v>
      </c>
    </row>
    <row r="10" spans="1:3">
      <c r="B10">
        <v>8</v>
      </c>
      <c r="C10" t="s">
        <v>11</v>
      </c>
    </row>
    <row r="11" spans="1:3">
      <c r="B11">
        <v>9</v>
      </c>
      <c r="C11" t="s">
        <v>12</v>
      </c>
    </row>
    <row r="12" spans="1:3">
      <c r="B12">
        <v>10</v>
      </c>
      <c r="C12" t="s">
        <v>13</v>
      </c>
    </row>
    <row r="13" spans="1:3">
      <c r="B13">
        <v>11</v>
      </c>
      <c r="C13" t="s">
        <v>14</v>
      </c>
    </row>
    <row r="14" spans="1:3">
      <c r="B14">
        <v>12</v>
      </c>
      <c r="C14" t="s">
        <v>15</v>
      </c>
    </row>
    <row r="15" spans="1:3">
      <c r="B15">
        <v>13</v>
      </c>
      <c r="C15" t="s">
        <v>16</v>
      </c>
    </row>
    <row r="16" spans="1:3">
      <c r="B16">
        <v>14</v>
      </c>
      <c r="C16" t="s">
        <v>17</v>
      </c>
    </row>
    <row r="17" spans="2:3">
      <c r="B17">
        <v>15</v>
      </c>
      <c r="C17" t="s">
        <v>18</v>
      </c>
    </row>
    <row r="18" spans="2:3">
      <c r="B18">
        <v>16</v>
      </c>
      <c r="C18" t="s">
        <v>19</v>
      </c>
    </row>
    <row r="19" spans="2:3">
      <c r="B19">
        <v>17</v>
      </c>
      <c r="C19" t="s">
        <v>13</v>
      </c>
    </row>
    <row r="20" spans="2:3">
      <c r="B20">
        <v>18</v>
      </c>
      <c r="C20" t="s">
        <v>20</v>
      </c>
    </row>
    <row r="21" spans="2:3">
      <c r="B21">
        <v>19</v>
      </c>
      <c r="C21" t="s">
        <v>21</v>
      </c>
    </row>
    <row r="22" spans="2:3">
      <c r="B22">
        <v>20</v>
      </c>
      <c r="C22" t="s">
        <v>22</v>
      </c>
    </row>
    <row r="23" spans="2:3">
      <c r="B23">
        <v>21</v>
      </c>
      <c r="C23" t="s">
        <v>23</v>
      </c>
    </row>
    <row r="24" spans="2:3">
      <c r="B24">
        <v>22</v>
      </c>
      <c r="C24" t="s">
        <v>24</v>
      </c>
    </row>
    <row r="25" spans="2:3">
      <c r="B25">
        <v>23</v>
      </c>
      <c r="C25" t="s">
        <v>25</v>
      </c>
    </row>
    <row r="26" spans="2:3">
      <c r="B26">
        <v>24</v>
      </c>
      <c r="C26" t="s">
        <v>26</v>
      </c>
    </row>
    <row r="27" spans="2:3">
      <c r="B27">
        <v>25</v>
      </c>
      <c r="C27" t="s">
        <v>27</v>
      </c>
    </row>
    <row r="28" spans="2:3">
      <c r="B28">
        <v>26</v>
      </c>
      <c r="C28" t="s">
        <v>28</v>
      </c>
    </row>
    <row r="29" spans="2:3">
      <c r="B29">
        <v>27</v>
      </c>
      <c r="C29" t="s">
        <v>29</v>
      </c>
    </row>
    <row r="30" spans="2:3">
      <c r="B30">
        <v>28</v>
      </c>
      <c r="C30" t="s">
        <v>30</v>
      </c>
    </row>
    <row r="31" spans="2:3">
      <c r="B31">
        <v>29</v>
      </c>
      <c r="C31" t="s">
        <v>31</v>
      </c>
    </row>
    <row r="32" spans="2:3">
      <c r="B32">
        <v>30</v>
      </c>
      <c r="C32" t="s">
        <v>32</v>
      </c>
    </row>
    <row r="33" spans="2:3">
      <c r="B33">
        <v>31</v>
      </c>
      <c r="C33" t="s">
        <v>33</v>
      </c>
    </row>
  </sheetData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R307"/>
  <sheetViews>
    <sheetView tabSelected="1" zoomScale="70" zoomScaleNormal="70" workbookViewId="0">
      <pane xSplit="2" ySplit="2" topLeftCell="C228" activePane="bottomRight" state="frozen"/>
      <selection pane="topRight" activeCell="C1" sqref="C1"/>
      <selection pane="bottomLeft" activeCell="A3" sqref="A3"/>
      <selection pane="bottomRight" activeCell="B277" sqref="B3:B277"/>
    </sheetView>
  </sheetViews>
  <sheetFormatPr defaultRowHeight="13.5"/>
  <cols>
    <col min="2" max="2" width="7.25" bestFit="1" customWidth="1"/>
    <col min="3" max="3" width="5.5" bestFit="1" customWidth="1"/>
    <col min="4" max="4" width="15" bestFit="1" customWidth="1"/>
    <col min="5" max="5" width="21.25" customWidth="1"/>
    <col min="6" max="6" width="64.75" bestFit="1" customWidth="1"/>
    <col min="7" max="7" width="14.25" customWidth="1"/>
    <col min="8" max="8" width="18.375" customWidth="1"/>
    <col min="9" max="9" width="21.625" customWidth="1"/>
    <col min="10" max="10" width="18.375" customWidth="1"/>
    <col min="11" max="11" width="21.625" customWidth="1"/>
    <col min="12" max="12" width="15" bestFit="1" customWidth="1"/>
    <col min="13" max="13" width="18.375" bestFit="1" customWidth="1"/>
    <col min="14" max="14" width="15" bestFit="1" customWidth="1"/>
    <col min="15" max="15" width="18.375" bestFit="1" customWidth="1"/>
    <col min="16" max="16" width="14.875" customWidth="1"/>
    <col min="17" max="17" width="19.75" customWidth="1"/>
    <col min="18" max="18" width="17.5" customWidth="1"/>
  </cols>
  <sheetData>
    <row r="1" spans="1:18" ht="15" customHeight="1">
      <c r="A1" s="25" t="s">
        <v>794</v>
      </c>
      <c r="B1" s="26" t="s">
        <v>34</v>
      </c>
      <c r="C1" s="27" t="s">
        <v>35</v>
      </c>
      <c r="D1" s="27" t="s">
        <v>36</v>
      </c>
      <c r="E1" s="27" t="s">
        <v>37</v>
      </c>
      <c r="F1" s="27" t="s">
        <v>38</v>
      </c>
      <c r="G1" s="27" t="s">
        <v>39</v>
      </c>
      <c r="H1" s="26" t="s">
        <v>795</v>
      </c>
      <c r="I1" s="26" t="s">
        <v>796</v>
      </c>
      <c r="J1" s="26" t="s">
        <v>797</v>
      </c>
      <c r="K1" s="28" t="s">
        <v>798</v>
      </c>
      <c r="L1" s="29" t="s">
        <v>799</v>
      </c>
      <c r="M1" s="29" t="s">
        <v>40</v>
      </c>
      <c r="N1" s="29" t="s">
        <v>41</v>
      </c>
      <c r="O1" s="29" t="s">
        <v>42</v>
      </c>
      <c r="P1" s="29" t="s">
        <v>800</v>
      </c>
      <c r="Q1" s="29" t="s">
        <v>801</v>
      </c>
      <c r="R1" s="29" t="s">
        <v>802</v>
      </c>
    </row>
    <row r="2" spans="1:18" hidden="1">
      <c r="A2" s="30" t="s">
        <v>803</v>
      </c>
      <c r="B2" s="30" t="s">
        <v>804</v>
      </c>
      <c r="C2" s="30" t="s">
        <v>805</v>
      </c>
      <c r="D2" s="15" t="s">
        <v>806</v>
      </c>
      <c r="E2" s="30" t="s">
        <v>807</v>
      </c>
      <c r="F2" s="30" t="s">
        <v>808</v>
      </c>
      <c r="G2" s="30" t="s">
        <v>809</v>
      </c>
      <c r="H2" s="30" t="s">
        <v>810</v>
      </c>
      <c r="I2" s="30" t="s">
        <v>811</v>
      </c>
      <c r="J2" s="30" t="s">
        <v>810</v>
      </c>
      <c r="K2" s="31" t="s">
        <v>811</v>
      </c>
      <c r="L2" s="30" t="s">
        <v>812</v>
      </c>
      <c r="M2" s="30" t="s">
        <v>813</v>
      </c>
      <c r="N2" s="30" t="s">
        <v>812</v>
      </c>
      <c r="O2" s="30" t="s">
        <v>813</v>
      </c>
      <c r="P2" s="30" t="s">
        <v>814</v>
      </c>
      <c r="Q2" s="30" t="s">
        <v>815</v>
      </c>
      <c r="R2" s="30" t="s">
        <v>816</v>
      </c>
    </row>
    <row r="3" spans="1:18" ht="15" customHeight="1">
      <c r="A3" s="32"/>
      <c r="B3" s="33">
        <v>20701</v>
      </c>
      <c r="C3" s="34">
        <v>2</v>
      </c>
      <c r="D3" s="34" t="s">
        <v>817</v>
      </c>
      <c r="E3" s="35" t="s">
        <v>141</v>
      </c>
      <c r="F3" s="36" t="s">
        <v>413</v>
      </c>
      <c r="G3" s="34"/>
      <c r="H3" s="34">
        <v>1</v>
      </c>
      <c r="I3" s="34" t="s">
        <v>1034</v>
      </c>
      <c r="J3" s="34"/>
      <c r="K3" s="34" t="s">
        <v>818</v>
      </c>
      <c r="L3" s="34">
        <v>5</v>
      </c>
      <c r="M3" s="34" t="s">
        <v>1074</v>
      </c>
      <c r="N3" s="34" t="s">
        <v>818</v>
      </c>
      <c r="O3" s="34"/>
      <c r="P3" s="37">
        <v>32204</v>
      </c>
      <c r="Q3" s="34">
        <v>0</v>
      </c>
      <c r="R3" s="34">
        <v>0</v>
      </c>
    </row>
    <row r="4" spans="1:18" ht="15" customHeight="1">
      <c r="A4" s="32"/>
      <c r="B4" s="33">
        <v>20702</v>
      </c>
      <c r="C4" s="34">
        <v>2</v>
      </c>
      <c r="D4" s="34" t="s">
        <v>817</v>
      </c>
      <c r="E4" s="35" t="s">
        <v>141</v>
      </c>
      <c r="F4" s="36" t="s">
        <v>414</v>
      </c>
      <c r="G4" s="34"/>
      <c r="H4" s="34">
        <v>1</v>
      </c>
      <c r="I4" s="34" t="s">
        <v>1034</v>
      </c>
      <c r="J4" s="34">
        <v>2</v>
      </c>
      <c r="K4" s="33" t="s">
        <v>819</v>
      </c>
      <c r="L4" s="34">
        <v>5</v>
      </c>
      <c r="M4" s="34" t="s">
        <v>1075</v>
      </c>
      <c r="N4" s="34" t="s">
        <v>818</v>
      </c>
      <c r="O4" s="34"/>
      <c r="P4" s="37">
        <v>32204</v>
      </c>
      <c r="Q4" s="34">
        <v>0</v>
      </c>
      <c r="R4" s="34">
        <v>0</v>
      </c>
    </row>
    <row r="5" spans="1:18" ht="15" customHeight="1">
      <c r="A5" s="32"/>
      <c r="B5" s="33">
        <v>20703</v>
      </c>
      <c r="C5" s="34">
        <v>2</v>
      </c>
      <c r="D5" s="34" t="s">
        <v>817</v>
      </c>
      <c r="E5" s="38" t="s">
        <v>141</v>
      </c>
      <c r="F5" s="36" t="s">
        <v>415</v>
      </c>
      <c r="G5" s="34"/>
      <c r="H5" s="34">
        <v>1</v>
      </c>
      <c r="I5" s="34" t="s">
        <v>1034</v>
      </c>
      <c r="J5" s="34">
        <v>2</v>
      </c>
      <c r="K5" s="33">
        <v>20702</v>
      </c>
      <c r="L5" s="34">
        <v>5</v>
      </c>
      <c r="M5" s="34" t="s">
        <v>1076</v>
      </c>
      <c r="N5" s="34" t="s">
        <v>818</v>
      </c>
      <c r="O5" s="34"/>
      <c r="P5" s="37">
        <v>32204</v>
      </c>
      <c r="Q5" s="34">
        <v>0</v>
      </c>
      <c r="R5" s="34">
        <v>0</v>
      </c>
    </row>
    <row r="6" spans="1:18" ht="15" customHeight="1">
      <c r="A6" s="32"/>
      <c r="B6" s="33">
        <v>20704</v>
      </c>
      <c r="C6" s="34">
        <v>2</v>
      </c>
      <c r="D6" s="34" t="s">
        <v>817</v>
      </c>
      <c r="E6" s="35" t="s">
        <v>141</v>
      </c>
      <c r="F6" s="36" t="s">
        <v>416</v>
      </c>
      <c r="G6" s="34"/>
      <c r="H6" s="34">
        <v>1</v>
      </c>
      <c r="I6" s="34" t="s">
        <v>1034</v>
      </c>
      <c r="J6" s="34">
        <v>2</v>
      </c>
      <c r="K6" s="33">
        <v>20703</v>
      </c>
      <c r="L6" s="34">
        <v>5</v>
      </c>
      <c r="M6" s="34" t="s">
        <v>1077</v>
      </c>
      <c r="N6" s="34" t="s">
        <v>818</v>
      </c>
      <c r="O6" s="34"/>
      <c r="P6" s="37">
        <v>32209</v>
      </c>
      <c r="Q6" s="34">
        <v>0</v>
      </c>
      <c r="R6" s="34">
        <v>0</v>
      </c>
    </row>
    <row r="7" spans="1:18" ht="15" customHeight="1">
      <c r="A7" s="32"/>
      <c r="B7" s="33">
        <v>20705</v>
      </c>
      <c r="C7" s="34">
        <v>2</v>
      </c>
      <c r="D7" s="34" t="s">
        <v>817</v>
      </c>
      <c r="E7" s="35" t="s">
        <v>141</v>
      </c>
      <c r="F7" s="36" t="s">
        <v>417</v>
      </c>
      <c r="G7" s="34"/>
      <c r="H7" s="34">
        <v>1</v>
      </c>
      <c r="I7" s="34" t="s">
        <v>1034</v>
      </c>
      <c r="J7" s="34">
        <v>2</v>
      </c>
      <c r="K7" s="33">
        <v>20704</v>
      </c>
      <c r="L7" s="34">
        <v>5</v>
      </c>
      <c r="M7" s="34" t="s">
        <v>1078</v>
      </c>
      <c r="N7" s="34" t="s">
        <v>818</v>
      </c>
      <c r="O7" s="34"/>
      <c r="P7" s="37">
        <v>32209</v>
      </c>
      <c r="Q7" s="34">
        <v>0</v>
      </c>
      <c r="R7" s="34">
        <v>0</v>
      </c>
    </row>
    <row r="8" spans="1:18" ht="15" customHeight="1">
      <c r="A8" s="32"/>
      <c r="B8" s="33">
        <v>20706</v>
      </c>
      <c r="C8" s="34">
        <v>2</v>
      </c>
      <c r="D8" s="34" t="s">
        <v>817</v>
      </c>
      <c r="E8" s="35" t="s">
        <v>141</v>
      </c>
      <c r="F8" s="36" t="s">
        <v>418</v>
      </c>
      <c r="G8" s="34"/>
      <c r="H8" s="34">
        <v>1</v>
      </c>
      <c r="I8" s="34" t="s">
        <v>1034</v>
      </c>
      <c r="J8" s="34">
        <v>2</v>
      </c>
      <c r="K8" s="33">
        <v>20705</v>
      </c>
      <c r="L8" s="34">
        <v>5</v>
      </c>
      <c r="M8" s="34" t="s">
        <v>1079</v>
      </c>
      <c r="N8" s="34" t="s">
        <v>818</v>
      </c>
      <c r="O8" s="34"/>
      <c r="P8" s="37">
        <v>32212</v>
      </c>
      <c r="Q8" s="34">
        <v>0</v>
      </c>
      <c r="R8" s="34">
        <v>0</v>
      </c>
    </row>
    <row r="9" spans="1:18" s="180" customFormat="1" ht="15" customHeight="1">
      <c r="A9" s="32"/>
      <c r="B9" s="33">
        <v>20707</v>
      </c>
      <c r="C9" s="34">
        <v>2</v>
      </c>
      <c r="D9" s="34" t="s">
        <v>817</v>
      </c>
      <c r="E9" s="35" t="s">
        <v>141</v>
      </c>
      <c r="F9" s="36" t="s">
        <v>1083</v>
      </c>
      <c r="G9" s="34"/>
      <c r="H9" s="34">
        <v>1</v>
      </c>
      <c r="I9" s="34" t="s">
        <v>1034</v>
      </c>
      <c r="J9" s="34">
        <v>2</v>
      </c>
      <c r="K9" s="33">
        <v>20706</v>
      </c>
      <c r="L9" s="34">
        <v>5</v>
      </c>
      <c r="M9" s="34" t="s">
        <v>1080</v>
      </c>
      <c r="N9" s="34"/>
      <c r="O9" s="34"/>
      <c r="P9" s="37">
        <v>32212</v>
      </c>
      <c r="Q9" s="34">
        <v>0</v>
      </c>
      <c r="R9" s="34">
        <v>0</v>
      </c>
    </row>
    <row r="10" spans="1:18" s="180" customFormat="1" ht="15" customHeight="1">
      <c r="A10" s="32"/>
      <c r="B10" s="33">
        <v>20708</v>
      </c>
      <c r="C10" s="34">
        <v>2</v>
      </c>
      <c r="D10" s="34" t="s">
        <v>817</v>
      </c>
      <c r="E10" s="35" t="s">
        <v>141</v>
      </c>
      <c r="F10" s="36" t="s">
        <v>1084</v>
      </c>
      <c r="G10" s="34"/>
      <c r="H10" s="34">
        <v>1</v>
      </c>
      <c r="I10" s="34" t="s">
        <v>1034</v>
      </c>
      <c r="J10" s="34">
        <v>2</v>
      </c>
      <c r="K10" s="33">
        <v>20707</v>
      </c>
      <c r="L10" s="34">
        <v>5</v>
      </c>
      <c r="M10" s="34" t="s">
        <v>1081</v>
      </c>
      <c r="N10" s="34"/>
      <c r="O10" s="34"/>
      <c r="P10" s="37">
        <v>32212</v>
      </c>
      <c r="Q10" s="34">
        <v>0</v>
      </c>
      <c r="R10" s="34">
        <v>0</v>
      </c>
    </row>
    <row r="11" spans="1:18" s="180" customFormat="1" ht="15" customHeight="1">
      <c r="A11" s="32"/>
      <c r="B11" s="33">
        <v>20709</v>
      </c>
      <c r="C11" s="34">
        <v>2</v>
      </c>
      <c r="D11" s="34" t="s">
        <v>817</v>
      </c>
      <c r="E11" s="35" t="s">
        <v>141</v>
      </c>
      <c r="F11" s="36" t="s">
        <v>1085</v>
      </c>
      <c r="G11" s="34"/>
      <c r="H11" s="34">
        <v>1</v>
      </c>
      <c r="I11" s="34" t="s">
        <v>1034</v>
      </c>
      <c r="J11" s="34">
        <v>2</v>
      </c>
      <c r="K11" s="33">
        <v>20708</v>
      </c>
      <c r="L11" s="34">
        <v>5</v>
      </c>
      <c r="M11" s="34" t="s">
        <v>1082</v>
      </c>
      <c r="N11" s="34"/>
      <c r="O11" s="34"/>
      <c r="P11" s="37">
        <v>32212</v>
      </c>
      <c r="Q11" s="34">
        <v>0</v>
      </c>
      <c r="R11" s="34">
        <v>0</v>
      </c>
    </row>
    <row r="12" spans="1:18" ht="15" hidden="1" customHeight="1">
      <c r="A12" s="39" t="s">
        <v>803</v>
      </c>
      <c r="B12" s="13">
        <v>10006</v>
      </c>
      <c r="C12" s="13">
        <v>2</v>
      </c>
      <c r="D12" s="40" t="s">
        <v>817</v>
      </c>
      <c r="E12" s="41" t="s">
        <v>141</v>
      </c>
      <c r="F12" s="13" t="s">
        <v>227</v>
      </c>
      <c r="G12" s="13"/>
      <c r="H12" s="13">
        <v>1</v>
      </c>
      <c r="I12" s="13">
        <v>1</v>
      </c>
      <c r="J12" s="13">
        <v>2</v>
      </c>
      <c r="K12" s="42">
        <v>10005</v>
      </c>
      <c r="L12" s="13">
        <v>5</v>
      </c>
      <c r="M12" s="13">
        <v>10710</v>
      </c>
      <c r="N12" s="13" t="s">
        <v>818</v>
      </c>
      <c r="O12" s="13"/>
      <c r="P12" s="13">
        <v>32006</v>
      </c>
      <c r="Q12" s="42">
        <v>0</v>
      </c>
      <c r="R12" s="13">
        <v>0</v>
      </c>
    </row>
    <row r="13" spans="1:18" ht="15" hidden="1" customHeight="1">
      <c r="A13" s="39" t="s">
        <v>803</v>
      </c>
      <c r="B13" s="13">
        <v>10007</v>
      </c>
      <c r="C13" s="13">
        <v>2</v>
      </c>
      <c r="D13" s="40" t="s">
        <v>817</v>
      </c>
      <c r="E13" s="43" t="s">
        <v>141</v>
      </c>
      <c r="F13" s="13" t="s">
        <v>228</v>
      </c>
      <c r="G13" s="13"/>
      <c r="H13" s="13">
        <v>1</v>
      </c>
      <c r="I13" s="13">
        <v>1</v>
      </c>
      <c r="J13" s="13">
        <v>2</v>
      </c>
      <c r="K13" s="42">
        <v>10006</v>
      </c>
      <c r="L13" s="13">
        <v>5</v>
      </c>
      <c r="M13" s="13">
        <v>10810</v>
      </c>
      <c r="N13" s="13" t="s">
        <v>818</v>
      </c>
      <c r="O13" s="13"/>
      <c r="P13" s="13">
        <v>32007</v>
      </c>
      <c r="Q13" s="42">
        <v>0</v>
      </c>
      <c r="R13" s="13">
        <v>0</v>
      </c>
    </row>
    <row r="14" spans="1:18" hidden="1">
      <c r="A14" s="39" t="s">
        <v>803</v>
      </c>
      <c r="B14" s="13">
        <v>10008</v>
      </c>
      <c r="C14" s="13">
        <v>2</v>
      </c>
      <c r="D14" s="40" t="s">
        <v>817</v>
      </c>
      <c r="E14" s="43" t="s">
        <v>141</v>
      </c>
      <c r="F14" s="13" t="s">
        <v>229</v>
      </c>
      <c r="G14" s="13"/>
      <c r="H14" s="13">
        <v>1</v>
      </c>
      <c r="I14" s="13">
        <v>1</v>
      </c>
      <c r="J14" s="13">
        <v>2</v>
      </c>
      <c r="K14" s="42">
        <v>10007</v>
      </c>
      <c r="L14" s="13">
        <v>5</v>
      </c>
      <c r="M14" s="13">
        <v>10910</v>
      </c>
      <c r="N14" s="13" t="s">
        <v>818</v>
      </c>
      <c r="O14" s="13"/>
      <c r="P14" s="13">
        <v>32008</v>
      </c>
      <c r="Q14" s="42">
        <v>0</v>
      </c>
      <c r="R14" s="13">
        <v>0</v>
      </c>
    </row>
    <row r="15" spans="1:18" hidden="1">
      <c r="A15" s="39" t="s">
        <v>803</v>
      </c>
      <c r="B15" s="13">
        <v>10009</v>
      </c>
      <c r="C15" s="13">
        <v>2</v>
      </c>
      <c r="D15" s="40" t="s">
        <v>817</v>
      </c>
      <c r="E15" s="43" t="s">
        <v>141</v>
      </c>
      <c r="F15" s="13" t="s">
        <v>230</v>
      </c>
      <c r="G15" s="13"/>
      <c r="H15" s="13">
        <v>1</v>
      </c>
      <c r="I15" s="13">
        <v>1</v>
      </c>
      <c r="J15" s="13">
        <v>2</v>
      </c>
      <c r="K15" s="42">
        <v>10008</v>
      </c>
      <c r="L15" s="13">
        <v>5</v>
      </c>
      <c r="M15" s="13">
        <v>11010</v>
      </c>
      <c r="N15" s="13" t="s">
        <v>818</v>
      </c>
      <c r="O15" s="13"/>
      <c r="P15" s="13">
        <v>32009</v>
      </c>
      <c r="Q15" s="42">
        <v>0</v>
      </c>
      <c r="R15" s="13">
        <v>0</v>
      </c>
    </row>
    <row r="16" spans="1:18" hidden="1">
      <c r="A16" s="39" t="s">
        <v>803</v>
      </c>
      <c r="B16" s="13">
        <v>10010</v>
      </c>
      <c r="C16" s="13">
        <v>2</v>
      </c>
      <c r="D16" s="40" t="s">
        <v>817</v>
      </c>
      <c r="E16" s="41" t="s">
        <v>141</v>
      </c>
      <c r="F16" s="44" t="s">
        <v>231</v>
      </c>
      <c r="G16" s="13"/>
      <c r="H16" s="13">
        <v>1</v>
      </c>
      <c r="I16" s="13">
        <v>1</v>
      </c>
      <c r="J16" s="13">
        <v>2</v>
      </c>
      <c r="K16" s="42">
        <v>10009</v>
      </c>
      <c r="L16" s="13">
        <v>5</v>
      </c>
      <c r="M16" s="13">
        <v>11110</v>
      </c>
      <c r="N16" s="13" t="s">
        <v>818</v>
      </c>
      <c r="O16" s="13"/>
      <c r="P16" s="13">
        <v>32010</v>
      </c>
      <c r="Q16" s="42">
        <v>0</v>
      </c>
      <c r="R16" s="13">
        <v>0</v>
      </c>
    </row>
    <row r="17" spans="1:18" hidden="1">
      <c r="A17" s="39" t="s">
        <v>803</v>
      </c>
      <c r="B17" s="13">
        <v>10011</v>
      </c>
      <c r="C17" s="13">
        <v>2</v>
      </c>
      <c r="D17" s="40" t="s">
        <v>817</v>
      </c>
      <c r="E17" s="43" t="s">
        <v>141</v>
      </c>
      <c r="F17" s="44" t="s">
        <v>232</v>
      </c>
      <c r="G17" s="13"/>
      <c r="H17" s="13">
        <v>1</v>
      </c>
      <c r="I17" s="13">
        <v>1</v>
      </c>
      <c r="J17" s="13">
        <v>2</v>
      </c>
      <c r="K17" s="42">
        <v>10010</v>
      </c>
      <c r="L17" s="13">
        <v>5</v>
      </c>
      <c r="M17" s="13">
        <v>11210</v>
      </c>
      <c r="N17" s="13"/>
      <c r="O17" s="13"/>
      <c r="P17" s="13">
        <v>32011</v>
      </c>
      <c r="Q17" s="42">
        <v>0</v>
      </c>
      <c r="R17" s="13">
        <v>0</v>
      </c>
    </row>
    <row r="18" spans="1:18" hidden="1">
      <c r="A18" s="39" t="s">
        <v>803</v>
      </c>
      <c r="B18" s="13">
        <v>10012</v>
      </c>
      <c r="C18" s="13">
        <v>2</v>
      </c>
      <c r="D18" s="40" t="s">
        <v>817</v>
      </c>
      <c r="E18" s="43" t="s">
        <v>141</v>
      </c>
      <c r="F18" s="44" t="s">
        <v>233</v>
      </c>
      <c r="G18" s="13"/>
      <c r="H18" s="13">
        <v>1</v>
      </c>
      <c r="I18" s="13">
        <v>1</v>
      </c>
      <c r="J18" s="13">
        <v>2</v>
      </c>
      <c r="K18" s="42">
        <v>10011</v>
      </c>
      <c r="L18" s="13">
        <v>5</v>
      </c>
      <c r="M18" s="13">
        <v>11310</v>
      </c>
      <c r="N18" s="13"/>
      <c r="O18" s="13"/>
      <c r="P18" s="13">
        <v>32012</v>
      </c>
      <c r="Q18" s="42">
        <v>0</v>
      </c>
      <c r="R18" s="13">
        <v>0</v>
      </c>
    </row>
    <row r="19" spans="1:18" hidden="1">
      <c r="A19" s="39" t="s">
        <v>803</v>
      </c>
      <c r="B19" s="13">
        <v>10013</v>
      </c>
      <c r="C19" s="13">
        <v>2</v>
      </c>
      <c r="D19" s="40" t="s">
        <v>817</v>
      </c>
      <c r="E19" s="43" t="s">
        <v>141</v>
      </c>
      <c r="F19" s="44" t="s">
        <v>234</v>
      </c>
      <c r="G19" s="13"/>
      <c r="H19" s="13">
        <v>1</v>
      </c>
      <c r="I19" s="13">
        <v>1</v>
      </c>
      <c r="J19" s="13">
        <v>2</v>
      </c>
      <c r="K19" s="42">
        <v>10012</v>
      </c>
      <c r="L19" s="13">
        <v>5</v>
      </c>
      <c r="M19" s="13">
        <v>11410</v>
      </c>
      <c r="N19" s="13"/>
      <c r="O19" s="13"/>
      <c r="P19" s="13">
        <v>32013</v>
      </c>
      <c r="Q19" s="42">
        <v>0</v>
      </c>
      <c r="R19" s="13">
        <v>0</v>
      </c>
    </row>
    <row r="20" spans="1:18" hidden="1">
      <c r="A20" s="39" t="s">
        <v>803</v>
      </c>
      <c r="B20" s="13">
        <v>10014</v>
      </c>
      <c r="C20" s="13">
        <v>2</v>
      </c>
      <c r="D20" s="40" t="s">
        <v>817</v>
      </c>
      <c r="E20" s="43" t="s">
        <v>141</v>
      </c>
      <c r="F20" s="44" t="s">
        <v>235</v>
      </c>
      <c r="G20" s="13"/>
      <c r="H20" s="13">
        <v>1</v>
      </c>
      <c r="I20" s="13">
        <v>1</v>
      </c>
      <c r="J20" s="13">
        <v>2</v>
      </c>
      <c r="K20" s="42">
        <v>10013</v>
      </c>
      <c r="L20" s="13">
        <v>5</v>
      </c>
      <c r="M20" s="13">
        <v>11510</v>
      </c>
      <c r="N20" s="13"/>
      <c r="O20" s="13"/>
      <c r="P20" s="13">
        <v>32014</v>
      </c>
      <c r="Q20" s="42">
        <v>0</v>
      </c>
      <c r="R20" s="13">
        <v>0</v>
      </c>
    </row>
    <row r="21" spans="1:18" hidden="1">
      <c r="A21" s="39" t="s">
        <v>803</v>
      </c>
      <c r="B21" s="13">
        <v>10015</v>
      </c>
      <c r="C21" s="13">
        <v>2</v>
      </c>
      <c r="D21" s="40" t="s">
        <v>817</v>
      </c>
      <c r="E21" s="43" t="s">
        <v>141</v>
      </c>
      <c r="F21" s="44" t="s">
        <v>236</v>
      </c>
      <c r="G21" s="13"/>
      <c r="H21" s="13">
        <v>1</v>
      </c>
      <c r="I21" s="13">
        <v>1</v>
      </c>
      <c r="J21" s="13">
        <v>2</v>
      </c>
      <c r="K21" s="42">
        <v>10014</v>
      </c>
      <c r="L21" s="13">
        <v>5</v>
      </c>
      <c r="M21" s="13">
        <v>11610</v>
      </c>
      <c r="N21" s="13"/>
      <c r="O21" s="13"/>
      <c r="P21" s="13">
        <v>32015</v>
      </c>
      <c r="Q21" s="42">
        <v>0</v>
      </c>
      <c r="R21" s="13">
        <v>0</v>
      </c>
    </row>
    <row r="22" spans="1:18" hidden="1">
      <c r="A22" s="39" t="s">
        <v>803</v>
      </c>
      <c r="B22" s="13">
        <v>10016</v>
      </c>
      <c r="C22" s="13">
        <v>2</v>
      </c>
      <c r="D22" s="40" t="s">
        <v>817</v>
      </c>
      <c r="E22" s="43" t="s">
        <v>141</v>
      </c>
      <c r="F22" s="44" t="s">
        <v>237</v>
      </c>
      <c r="G22" s="13"/>
      <c r="H22" s="13">
        <v>1</v>
      </c>
      <c r="I22" s="13">
        <v>1</v>
      </c>
      <c r="J22" s="13">
        <v>2</v>
      </c>
      <c r="K22" s="42">
        <v>10015</v>
      </c>
      <c r="L22" s="13">
        <v>5</v>
      </c>
      <c r="M22" s="13">
        <v>11710</v>
      </c>
      <c r="N22" s="13"/>
      <c r="O22" s="13"/>
      <c r="P22" s="13">
        <v>32016</v>
      </c>
      <c r="Q22" s="42">
        <v>0</v>
      </c>
      <c r="R22" s="13">
        <v>0</v>
      </c>
    </row>
    <row r="23" spans="1:18" hidden="1">
      <c r="A23" s="39" t="s">
        <v>803</v>
      </c>
      <c r="B23" s="13">
        <v>10017</v>
      </c>
      <c r="C23" s="13">
        <v>2</v>
      </c>
      <c r="D23" s="40" t="s">
        <v>817</v>
      </c>
      <c r="E23" s="43" t="s">
        <v>141</v>
      </c>
      <c r="F23" s="44" t="s">
        <v>238</v>
      </c>
      <c r="G23" s="13"/>
      <c r="H23" s="13">
        <v>1</v>
      </c>
      <c r="I23" s="13">
        <v>1</v>
      </c>
      <c r="J23" s="13">
        <v>2</v>
      </c>
      <c r="K23" s="42">
        <v>10016</v>
      </c>
      <c r="L23" s="13">
        <v>5</v>
      </c>
      <c r="M23" s="13">
        <v>11810</v>
      </c>
      <c r="N23" s="13"/>
      <c r="O23" s="13"/>
      <c r="P23" s="13">
        <v>32017</v>
      </c>
      <c r="Q23" s="42">
        <v>0</v>
      </c>
      <c r="R23" s="13">
        <v>0</v>
      </c>
    </row>
    <row r="24" spans="1:18" ht="14.25">
      <c r="A24" s="32"/>
      <c r="B24" s="45">
        <v>11000</v>
      </c>
      <c r="C24" s="34" t="s">
        <v>820</v>
      </c>
      <c r="D24" s="46" t="s">
        <v>821</v>
      </c>
      <c r="E24" s="47" t="s">
        <v>822</v>
      </c>
      <c r="F24" s="48" t="s">
        <v>419</v>
      </c>
      <c r="G24" s="34"/>
      <c r="H24" s="34" t="s">
        <v>823</v>
      </c>
      <c r="I24" s="34" t="s">
        <v>823</v>
      </c>
      <c r="J24" s="34"/>
      <c r="K24" s="34"/>
      <c r="L24" s="34" t="s">
        <v>824</v>
      </c>
      <c r="M24" s="34" t="s">
        <v>825</v>
      </c>
      <c r="N24" s="34"/>
      <c r="O24" s="34"/>
      <c r="P24" s="49" t="s">
        <v>826</v>
      </c>
      <c r="Q24" s="34">
        <v>0</v>
      </c>
      <c r="R24" s="34" t="s">
        <v>823</v>
      </c>
    </row>
    <row r="25" spans="1:18" ht="14.25">
      <c r="A25" s="50"/>
      <c r="B25" s="51">
        <v>20801</v>
      </c>
      <c r="C25" s="46">
        <v>2</v>
      </c>
      <c r="D25" s="46" t="s">
        <v>821</v>
      </c>
      <c r="E25" s="47" t="s">
        <v>822</v>
      </c>
      <c r="F25" s="48" t="s">
        <v>420</v>
      </c>
      <c r="G25" s="45"/>
      <c r="H25" s="45">
        <v>1</v>
      </c>
      <c r="I25" s="45">
        <v>1</v>
      </c>
      <c r="J25" s="45" t="s">
        <v>820</v>
      </c>
      <c r="K25" s="45">
        <v>11000</v>
      </c>
      <c r="L25" s="45">
        <v>6</v>
      </c>
      <c r="M25" s="45">
        <v>10</v>
      </c>
      <c r="N25" s="45"/>
      <c r="O25" s="45"/>
      <c r="P25" s="49">
        <v>32202</v>
      </c>
      <c r="Q25" s="34" t="s">
        <v>827</v>
      </c>
      <c r="R25" s="34">
        <v>1</v>
      </c>
    </row>
    <row r="26" spans="1:18" ht="14.25">
      <c r="A26" s="52"/>
      <c r="B26" s="51">
        <v>20802</v>
      </c>
      <c r="C26" s="45">
        <v>2</v>
      </c>
      <c r="D26" s="46" t="s">
        <v>821</v>
      </c>
      <c r="E26" s="47" t="s">
        <v>142</v>
      </c>
      <c r="F26" s="45" t="s">
        <v>421</v>
      </c>
      <c r="G26" s="45"/>
      <c r="H26" s="45">
        <v>1</v>
      </c>
      <c r="I26" s="45">
        <v>1</v>
      </c>
      <c r="J26" s="45">
        <v>2</v>
      </c>
      <c r="K26" s="51">
        <v>20801</v>
      </c>
      <c r="L26" s="45">
        <v>6</v>
      </c>
      <c r="M26" s="45">
        <v>12</v>
      </c>
      <c r="N26" s="45"/>
      <c r="O26" s="45"/>
      <c r="P26" s="49">
        <v>32202</v>
      </c>
      <c r="Q26" s="34">
        <v>0</v>
      </c>
      <c r="R26" s="34">
        <v>1</v>
      </c>
    </row>
    <row r="27" spans="1:18" ht="14.25">
      <c r="A27" s="52"/>
      <c r="B27" s="51">
        <v>20803</v>
      </c>
      <c r="C27" s="45">
        <v>2</v>
      </c>
      <c r="D27" s="46" t="s">
        <v>821</v>
      </c>
      <c r="E27" s="47" t="s">
        <v>142</v>
      </c>
      <c r="F27" s="45" t="s">
        <v>422</v>
      </c>
      <c r="G27" s="45"/>
      <c r="H27" s="45">
        <v>1</v>
      </c>
      <c r="I27" s="45">
        <v>1</v>
      </c>
      <c r="J27" s="45">
        <v>2</v>
      </c>
      <c r="K27" s="51">
        <v>20802</v>
      </c>
      <c r="L27" s="45">
        <v>6</v>
      </c>
      <c r="M27" s="45">
        <v>15</v>
      </c>
      <c r="N27" s="45"/>
      <c r="O27" s="45"/>
      <c r="P27" s="49">
        <v>32202</v>
      </c>
      <c r="Q27" s="34">
        <v>0</v>
      </c>
      <c r="R27" s="34">
        <v>1</v>
      </c>
    </row>
    <row r="28" spans="1:18" ht="14.25">
      <c r="A28" s="47"/>
      <c r="B28" s="51">
        <v>20804</v>
      </c>
      <c r="C28" s="45">
        <v>2</v>
      </c>
      <c r="D28" s="46" t="s">
        <v>821</v>
      </c>
      <c r="E28" s="47" t="s">
        <v>142</v>
      </c>
      <c r="F28" s="45" t="s">
        <v>423</v>
      </c>
      <c r="G28" s="45"/>
      <c r="H28" s="45">
        <v>1</v>
      </c>
      <c r="I28" s="45">
        <v>1</v>
      </c>
      <c r="J28" s="45">
        <v>2</v>
      </c>
      <c r="K28" s="51">
        <v>20803</v>
      </c>
      <c r="L28" s="45">
        <v>6</v>
      </c>
      <c r="M28" s="45">
        <v>18</v>
      </c>
      <c r="N28" s="45"/>
      <c r="O28" s="45"/>
      <c r="P28" s="49">
        <v>32202</v>
      </c>
      <c r="Q28" s="34">
        <v>0</v>
      </c>
      <c r="R28" s="34">
        <v>1</v>
      </c>
    </row>
    <row r="29" spans="1:18" ht="14.25">
      <c r="A29" s="47"/>
      <c r="B29" s="51">
        <v>20805</v>
      </c>
      <c r="C29" s="45">
        <v>2</v>
      </c>
      <c r="D29" s="46" t="s">
        <v>821</v>
      </c>
      <c r="E29" s="47" t="s">
        <v>142</v>
      </c>
      <c r="F29" s="45" t="s">
        <v>424</v>
      </c>
      <c r="G29" s="45"/>
      <c r="H29" s="45">
        <v>1</v>
      </c>
      <c r="I29" s="45">
        <v>1</v>
      </c>
      <c r="J29" s="45">
        <v>2</v>
      </c>
      <c r="K29" s="51">
        <v>20804</v>
      </c>
      <c r="L29" s="45">
        <v>6</v>
      </c>
      <c r="M29" s="45">
        <v>20</v>
      </c>
      <c r="N29" s="45"/>
      <c r="O29" s="45"/>
      <c r="P29" s="49">
        <v>32202</v>
      </c>
      <c r="Q29" s="34">
        <v>0</v>
      </c>
      <c r="R29" s="34">
        <v>1</v>
      </c>
    </row>
    <row r="30" spans="1:18" ht="14.25">
      <c r="A30" s="47"/>
      <c r="B30" s="51">
        <v>20806</v>
      </c>
      <c r="C30" s="45">
        <v>2</v>
      </c>
      <c r="D30" s="46" t="s">
        <v>821</v>
      </c>
      <c r="E30" s="47" t="s">
        <v>142</v>
      </c>
      <c r="F30" s="45" t="s">
        <v>425</v>
      </c>
      <c r="G30" s="45"/>
      <c r="H30" s="45">
        <v>1</v>
      </c>
      <c r="I30" s="45">
        <v>1</v>
      </c>
      <c r="J30" s="45">
        <v>2</v>
      </c>
      <c r="K30" s="51">
        <v>20805</v>
      </c>
      <c r="L30" s="45">
        <v>6</v>
      </c>
      <c r="M30" s="45">
        <v>21</v>
      </c>
      <c r="N30" s="45"/>
      <c r="O30" s="45"/>
      <c r="P30" s="49">
        <v>32202</v>
      </c>
      <c r="Q30" s="34">
        <v>0</v>
      </c>
      <c r="R30" s="34">
        <v>1</v>
      </c>
    </row>
    <row r="31" spans="1:18" ht="14.25">
      <c r="A31" s="47"/>
      <c r="B31" s="51">
        <v>20807</v>
      </c>
      <c r="C31" s="45">
        <v>2</v>
      </c>
      <c r="D31" s="46" t="s">
        <v>821</v>
      </c>
      <c r="E31" s="47" t="s">
        <v>142</v>
      </c>
      <c r="F31" s="45" t="s">
        <v>426</v>
      </c>
      <c r="G31" s="45"/>
      <c r="H31" s="45">
        <v>1</v>
      </c>
      <c r="I31" s="45">
        <v>1</v>
      </c>
      <c r="J31" s="45">
        <v>2</v>
      </c>
      <c r="K31" s="51">
        <v>20806</v>
      </c>
      <c r="L31" s="45">
        <v>6</v>
      </c>
      <c r="M31" s="45">
        <v>22</v>
      </c>
      <c r="N31" s="45"/>
      <c r="O31" s="45"/>
      <c r="P31" s="49">
        <v>32202</v>
      </c>
      <c r="Q31" s="34">
        <v>0</v>
      </c>
      <c r="R31" s="34">
        <v>1</v>
      </c>
    </row>
    <row r="32" spans="1:18" ht="14.25">
      <c r="A32" s="47"/>
      <c r="B32" s="51">
        <v>20808</v>
      </c>
      <c r="C32" s="45">
        <v>2</v>
      </c>
      <c r="D32" s="46" t="s">
        <v>821</v>
      </c>
      <c r="E32" s="47" t="s">
        <v>142</v>
      </c>
      <c r="F32" s="45" t="s">
        <v>427</v>
      </c>
      <c r="G32" s="45"/>
      <c r="H32" s="45">
        <v>1</v>
      </c>
      <c r="I32" s="45">
        <v>1</v>
      </c>
      <c r="J32" s="45">
        <v>2</v>
      </c>
      <c r="K32" s="51">
        <v>20807</v>
      </c>
      <c r="L32" s="45">
        <v>6</v>
      </c>
      <c r="M32" s="45">
        <v>23</v>
      </c>
      <c r="N32" s="45"/>
      <c r="O32" s="45"/>
      <c r="P32" s="49">
        <v>32202</v>
      </c>
      <c r="Q32" s="34">
        <v>0</v>
      </c>
      <c r="R32" s="34">
        <v>1</v>
      </c>
    </row>
    <row r="33" spans="1:18" ht="14.25">
      <c r="A33" s="47"/>
      <c r="B33" s="51">
        <v>20809</v>
      </c>
      <c r="C33" s="45">
        <v>2</v>
      </c>
      <c r="D33" s="46" t="s">
        <v>821</v>
      </c>
      <c r="E33" s="47" t="s">
        <v>142</v>
      </c>
      <c r="F33" s="45" t="s">
        <v>428</v>
      </c>
      <c r="G33" s="45"/>
      <c r="H33" s="45">
        <v>1</v>
      </c>
      <c r="I33" s="45">
        <v>1</v>
      </c>
      <c r="J33" s="45">
        <v>2</v>
      </c>
      <c r="K33" s="51">
        <v>20808</v>
      </c>
      <c r="L33" s="45">
        <v>6</v>
      </c>
      <c r="M33" s="45">
        <v>24</v>
      </c>
      <c r="N33" s="45"/>
      <c r="O33" s="45"/>
      <c r="P33" s="49">
        <v>32202</v>
      </c>
      <c r="Q33" s="34">
        <v>0</v>
      </c>
      <c r="R33" s="34">
        <v>1</v>
      </c>
    </row>
    <row r="34" spans="1:18" ht="14.25">
      <c r="A34" s="47"/>
      <c r="B34" s="51">
        <v>20810</v>
      </c>
      <c r="C34" s="45">
        <v>2</v>
      </c>
      <c r="D34" s="46" t="s">
        <v>821</v>
      </c>
      <c r="E34" s="47" t="s">
        <v>142</v>
      </c>
      <c r="F34" s="45" t="s">
        <v>429</v>
      </c>
      <c r="G34" s="45"/>
      <c r="H34" s="45">
        <v>1</v>
      </c>
      <c r="I34" s="45">
        <v>1</v>
      </c>
      <c r="J34" s="45">
        <v>2</v>
      </c>
      <c r="K34" s="51">
        <v>20809</v>
      </c>
      <c r="L34" s="45">
        <v>6</v>
      </c>
      <c r="M34" s="45">
        <v>25</v>
      </c>
      <c r="N34" s="45"/>
      <c r="O34" s="45"/>
      <c r="P34" s="49">
        <v>32202</v>
      </c>
      <c r="Q34" s="34">
        <v>0</v>
      </c>
      <c r="R34" s="34">
        <v>1</v>
      </c>
    </row>
    <row r="35" spans="1:18" ht="14.25">
      <c r="A35" s="47"/>
      <c r="B35" s="51">
        <v>20811</v>
      </c>
      <c r="C35" s="45">
        <v>2</v>
      </c>
      <c r="D35" s="46" t="s">
        <v>821</v>
      </c>
      <c r="E35" s="47" t="s">
        <v>142</v>
      </c>
      <c r="F35" s="45" t="s">
        <v>430</v>
      </c>
      <c r="G35" s="45"/>
      <c r="H35" s="45">
        <v>1</v>
      </c>
      <c r="I35" s="45">
        <v>1</v>
      </c>
      <c r="J35" s="45">
        <v>2</v>
      </c>
      <c r="K35" s="51">
        <v>20810</v>
      </c>
      <c r="L35" s="45">
        <v>6</v>
      </c>
      <c r="M35" s="45">
        <v>26</v>
      </c>
      <c r="N35" s="45"/>
      <c r="O35" s="45"/>
      <c r="P35" s="49">
        <v>32208</v>
      </c>
      <c r="Q35" s="34">
        <v>0</v>
      </c>
      <c r="R35" s="34">
        <v>1</v>
      </c>
    </row>
    <row r="36" spans="1:18" ht="14.25">
      <c r="A36" s="47"/>
      <c r="B36" s="51">
        <v>20812</v>
      </c>
      <c r="C36" s="45">
        <v>2</v>
      </c>
      <c r="D36" s="46" t="s">
        <v>821</v>
      </c>
      <c r="E36" s="47" t="s">
        <v>142</v>
      </c>
      <c r="F36" s="45" t="s">
        <v>431</v>
      </c>
      <c r="G36" s="45"/>
      <c r="H36" s="45">
        <v>1</v>
      </c>
      <c r="I36" s="45">
        <v>1</v>
      </c>
      <c r="J36" s="45">
        <v>2</v>
      </c>
      <c r="K36" s="51">
        <v>20811</v>
      </c>
      <c r="L36" s="45">
        <v>6</v>
      </c>
      <c r="M36" s="45">
        <v>27</v>
      </c>
      <c r="N36" s="45"/>
      <c r="O36" s="45"/>
      <c r="P36" s="49">
        <v>32208</v>
      </c>
      <c r="Q36" s="34">
        <v>0</v>
      </c>
      <c r="R36" s="34">
        <v>1</v>
      </c>
    </row>
    <row r="37" spans="1:18" ht="14.25">
      <c r="A37" s="47"/>
      <c r="B37" s="51">
        <v>20813</v>
      </c>
      <c r="C37" s="45">
        <v>2</v>
      </c>
      <c r="D37" s="46" t="s">
        <v>821</v>
      </c>
      <c r="E37" s="47" t="s">
        <v>142</v>
      </c>
      <c r="F37" s="45" t="s">
        <v>432</v>
      </c>
      <c r="G37" s="45"/>
      <c r="H37" s="45">
        <v>1</v>
      </c>
      <c r="I37" s="45">
        <v>1</v>
      </c>
      <c r="J37" s="45">
        <v>2</v>
      </c>
      <c r="K37" s="51">
        <v>20812</v>
      </c>
      <c r="L37" s="45">
        <v>6</v>
      </c>
      <c r="M37" s="45">
        <v>28</v>
      </c>
      <c r="N37" s="45"/>
      <c r="O37" s="45"/>
      <c r="P37" s="49">
        <v>32208</v>
      </c>
      <c r="Q37" s="34">
        <v>0</v>
      </c>
      <c r="R37" s="34">
        <v>1</v>
      </c>
    </row>
    <row r="38" spans="1:18" ht="14.25">
      <c r="A38" s="47"/>
      <c r="B38" s="51">
        <v>20814</v>
      </c>
      <c r="C38" s="45">
        <v>2</v>
      </c>
      <c r="D38" s="46" t="s">
        <v>821</v>
      </c>
      <c r="E38" s="47" t="s">
        <v>142</v>
      </c>
      <c r="F38" s="45" t="s">
        <v>433</v>
      </c>
      <c r="G38" s="45"/>
      <c r="H38" s="45">
        <v>1</v>
      </c>
      <c r="I38" s="45">
        <v>1</v>
      </c>
      <c r="J38" s="45">
        <v>2</v>
      </c>
      <c r="K38" s="51">
        <v>20813</v>
      </c>
      <c r="L38" s="45">
        <v>6</v>
      </c>
      <c r="M38" s="45">
        <v>29</v>
      </c>
      <c r="N38" s="45"/>
      <c r="O38" s="45"/>
      <c r="P38" s="49">
        <v>32208</v>
      </c>
      <c r="Q38" s="34">
        <v>0</v>
      </c>
      <c r="R38" s="34">
        <v>1</v>
      </c>
    </row>
    <row r="39" spans="1:18" ht="14.25">
      <c r="A39" s="47"/>
      <c r="B39" s="51">
        <v>20815</v>
      </c>
      <c r="C39" s="45">
        <v>2</v>
      </c>
      <c r="D39" s="46" t="s">
        <v>821</v>
      </c>
      <c r="E39" s="47" t="s">
        <v>142</v>
      </c>
      <c r="F39" s="45" t="s">
        <v>434</v>
      </c>
      <c r="G39" s="45"/>
      <c r="H39" s="45">
        <v>1</v>
      </c>
      <c r="I39" s="45">
        <v>1</v>
      </c>
      <c r="J39" s="45">
        <v>2</v>
      </c>
      <c r="K39" s="51">
        <v>20814</v>
      </c>
      <c r="L39" s="45">
        <v>6</v>
      </c>
      <c r="M39" s="45">
        <v>30</v>
      </c>
      <c r="N39" s="45"/>
      <c r="O39" s="45"/>
      <c r="P39" s="49">
        <v>32213</v>
      </c>
      <c r="Q39" s="34">
        <v>0</v>
      </c>
      <c r="R39" s="34">
        <v>1</v>
      </c>
    </row>
    <row r="40" spans="1:18" hidden="1">
      <c r="A40" s="53" t="s">
        <v>803</v>
      </c>
      <c r="B40" s="54">
        <v>11015</v>
      </c>
      <c r="C40" s="54">
        <v>2</v>
      </c>
      <c r="D40" s="55" t="s">
        <v>360</v>
      </c>
      <c r="E40" s="56" t="s">
        <v>142</v>
      </c>
      <c r="F40" s="54" t="s">
        <v>314</v>
      </c>
      <c r="G40" s="57"/>
      <c r="H40" s="57">
        <v>1</v>
      </c>
      <c r="I40" s="57">
        <v>1</v>
      </c>
      <c r="J40" s="57">
        <v>2</v>
      </c>
      <c r="K40" s="54" t="s">
        <v>828</v>
      </c>
      <c r="L40" s="57">
        <v>6</v>
      </c>
      <c r="M40" s="57" t="s">
        <v>333</v>
      </c>
      <c r="N40" s="57"/>
      <c r="O40" s="57"/>
      <c r="P40" s="57">
        <v>32136</v>
      </c>
      <c r="Q40" s="42">
        <v>0</v>
      </c>
      <c r="R40" s="57">
        <v>0</v>
      </c>
    </row>
    <row r="41" spans="1:18" hidden="1">
      <c r="A41" s="53" t="s">
        <v>803</v>
      </c>
      <c r="B41" s="54">
        <v>11016</v>
      </c>
      <c r="C41" s="54">
        <v>2</v>
      </c>
      <c r="D41" s="55" t="s">
        <v>360</v>
      </c>
      <c r="E41" s="56" t="s">
        <v>142</v>
      </c>
      <c r="F41" s="54" t="s">
        <v>315</v>
      </c>
      <c r="G41" s="57"/>
      <c r="H41" s="57">
        <v>1</v>
      </c>
      <c r="I41" s="57">
        <v>1</v>
      </c>
      <c r="J41" s="57">
        <v>2</v>
      </c>
      <c r="K41" s="54" t="s">
        <v>829</v>
      </c>
      <c r="L41" s="57">
        <v>6</v>
      </c>
      <c r="M41" s="57" t="s">
        <v>334</v>
      </c>
      <c r="N41" s="57"/>
      <c r="O41" s="57"/>
      <c r="P41" s="57">
        <v>32137</v>
      </c>
      <c r="Q41" s="42">
        <v>0</v>
      </c>
      <c r="R41" s="57">
        <v>0</v>
      </c>
    </row>
    <row r="42" spans="1:18" hidden="1">
      <c r="A42" s="53" t="s">
        <v>803</v>
      </c>
      <c r="B42" s="54">
        <v>11017</v>
      </c>
      <c r="C42" s="54">
        <v>2</v>
      </c>
      <c r="D42" s="55" t="s">
        <v>360</v>
      </c>
      <c r="E42" s="56" t="s">
        <v>142</v>
      </c>
      <c r="F42" s="54" t="s">
        <v>316</v>
      </c>
      <c r="G42" s="57"/>
      <c r="H42" s="57">
        <v>1</v>
      </c>
      <c r="I42" s="57">
        <v>1</v>
      </c>
      <c r="J42" s="57">
        <v>2</v>
      </c>
      <c r="K42" s="54" t="s">
        <v>830</v>
      </c>
      <c r="L42" s="57">
        <v>6</v>
      </c>
      <c r="M42" s="57" t="s">
        <v>193</v>
      </c>
      <c r="N42" s="57"/>
      <c r="O42" s="57"/>
      <c r="P42" s="57">
        <v>32138</v>
      </c>
      <c r="Q42" s="42">
        <v>0</v>
      </c>
      <c r="R42" s="57">
        <v>0</v>
      </c>
    </row>
    <row r="43" spans="1:18" hidden="1">
      <c r="A43" s="53" t="s">
        <v>803</v>
      </c>
      <c r="B43" s="54">
        <v>11018</v>
      </c>
      <c r="C43" s="54">
        <v>2</v>
      </c>
      <c r="D43" s="55" t="s">
        <v>360</v>
      </c>
      <c r="E43" s="56" t="s">
        <v>142</v>
      </c>
      <c r="F43" s="54" t="s">
        <v>317</v>
      </c>
      <c r="G43" s="57"/>
      <c r="H43" s="57">
        <v>1</v>
      </c>
      <c r="I43" s="57">
        <v>1</v>
      </c>
      <c r="J43" s="57">
        <v>2</v>
      </c>
      <c r="K43" s="54" t="s">
        <v>831</v>
      </c>
      <c r="L43" s="57">
        <v>6</v>
      </c>
      <c r="M43" s="57" t="s">
        <v>209</v>
      </c>
      <c r="N43" s="57"/>
      <c r="O43" s="57"/>
      <c r="P43" s="57">
        <v>32139</v>
      </c>
      <c r="Q43" s="42">
        <v>0</v>
      </c>
      <c r="R43" s="57">
        <v>0</v>
      </c>
    </row>
    <row r="44" spans="1:18" hidden="1">
      <c r="A44" s="53" t="s">
        <v>803</v>
      </c>
      <c r="B44" s="54">
        <v>11019</v>
      </c>
      <c r="C44" s="54">
        <v>2</v>
      </c>
      <c r="D44" s="55" t="s">
        <v>360</v>
      </c>
      <c r="E44" s="56" t="s">
        <v>142</v>
      </c>
      <c r="F44" s="54" t="s">
        <v>318</v>
      </c>
      <c r="G44" s="57"/>
      <c r="H44" s="57">
        <v>1</v>
      </c>
      <c r="I44" s="57">
        <v>1</v>
      </c>
      <c r="J44" s="57">
        <v>2</v>
      </c>
      <c r="K44" s="54" t="s">
        <v>832</v>
      </c>
      <c r="L44" s="57">
        <v>6</v>
      </c>
      <c r="M44" s="57" t="s">
        <v>210</v>
      </c>
      <c r="N44" s="57"/>
      <c r="O44" s="57"/>
      <c r="P44" s="57">
        <v>32140</v>
      </c>
      <c r="Q44" s="42">
        <v>0</v>
      </c>
      <c r="R44" s="57">
        <v>0</v>
      </c>
    </row>
    <row r="45" spans="1:18" hidden="1">
      <c r="A45" s="53" t="s">
        <v>803</v>
      </c>
      <c r="B45" s="54">
        <v>11020</v>
      </c>
      <c r="C45" s="54">
        <v>2</v>
      </c>
      <c r="D45" s="55" t="s">
        <v>360</v>
      </c>
      <c r="E45" s="56" t="s">
        <v>142</v>
      </c>
      <c r="F45" s="54" t="s">
        <v>319</v>
      </c>
      <c r="G45" s="57"/>
      <c r="H45" s="57">
        <v>1</v>
      </c>
      <c r="I45" s="57">
        <v>1</v>
      </c>
      <c r="J45" s="57">
        <v>2</v>
      </c>
      <c r="K45" s="54" t="s">
        <v>833</v>
      </c>
      <c r="L45" s="57">
        <v>6</v>
      </c>
      <c r="M45" s="57" t="s">
        <v>335</v>
      </c>
      <c r="N45" s="57"/>
      <c r="O45" s="57"/>
      <c r="P45" s="57">
        <v>32141</v>
      </c>
      <c r="Q45" s="42">
        <v>0</v>
      </c>
      <c r="R45" s="57">
        <v>0</v>
      </c>
    </row>
    <row r="46" spans="1:18" hidden="1">
      <c r="A46" s="53" t="s">
        <v>803</v>
      </c>
      <c r="B46" s="54">
        <v>11021</v>
      </c>
      <c r="C46" s="54">
        <v>2</v>
      </c>
      <c r="D46" s="55" t="s">
        <v>360</v>
      </c>
      <c r="E46" s="56" t="s">
        <v>142</v>
      </c>
      <c r="F46" s="54" t="s">
        <v>320</v>
      </c>
      <c r="G46" s="57"/>
      <c r="H46" s="57">
        <v>1</v>
      </c>
      <c r="I46" s="57">
        <v>1</v>
      </c>
      <c r="J46" s="57">
        <v>2</v>
      </c>
      <c r="K46" s="54" t="s">
        <v>834</v>
      </c>
      <c r="L46" s="57">
        <v>6</v>
      </c>
      <c r="M46" s="57" t="s">
        <v>336</v>
      </c>
      <c r="N46" s="57"/>
      <c r="O46" s="57"/>
      <c r="P46" s="57">
        <v>32142</v>
      </c>
      <c r="Q46" s="42">
        <v>0</v>
      </c>
      <c r="R46" s="57">
        <v>0</v>
      </c>
    </row>
    <row r="47" spans="1:18" hidden="1">
      <c r="A47" s="53" t="s">
        <v>803</v>
      </c>
      <c r="B47" s="54">
        <v>11022</v>
      </c>
      <c r="C47" s="54">
        <v>2</v>
      </c>
      <c r="D47" s="55" t="s">
        <v>360</v>
      </c>
      <c r="E47" s="56" t="s">
        <v>142</v>
      </c>
      <c r="F47" s="54" t="s">
        <v>321</v>
      </c>
      <c r="G47" s="57"/>
      <c r="H47" s="57">
        <v>1</v>
      </c>
      <c r="I47" s="57">
        <v>1</v>
      </c>
      <c r="J47" s="57">
        <v>2</v>
      </c>
      <c r="K47" s="54" t="s">
        <v>835</v>
      </c>
      <c r="L47" s="57">
        <v>6</v>
      </c>
      <c r="M47" s="57" t="s">
        <v>337</v>
      </c>
      <c r="N47" s="57"/>
      <c r="O47" s="57"/>
      <c r="P47" s="57">
        <v>32143</v>
      </c>
      <c r="Q47" s="42">
        <v>0</v>
      </c>
      <c r="R47" s="57">
        <v>0</v>
      </c>
    </row>
    <row r="48" spans="1:18" hidden="1">
      <c r="A48" s="53" t="s">
        <v>803</v>
      </c>
      <c r="B48" s="54">
        <v>11023</v>
      </c>
      <c r="C48" s="54">
        <v>2</v>
      </c>
      <c r="D48" s="55" t="s">
        <v>360</v>
      </c>
      <c r="E48" s="56" t="s">
        <v>142</v>
      </c>
      <c r="F48" s="54" t="s">
        <v>322</v>
      </c>
      <c r="G48" s="57"/>
      <c r="H48" s="57">
        <v>1</v>
      </c>
      <c r="I48" s="57">
        <v>1</v>
      </c>
      <c r="J48" s="57">
        <v>2</v>
      </c>
      <c r="K48" s="54" t="s">
        <v>836</v>
      </c>
      <c r="L48" s="57">
        <v>6</v>
      </c>
      <c r="M48" s="57" t="s">
        <v>338</v>
      </c>
      <c r="N48" s="57"/>
      <c r="O48" s="57"/>
      <c r="P48" s="57">
        <v>32144</v>
      </c>
      <c r="Q48" s="42">
        <v>0</v>
      </c>
      <c r="R48" s="57">
        <v>0</v>
      </c>
    </row>
    <row r="49" spans="1:18" hidden="1">
      <c r="A49" s="53" t="s">
        <v>803</v>
      </c>
      <c r="B49" s="54">
        <v>11024</v>
      </c>
      <c r="C49" s="54">
        <v>2</v>
      </c>
      <c r="D49" s="55" t="s">
        <v>360</v>
      </c>
      <c r="E49" s="56" t="s">
        <v>142</v>
      </c>
      <c r="F49" s="54" t="s">
        <v>239</v>
      </c>
      <c r="G49" s="57"/>
      <c r="H49" s="57">
        <v>1</v>
      </c>
      <c r="I49" s="57">
        <v>1</v>
      </c>
      <c r="J49" s="57">
        <v>2</v>
      </c>
      <c r="K49" s="54" t="s">
        <v>837</v>
      </c>
      <c r="L49" s="57">
        <v>6</v>
      </c>
      <c r="M49" s="57" t="s">
        <v>339</v>
      </c>
      <c r="N49" s="57"/>
      <c r="O49" s="57"/>
      <c r="P49" s="57">
        <v>32145</v>
      </c>
      <c r="Q49" s="42">
        <v>0</v>
      </c>
      <c r="R49" s="57">
        <v>0</v>
      </c>
    </row>
    <row r="50" spans="1:18" hidden="1">
      <c r="A50" s="53" t="s">
        <v>803</v>
      </c>
      <c r="B50" s="54">
        <v>11025</v>
      </c>
      <c r="C50" s="54">
        <v>2</v>
      </c>
      <c r="D50" s="55" t="s">
        <v>360</v>
      </c>
      <c r="E50" s="56" t="s">
        <v>142</v>
      </c>
      <c r="F50" s="54" t="s">
        <v>323</v>
      </c>
      <c r="G50" s="57"/>
      <c r="H50" s="57">
        <v>1</v>
      </c>
      <c r="I50" s="57">
        <v>1</v>
      </c>
      <c r="J50" s="57">
        <v>2</v>
      </c>
      <c r="K50" s="54" t="s">
        <v>838</v>
      </c>
      <c r="L50" s="57">
        <v>6</v>
      </c>
      <c r="M50" s="57" t="s">
        <v>340</v>
      </c>
      <c r="N50" s="57"/>
      <c r="O50" s="57"/>
      <c r="P50" s="57">
        <v>32146</v>
      </c>
      <c r="Q50" s="42">
        <v>0</v>
      </c>
      <c r="R50" s="57">
        <v>0</v>
      </c>
    </row>
    <row r="51" spans="1:18" hidden="1">
      <c r="A51" s="53" t="s">
        <v>803</v>
      </c>
      <c r="B51" s="54">
        <v>11026</v>
      </c>
      <c r="C51" s="54">
        <v>2</v>
      </c>
      <c r="D51" s="55" t="s">
        <v>360</v>
      </c>
      <c r="E51" s="56" t="s">
        <v>142</v>
      </c>
      <c r="F51" s="54" t="s">
        <v>324</v>
      </c>
      <c r="G51" s="57"/>
      <c r="H51" s="57">
        <v>1</v>
      </c>
      <c r="I51" s="57">
        <v>1</v>
      </c>
      <c r="J51" s="57">
        <v>2</v>
      </c>
      <c r="K51" s="54" t="s">
        <v>839</v>
      </c>
      <c r="L51" s="57">
        <v>6</v>
      </c>
      <c r="M51" s="57" t="s">
        <v>341</v>
      </c>
      <c r="N51" s="57"/>
      <c r="O51" s="57"/>
      <c r="P51" s="57">
        <v>32147</v>
      </c>
      <c r="Q51" s="42">
        <v>0</v>
      </c>
      <c r="R51" s="57">
        <v>0</v>
      </c>
    </row>
    <row r="52" spans="1:18" hidden="1">
      <c r="A52" s="53" t="s">
        <v>803</v>
      </c>
      <c r="B52" s="54">
        <v>11027</v>
      </c>
      <c r="C52" s="54">
        <v>2</v>
      </c>
      <c r="D52" s="55" t="s">
        <v>360</v>
      </c>
      <c r="E52" s="56" t="s">
        <v>142</v>
      </c>
      <c r="F52" s="54" t="s">
        <v>325</v>
      </c>
      <c r="G52" s="57"/>
      <c r="H52" s="57">
        <v>1</v>
      </c>
      <c r="I52" s="57">
        <v>1</v>
      </c>
      <c r="J52" s="57">
        <v>2</v>
      </c>
      <c r="K52" s="54" t="s">
        <v>840</v>
      </c>
      <c r="L52" s="57">
        <v>6</v>
      </c>
      <c r="M52" s="57" t="s">
        <v>342</v>
      </c>
      <c r="N52" s="57"/>
      <c r="O52" s="57"/>
      <c r="P52" s="57">
        <v>32148</v>
      </c>
      <c r="Q52" s="42">
        <v>0</v>
      </c>
      <c r="R52" s="57">
        <v>0</v>
      </c>
    </row>
    <row r="53" spans="1:18" hidden="1">
      <c r="A53" s="53" t="s">
        <v>803</v>
      </c>
      <c r="B53" s="54">
        <v>11028</v>
      </c>
      <c r="C53" s="54">
        <v>2</v>
      </c>
      <c r="D53" s="55" t="s">
        <v>360</v>
      </c>
      <c r="E53" s="56" t="s">
        <v>142</v>
      </c>
      <c r="F53" s="54" t="s">
        <v>326</v>
      </c>
      <c r="G53" s="57"/>
      <c r="H53" s="57">
        <v>1</v>
      </c>
      <c r="I53" s="57">
        <v>1</v>
      </c>
      <c r="J53" s="57">
        <v>2</v>
      </c>
      <c r="K53" s="54" t="s">
        <v>841</v>
      </c>
      <c r="L53" s="57">
        <v>6</v>
      </c>
      <c r="M53" s="57" t="s">
        <v>343</v>
      </c>
      <c r="N53" s="57"/>
      <c r="O53" s="57"/>
      <c r="P53" s="57">
        <v>32149</v>
      </c>
      <c r="Q53" s="42">
        <v>0</v>
      </c>
      <c r="R53" s="57">
        <v>0</v>
      </c>
    </row>
    <row r="54" spans="1:18" hidden="1">
      <c r="A54" s="53" t="s">
        <v>803</v>
      </c>
      <c r="B54" s="54">
        <v>11029</v>
      </c>
      <c r="C54" s="54">
        <v>2</v>
      </c>
      <c r="D54" s="55" t="s">
        <v>360</v>
      </c>
      <c r="E54" s="56" t="s">
        <v>142</v>
      </c>
      <c r="F54" s="54" t="s">
        <v>327</v>
      </c>
      <c r="G54" s="57"/>
      <c r="H54" s="57">
        <v>1</v>
      </c>
      <c r="I54" s="57">
        <v>1</v>
      </c>
      <c r="J54" s="57">
        <v>2</v>
      </c>
      <c r="K54" s="54" t="s">
        <v>842</v>
      </c>
      <c r="L54" s="57">
        <v>6</v>
      </c>
      <c r="M54" s="57" t="s">
        <v>344</v>
      </c>
      <c r="N54" s="57"/>
      <c r="O54" s="57"/>
      <c r="P54" s="57">
        <v>32150</v>
      </c>
      <c r="Q54" s="42">
        <v>0</v>
      </c>
      <c r="R54" s="57">
        <v>0</v>
      </c>
    </row>
    <row r="55" spans="1:18" hidden="1">
      <c r="A55" s="53" t="s">
        <v>803</v>
      </c>
      <c r="B55" s="54">
        <v>11030</v>
      </c>
      <c r="C55" s="54">
        <v>2</v>
      </c>
      <c r="D55" s="55" t="s">
        <v>360</v>
      </c>
      <c r="E55" s="56" t="s">
        <v>142</v>
      </c>
      <c r="F55" s="54" t="s">
        <v>328</v>
      </c>
      <c r="G55" s="57"/>
      <c r="H55" s="57">
        <v>1</v>
      </c>
      <c r="I55" s="57">
        <v>1</v>
      </c>
      <c r="J55" s="57">
        <v>2</v>
      </c>
      <c r="K55" s="54" t="s">
        <v>843</v>
      </c>
      <c r="L55" s="57">
        <v>6</v>
      </c>
      <c r="M55" s="57" t="s">
        <v>345</v>
      </c>
      <c r="N55" s="57"/>
      <c r="O55" s="57"/>
      <c r="P55" s="57">
        <v>32151</v>
      </c>
      <c r="Q55" s="42">
        <v>0</v>
      </c>
      <c r="R55" s="57">
        <v>0</v>
      </c>
    </row>
    <row r="56" spans="1:18" hidden="1">
      <c r="A56" s="53" t="s">
        <v>803</v>
      </c>
      <c r="B56" s="54">
        <v>11031</v>
      </c>
      <c r="C56" s="54">
        <v>2</v>
      </c>
      <c r="D56" s="55" t="s">
        <v>360</v>
      </c>
      <c r="E56" s="56" t="s">
        <v>142</v>
      </c>
      <c r="F56" s="54" t="s">
        <v>329</v>
      </c>
      <c r="G56" s="57"/>
      <c r="H56" s="57">
        <v>1</v>
      </c>
      <c r="I56" s="57">
        <v>1</v>
      </c>
      <c r="J56" s="57">
        <v>2</v>
      </c>
      <c r="K56" s="54" t="s">
        <v>844</v>
      </c>
      <c r="L56" s="57">
        <v>6</v>
      </c>
      <c r="M56" s="57" t="s">
        <v>346</v>
      </c>
      <c r="N56" s="57"/>
      <c r="O56" s="57"/>
      <c r="P56" s="57">
        <v>32152</v>
      </c>
      <c r="Q56" s="42">
        <v>0</v>
      </c>
      <c r="R56" s="57">
        <v>0</v>
      </c>
    </row>
    <row r="57" spans="1:18" hidden="1">
      <c r="A57" s="53" t="s">
        <v>803</v>
      </c>
      <c r="B57" s="54">
        <v>11032</v>
      </c>
      <c r="C57" s="54">
        <v>2</v>
      </c>
      <c r="D57" s="55" t="s">
        <v>360</v>
      </c>
      <c r="E57" s="56" t="s">
        <v>142</v>
      </c>
      <c r="F57" s="54" t="s">
        <v>330</v>
      </c>
      <c r="G57" s="57"/>
      <c r="H57" s="57">
        <v>1</v>
      </c>
      <c r="I57" s="57">
        <v>1</v>
      </c>
      <c r="J57" s="57">
        <v>2</v>
      </c>
      <c r="K57" s="54" t="s">
        <v>845</v>
      </c>
      <c r="L57" s="57">
        <v>6</v>
      </c>
      <c r="M57" s="57" t="s">
        <v>347</v>
      </c>
      <c r="N57" s="57"/>
      <c r="O57" s="57"/>
      <c r="P57" s="57">
        <v>32153</v>
      </c>
      <c r="Q57" s="42">
        <v>0</v>
      </c>
      <c r="R57" s="57">
        <v>0</v>
      </c>
    </row>
    <row r="58" spans="1:18" hidden="1">
      <c r="A58" s="53" t="s">
        <v>803</v>
      </c>
      <c r="B58" s="54">
        <v>11033</v>
      </c>
      <c r="C58" s="54">
        <v>2</v>
      </c>
      <c r="D58" s="55" t="s">
        <v>360</v>
      </c>
      <c r="E58" s="56" t="s">
        <v>142</v>
      </c>
      <c r="F58" s="54" t="s">
        <v>331</v>
      </c>
      <c r="G58" s="57"/>
      <c r="H58" s="57">
        <v>1</v>
      </c>
      <c r="I58" s="57">
        <v>1</v>
      </c>
      <c r="J58" s="57">
        <v>2</v>
      </c>
      <c r="K58" s="54" t="s">
        <v>846</v>
      </c>
      <c r="L58" s="57">
        <v>6</v>
      </c>
      <c r="M58" s="57" t="s">
        <v>348</v>
      </c>
      <c r="N58" s="57"/>
      <c r="O58" s="57"/>
      <c r="P58" s="57">
        <v>32154</v>
      </c>
      <c r="Q58" s="42">
        <v>0</v>
      </c>
      <c r="R58" s="57">
        <v>0</v>
      </c>
    </row>
    <row r="59" spans="1:18" hidden="1">
      <c r="A59" s="53" t="s">
        <v>803</v>
      </c>
      <c r="B59" s="54">
        <v>11034</v>
      </c>
      <c r="C59" s="54">
        <v>2</v>
      </c>
      <c r="D59" s="55" t="s">
        <v>360</v>
      </c>
      <c r="E59" s="56" t="s">
        <v>142</v>
      </c>
      <c r="F59" s="54" t="s">
        <v>240</v>
      </c>
      <c r="G59" s="57"/>
      <c r="H59" s="57">
        <v>1</v>
      </c>
      <c r="I59" s="57">
        <v>1</v>
      </c>
      <c r="J59" s="57">
        <v>2</v>
      </c>
      <c r="K59" s="54" t="s">
        <v>847</v>
      </c>
      <c r="L59" s="57">
        <v>6</v>
      </c>
      <c r="M59" s="57" t="s">
        <v>349</v>
      </c>
      <c r="N59" s="57"/>
      <c r="O59" s="57"/>
      <c r="P59" s="57">
        <v>32155</v>
      </c>
      <c r="Q59" s="42">
        <v>0</v>
      </c>
      <c r="R59" s="57">
        <v>0</v>
      </c>
    </row>
    <row r="60" spans="1:18" hidden="1">
      <c r="A60" s="53" t="s">
        <v>803</v>
      </c>
      <c r="B60" s="54">
        <v>11035</v>
      </c>
      <c r="C60" s="54">
        <v>2</v>
      </c>
      <c r="D60" s="55" t="s">
        <v>360</v>
      </c>
      <c r="E60" s="56" t="s">
        <v>142</v>
      </c>
      <c r="F60" s="54" t="s">
        <v>848</v>
      </c>
      <c r="G60" s="57"/>
      <c r="H60" s="57">
        <v>1</v>
      </c>
      <c r="I60" s="57">
        <v>1</v>
      </c>
      <c r="J60" s="57">
        <v>2</v>
      </c>
      <c r="K60" s="54" t="s">
        <v>849</v>
      </c>
      <c r="L60" s="57">
        <v>6</v>
      </c>
      <c r="M60" s="57" t="s">
        <v>850</v>
      </c>
      <c r="N60" s="57"/>
      <c r="O60" s="57"/>
      <c r="P60" s="57">
        <v>32156</v>
      </c>
      <c r="Q60" s="42">
        <v>0</v>
      </c>
      <c r="R60" s="57">
        <v>0</v>
      </c>
    </row>
    <row r="61" spans="1:18" hidden="1">
      <c r="A61" s="53" t="s">
        <v>803</v>
      </c>
      <c r="B61" s="54">
        <v>11036</v>
      </c>
      <c r="C61" s="54">
        <v>2</v>
      </c>
      <c r="D61" s="55" t="s">
        <v>360</v>
      </c>
      <c r="E61" s="56" t="s">
        <v>142</v>
      </c>
      <c r="F61" s="54" t="s">
        <v>851</v>
      </c>
      <c r="G61" s="57"/>
      <c r="H61" s="57">
        <v>1</v>
      </c>
      <c r="I61" s="57">
        <v>1</v>
      </c>
      <c r="J61" s="57">
        <v>2</v>
      </c>
      <c r="K61" s="54" t="s">
        <v>852</v>
      </c>
      <c r="L61" s="57">
        <v>6</v>
      </c>
      <c r="M61" s="57" t="s">
        <v>853</v>
      </c>
      <c r="N61" s="57"/>
      <c r="O61" s="57"/>
      <c r="P61" s="57">
        <v>32157</v>
      </c>
      <c r="Q61" s="42">
        <v>0</v>
      </c>
      <c r="R61" s="57">
        <v>0</v>
      </c>
    </row>
    <row r="62" spans="1:18" hidden="1">
      <c r="A62" s="53" t="s">
        <v>803</v>
      </c>
      <c r="B62" s="54">
        <v>11037</v>
      </c>
      <c r="C62" s="54">
        <v>2</v>
      </c>
      <c r="D62" s="55" t="s">
        <v>360</v>
      </c>
      <c r="E62" s="56" t="s">
        <v>142</v>
      </c>
      <c r="F62" s="54" t="s">
        <v>854</v>
      </c>
      <c r="G62" s="57"/>
      <c r="H62" s="57">
        <v>1</v>
      </c>
      <c r="I62" s="57">
        <v>1</v>
      </c>
      <c r="J62" s="57">
        <v>2</v>
      </c>
      <c r="K62" s="54" t="s">
        <v>855</v>
      </c>
      <c r="L62" s="57">
        <v>6</v>
      </c>
      <c r="M62" s="57" t="s">
        <v>856</v>
      </c>
      <c r="N62" s="57"/>
      <c r="O62" s="57"/>
      <c r="P62" s="57">
        <v>32158</v>
      </c>
      <c r="Q62" s="42">
        <v>0</v>
      </c>
      <c r="R62" s="57">
        <v>0</v>
      </c>
    </row>
    <row r="63" spans="1:18" hidden="1">
      <c r="A63" s="53" t="s">
        <v>803</v>
      </c>
      <c r="B63" s="13">
        <v>12000</v>
      </c>
      <c r="C63" s="13">
        <v>2</v>
      </c>
      <c r="D63" s="40" t="s">
        <v>857</v>
      </c>
      <c r="E63" s="43" t="s">
        <v>143</v>
      </c>
      <c r="F63" s="58" t="s">
        <v>241</v>
      </c>
      <c r="G63" s="13"/>
      <c r="H63" s="13">
        <v>1</v>
      </c>
      <c r="I63" s="13" t="s">
        <v>858</v>
      </c>
      <c r="J63" s="13"/>
      <c r="K63" s="42" t="s">
        <v>818</v>
      </c>
      <c r="L63" s="13" t="s">
        <v>859</v>
      </c>
      <c r="M63" s="13" t="s">
        <v>860</v>
      </c>
      <c r="N63" s="13"/>
      <c r="O63" s="13"/>
      <c r="P63" s="13">
        <v>32026</v>
      </c>
      <c r="Q63" s="42">
        <v>0</v>
      </c>
      <c r="R63" s="13">
        <v>0</v>
      </c>
    </row>
    <row r="64" spans="1:18" hidden="1">
      <c r="A64" s="53" t="s">
        <v>803</v>
      </c>
      <c r="B64" s="13">
        <v>12001</v>
      </c>
      <c r="C64" s="13">
        <v>2</v>
      </c>
      <c r="D64" s="40" t="s">
        <v>857</v>
      </c>
      <c r="E64" s="43" t="s">
        <v>143</v>
      </c>
      <c r="F64" s="59" t="s">
        <v>242</v>
      </c>
      <c r="G64" s="13"/>
      <c r="H64" s="13">
        <v>1</v>
      </c>
      <c r="I64" s="13" t="s">
        <v>858</v>
      </c>
      <c r="J64" s="13">
        <v>2</v>
      </c>
      <c r="K64" s="42">
        <v>12000</v>
      </c>
      <c r="L64" s="13" t="s">
        <v>859</v>
      </c>
      <c r="M64" s="13">
        <v>10000</v>
      </c>
      <c r="N64" s="13"/>
      <c r="O64" s="13"/>
      <c r="P64" s="13">
        <v>32027</v>
      </c>
      <c r="Q64" s="42">
        <v>0</v>
      </c>
      <c r="R64" s="13">
        <v>0</v>
      </c>
    </row>
    <row r="65" spans="1:18" hidden="1">
      <c r="A65" s="53" t="s">
        <v>803</v>
      </c>
      <c r="B65" s="13">
        <v>12002</v>
      </c>
      <c r="C65" s="13">
        <v>2</v>
      </c>
      <c r="D65" s="40" t="s">
        <v>857</v>
      </c>
      <c r="E65" s="43" t="s">
        <v>143</v>
      </c>
      <c r="F65" s="59" t="s">
        <v>243</v>
      </c>
      <c r="G65" s="13"/>
      <c r="H65" s="13">
        <v>1</v>
      </c>
      <c r="I65" s="13" t="s">
        <v>858</v>
      </c>
      <c r="J65" s="13">
        <v>2</v>
      </c>
      <c r="K65" s="42">
        <v>12001</v>
      </c>
      <c r="L65" s="13" t="s">
        <v>859</v>
      </c>
      <c r="M65" s="13" t="s">
        <v>861</v>
      </c>
      <c r="N65" s="13"/>
      <c r="O65" s="13"/>
      <c r="P65" s="13">
        <v>32028</v>
      </c>
      <c r="Q65" s="42">
        <v>0</v>
      </c>
      <c r="R65" s="13">
        <v>0</v>
      </c>
    </row>
    <row r="66" spans="1:18" hidden="1">
      <c r="A66" s="53" t="s">
        <v>803</v>
      </c>
      <c r="B66" s="13">
        <v>12003</v>
      </c>
      <c r="C66" s="13">
        <v>2</v>
      </c>
      <c r="D66" s="40" t="s">
        <v>857</v>
      </c>
      <c r="E66" s="43" t="s">
        <v>143</v>
      </c>
      <c r="F66" s="59" t="s">
        <v>244</v>
      </c>
      <c r="G66" s="13"/>
      <c r="H66" s="13">
        <v>1</v>
      </c>
      <c r="I66" s="13" t="s">
        <v>858</v>
      </c>
      <c r="J66" s="13">
        <v>2</v>
      </c>
      <c r="K66" s="42">
        <v>12002</v>
      </c>
      <c r="L66" s="13" t="s">
        <v>859</v>
      </c>
      <c r="M66" s="13" t="s">
        <v>862</v>
      </c>
      <c r="N66" s="13"/>
      <c r="O66" s="13"/>
      <c r="P66" s="13">
        <v>32029</v>
      </c>
      <c r="Q66" s="42">
        <v>0</v>
      </c>
      <c r="R66" s="13">
        <v>0</v>
      </c>
    </row>
    <row r="67" spans="1:18" hidden="1">
      <c r="A67" s="53" t="s">
        <v>803</v>
      </c>
      <c r="B67" s="13">
        <v>12004</v>
      </c>
      <c r="C67" s="13">
        <v>2</v>
      </c>
      <c r="D67" s="40" t="s">
        <v>857</v>
      </c>
      <c r="E67" s="43" t="s">
        <v>143</v>
      </c>
      <c r="F67" s="59" t="s">
        <v>245</v>
      </c>
      <c r="G67" s="13"/>
      <c r="H67" s="13">
        <v>1</v>
      </c>
      <c r="I67" s="13" t="s">
        <v>858</v>
      </c>
      <c r="J67" s="13">
        <v>2</v>
      </c>
      <c r="K67" s="42">
        <v>12003</v>
      </c>
      <c r="L67" s="13" t="s">
        <v>859</v>
      </c>
      <c r="M67" s="13" t="s">
        <v>863</v>
      </c>
      <c r="N67" s="13"/>
      <c r="O67" s="13"/>
      <c r="P67" s="13">
        <v>32030</v>
      </c>
      <c r="Q67" s="42">
        <v>0</v>
      </c>
      <c r="R67" s="13">
        <v>0</v>
      </c>
    </row>
    <row r="68" spans="1:18" hidden="1">
      <c r="A68" s="53" t="s">
        <v>803</v>
      </c>
      <c r="B68" s="13">
        <v>12005</v>
      </c>
      <c r="C68" s="13">
        <v>2</v>
      </c>
      <c r="D68" s="40" t="s">
        <v>857</v>
      </c>
      <c r="E68" s="43" t="s">
        <v>143</v>
      </c>
      <c r="F68" s="59" t="s">
        <v>246</v>
      </c>
      <c r="G68" s="13"/>
      <c r="H68" s="13">
        <v>1</v>
      </c>
      <c r="I68" s="13" t="s">
        <v>858</v>
      </c>
      <c r="J68" s="13">
        <v>2</v>
      </c>
      <c r="K68" s="42">
        <v>12004</v>
      </c>
      <c r="L68" s="13" t="s">
        <v>859</v>
      </c>
      <c r="M68" s="13" t="s">
        <v>864</v>
      </c>
      <c r="N68" s="13"/>
      <c r="O68" s="13"/>
      <c r="P68" s="13">
        <v>32031</v>
      </c>
      <c r="Q68" s="42">
        <v>0</v>
      </c>
      <c r="R68" s="13">
        <v>0</v>
      </c>
    </row>
    <row r="69" spans="1:18" hidden="1">
      <c r="A69" s="53" t="s">
        <v>803</v>
      </c>
      <c r="B69" s="13">
        <v>12006</v>
      </c>
      <c r="C69" s="13">
        <v>2</v>
      </c>
      <c r="D69" s="40" t="s">
        <v>857</v>
      </c>
      <c r="E69" s="43" t="s">
        <v>143</v>
      </c>
      <c r="F69" s="59" t="s">
        <v>247</v>
      </c>
      <c r="G69" s="13"/>
      <c r="H69" s="13">
        <v>1</v>
      </c>
      <c r="I69" s="13" t="s">
        <v>858</v>
      </c>
      <c r="J69" s="13">
        <v>2</v>
      </c>
      <c r="K69" s="42">
        <v>12005</v>
      </c>
      <c r="L69" s="13" t="s">
        <v>859</v>
      </c>
      <c r="M69" s="13" t="s">
        <v>865</v>
      </c>
      <c r="N69" s="13"/>
      <c r="O69" s="13"/>
      <c r="P69" s="13">
        <v>32032</v>
      </c>
      <c r="Q69" s="42">
        <v>0</v>
      </c>
      <c r="R69" s="13">
        <v>0</v>
      </c>
    </row>
    <row r="70" spans="1:18" hidden="1">
      <c r="A70" s="53" t="s">
        <v>803</v>
      </c>
      <c r="B70" s="13">
        <v>12007</v>
      </c>
      <c r="C70" s="13">
        <v>2</v>
      </c>
      <c r="D70" s="40" t="s">
        <v>857</v>
      </c>
      <c r="E70" s="43" t="s">
        <v>143</v>
      </c>
      <c r="F70" s="59" t="s">
        <v>248</v>
      </c>
      <c r="G70" s="13"/>
      <c r="H70" s="13">
        <v>1</v>
      </c>
      <c r="I70" s="13" t="s">
        <v>858</v>
      </c>
      <c r="J70" s="13">
        <v>2</v>
      </c>
      <c r="K70" s="42">
        <v>12006</v>
      </c>
      <c r="L70" s="13" t="s">
        <v>859</v>
      </c>
      <c r="M70" s="13" t="s">
        <v>866</v>
      </c>
      <c r="N70" s="13"/>
      <c r="O70" s="13"/>
      <c r="P70" s="13">
        <v>32033</v>
      </c>
      <c r="Q70" s="42">
        <v>0</v>
      </c>
      <c r="R70" s="13">
        <v>0</v>
      </c>
    </row>
    <row r="71" spans="1:18" hidden="1">
      <c r="A71" s="53" t="s">
        <v>803</v>
      </c>
      <c r="B71" s="13">
        <v>12008</v>
      </c>
      <c r="C71" s="13">
        <v>2</v>
      </c>
      <c r="D71" s="40" t="s">
        <v>857</v>
      </c>
      <c r="E71" s="43" t="s">
        <v>143</v>
      </c>
      <c r="F71" s="59" t="s">
        <v>249</v>
      </c>
      <c r="G71" s="13"/>
      <c r="H71" s="13">
        <v>1</v>
      </c>
      <c r="I71" s="13" t="s">
        <v>858</v>
      </c>
      <c r="J71" s="13">
        <v>2</v>
      </c>
      <c r="K71" s="42">
        <v>12007</v>
      </c>
      <c r="L71" s="13" t="s">
        <v>859</v>
      </c>
      <c r="M71" s="13" t="s">
        <v>867</v>
      </c>
      <c r="N71" s="13"/>
      <c r="O71" s="13"/>
      <c r="P71" s="13">
        <v>32034</v>
      </c>
      <c r="Q71" s="42">
        <v>0</v>
      </c>
      <c r="R71" s="13">
        <v>0</v>
      </c>
    </row>
    <row r="72" spans="1:18" hidden="1">
      <c r="A72" s="53" t="s">
        <v>803</v>
      </c>
      <c r="B72" s="13">
        <v>12009</v>
      </c>
      <c r="C72" s="13">
        <v>2</v>
      </c>
      <c r="D72" s="40" t="s">
        <v>857</v>
      </c>
      <c r="E72" s="43" t="s">
        <v>143</v>
      </c>
      <c r="F72" s="60" t="s">
        <v>250</v>
      </c>
      <c r="G72" s="13"/>
      <c r="H72" s="13">
        <v>1</v>
      </c>
      <c r="I72" s="13" t="s">
        <v>858</v>
      </c>
      <c r="J72" s="13">
        <v>2</v>
      </c>
      <c r="K72" s="42">
        <v>12008</v>
      </c>
      <c r="L72" s="13" t="s">
        <v>188</v>
      </c>
      <c r="M72" s="13" t="s">
        <v>868</v>
      </c>
      <c r="N72" s="13"/>
      <c r="O72" s="13"/>
      <c r="P72" s="13">
        <v>32035</v>
      </c>
      <c r="Q72" s="42">
        <v>0</v>
      </c>
      <c r="R72" s="13">
        <v>0</v>
      </c>
    </row>
    <row r="73" spans="1:18" hidden="1">
      <c r="A73" s="53" t="s">
        <v>803</v>
      </c>
      <c r="B73" s="13">
        <v>12010</v>
      </c>
      <c r="C73" s="13">
        <v>2</v>
      </c>
      <c r="D73" s="40" t="s">
        <v>857</v>
      </c>
      <c r="E73" s="43" t="s">
        <v>143</v>
      </c>
      <c r="F73" s="60" t="s">
        <v>251</v>
      </c>
      <c r="G73" s="13"/>
      <c r="H73" s="13">
        <v>1</v>
      </c>
      <c r="I73" s="13" t="s">
        <v>858</v>
      </c>
      <c r="J73" s="13">
        <v>2</v>
      </c>
      <c r="K73" s="42">
        <v>12009</v>
      </c>
      <c r="L73" s="13" t="s">
        <v>188</v>
      </c>
      <c r="M73" s="13" t="s">
        <v>869</v>
      </c>
      <c r="N73" s="13"/>
      <c r="O73" s="13"/>
      <c r="P73" s="13">
        <v>32036</v>
      </c>
      <c r="Q73" s="42">
        <v>0</v>
      </c>
      <c r="R73" s="13">
        <v>0</v>
      </c>
    </row>
    <row r="74" spans="1:18" hidden="1">
      <c r="A74" s="61" t="s">
        <v>803</v>
      </c>
      <c r="B74" s="62">
        <v>13000</v>
      </c>
      <c r="C74" s="62">
        <v>2</v>
      </c>
      <c r="D74" s="55" t="s">
        <v>870</v>
      </c>
      <c r="E74" s="63" t="s">
        <v>68</v>
      </c>
      <c r="F74" s="57" t="s">
        <v>871</v>
      </c>
      <c r="G74" s="57"/>
      <c r="H74" s="57">
        <v>1</v>
      </c>
      <c r="I74" s="57">
        <v>1</v>
      </c>
      <c r="J74" s="57"/>
      <c r="K74" s="54"/>
      <c r="L74" s="57">
        <v>7</v>
      </c>
      <c r="M74" s="57">
        <v>1</v>
      </c>
      <c r="N74" s="57"/>
      <c r="O74" s="57"/>
      <c r="P74" s="57">
        <v>32159</v>
      </c>
      <c r="Q74" s="42">
        <v>0</v>
      </c>
      <c r="R74" s="57">
        <v>0</v>
      </c>
    </row>
    <row r="75" spans="1:18" hidden="1">
      <c r="A75" s="61" t="s">
        <v>803</v>
      </c>
      <c r="B75" s="57">
        <v>13001</v>
      </c>
      <c r="C75" s="57">
        <v>2</v>
      </c>
      <c r="D75" s="64" t="s">
        <v>870</v>
      </c>
      <c r="E75" s="63" t="s">
        <v>68</v>
      </c>
      <c r="F75" s="57" t="s">
        <v>370</v>
      </c>
      <c r="G75" s="57"/>
      <c r="H75" s="57">
        <v>1</v>
      </c>
      <c r="I75" s="57">
        <v>1</v>
      </c>
      <c r="J75" s="57">
        <v>2</v>
      </c>
      <c r="K75" s="54">
        <v>13000</v>
      </c>
      <c r="L75" s="57">
        <v>7</v>
      </c>
      <c r="M75" s="57">
        <v>2</v>
      </c>
      <c r="N75" s="57"/>
      <c r="O75" s="57"/>
      <c r="P75" s="57">
        <v>32160</v>
      </c>
      <c r="Q75" s="42">
        <v>0</v>
      </c>
      <c r="R75" s="57">
        <v>0</v>
      </c>
    </row>
    <row r="76" spans="1:18" hidden="1">
      <c r="A76" s="61" t="s">
        <v>803</v>
      </c>
      <c r="B76" s="57">
        <v>13002</v>
      </c>
      <c r="C76" s="57">
        <v>2</v>
      </c>
      <c r="D76" s="64" t="s">
        <v>870</v>
      </c>
      <c r="E76" s="63" t="s">
        <v>68</v>
      </c>
      <c r="F76" s="57" t="s">
        <v>371</v>
      </c>
      <c r="G76" s="57"/>
      <c r="H76" s="57">
        <v>1</v>
      </c>
      <c r="I76" s="57">
        <v>1</v>
      </c>
      <c r="J76" s="57">
        <v>2</v>
      </c>
      <c r="K76" s="54">
        <v>13001</v>
      </c>
      <c r="L76" s="57">
        <v>7</v>
      </c>
      <c r="M76" s="57">
        <v>3</v>
      </c>
      <c r="N76" s="57"/>
      <c r="O76" s="57"/>
      <c r="P76" s="57">
        <v>32161</v>
      </c>
      <c r="Q76" s="42">
        <v>0</v>
      </c>
      <c r="R76" s="57">
        <v>0</v>
      </c>
    </row>
    <row r="77" spans="1:18" hidden="1">
      <c r="A77" s="61" t="s">
        <v>803</v>
      </c>
      <c r="B77" s="57">
        <v>13003</v>
      </c>
      <c r="C77" s="57">
        <v>2</v>
      </c>
      <c r="D77" s="64" t="s">
        <v>350</v>
      </c>
      <c r="E77" s="63" t="s">
        <v>68</v>
      </c>
      <c r="F77" s="57" t="s">
        <v>372</v>
      </c>
      <c r="G77" s="57"/>
      <c r="H77" s="57">
        <v>1</v>
      </c>
      <c r="I77" s="57">
        <v>1</v>
      </c>
      <c r="J77" s="57">
        <v>2</v>
      </c>
      <c r="K77" s="54">
        <v>13002</v>
      </c>
      <c r="L77" s="57">
        <v>7</v>
      </c>
      <c r="M77" s="57">
        <v>4</v>
      </c>
      <c r="N77" s="57"/>
      <c r="O77" s="57"/>
      <c r="P77" s="57">
        <v>32162</v>
      </c>
      <c r="Q77" s="42">
        <v>0</v>
      </c>
      <c r="R77" s="57">
        <v>0</v>
      </c>
    </row>
    <row r="78" spans="1:18" hidden="1">
      <c r="A78" s="61" t="s">
        <v>803</v>
      </c>
      <c r="B78" s="57">
        <v>13004</v>
      </c>
      <c r="C78" s="57">
        <v>2</v>
      </c>
      <c r="D78" s="64" t="s">
        <v>350</v>
      </c>
      <c r="E78" s="63" t="s">
        <v>68</v>
      </c>
      <c r="F78" s="57" t="s">
        <v>373</v>
      </c>
      <c r="G78" s="57"/>
      <c r="H78" s="57">
        <v>1</v>
      </c>
      <c r="I78" s="57">
        <v>1</v>
      </c>
      <c r="J78" s="57">
        <v>2</v>
      </c>
      <c r="K78" s="54">
        <v>13003</v>
      </c>
      <c r="L78" s="57">
        <v>7</v>
      </c>
      <c r="M78" s="57">
        <v>5</v>
      </c>
      <c r="N78" s="57"/>
      <c r="O78" s="57"/>
      <c r="P78" s="57">
        <v>32163</v>
      </c>
      <c r="Q78" s="42">
        <v>0</v>
      </c>
      <c r="R78" s="57">
        <v>0</v>
      </c>
    </row>
    <row r="79" spans="1:18" ht="14.25">
      <c r="A79" s="47"/>
      <c r="B79" s="65">
        <v>20901</v>
      </c>
      <c r="C79" s="45">
        <v>2</v>
      </c>
      <c r="D79" s="45" t="s">
        <v>350</v>
      </c>
      <c r="E79" s="47" t="s">
        <v>68</v>
      </c>
      <c r="F79" s="66" t="s">
        <v>535</v>
      </c>
      <c r="G79" s="45"/>
      <c r="H79" s="45">
        <v>1</v>
      </c>
      <c r="I79" s="45">
        <v>1</v>
      </c>
      <c r="J79" s="45"/>
      <c r="K79" s="45"/>
      <c r="L79" s="45">
        <v>7</v>
      </c>
      <c r="M79" s="45">
        <v>6</v>
      </c>
      <c r="N79" s="45"/>
      <c r="O79" s="45"/>
      <c r="P79" s="67" t="s">
        <v>536</v>
      </c>
      <c r="Q79" s="34">
        <v>0</v>
      </c>
      <c r="R79" s="34">
        <v>1</v>
      </c>
    </row>
    <row r="80" spans="1:18" ht="14.25">
      <c r="A80" s="47"/>
      <c r="B80" s="65">
        <v>20902</v>
      </c>
      <c r="C80" s="45">
        <v>2</v>
      </c>
      <c r="D80" s="45" t="s">
        <v>350</v>
      </c>
      <c r="E80" s="47" t="s">
        <v>68</v>
      </c>
      <c r="F80" s="66" t="s">
        <v>537</v>
      </c>
      <c r="G80" s="45"/>
      <c r="H80" s="45">
        <v>1</v>
      </c>
      <c r="I80" s="45">
        <v>1</v>
      </c>
      <c r="J80" s="45">
        <v>2</v>
      </c>
      <c r="K80" s="65">
        <v>20901</v>
      </c>
      <c r="L80" s="45">
        <v>7</v>
      </c>
      <c r="M80" s="45">
        <v>7</v>
      </c>
      <c r="N80" s="45"/>
      <c r="O80" s="45"/>
      <c r="P80" s="67" t="s">
        <v>532</v>
      </c>
      <c r="Q80" s="34">
        <v>0</v>
      </c>
      <c r="R80" s="34">
        <v>1</v>
      </c>
    </row>
    <row r="81" spans="1:18" ht="14.25">
      <c r="A81" s="47"/>
      <c r="B81" s="65">
        <v>20903</v>
      </c>
      <c r="C81" s="45">
        <v>2</v>
      </c>
      <c r="D81" s="45" t="s">
        <v>350</v>
      </c>
      <c r="E81" s="47" t="s">
        <v>68</v>
      </c>
      <c r="F81" s="68" t="s">
        <v>538</v>
      </c>
      <c r="G81" s="45"/>
      <c r="H81" s="45">
        <v>1</v>
      </c>
      <c r="I81" s="45">
        <v>1</v>
      </c>
      <c r="J81" s="45">
        <v>2</v>
      </c>
      <c r="K81" s="65">
        <v>20902</v>
      </c>
      <c r="L81" s="45">
        <v>7</v>
      </c>
      <c r="M81" s="45">
        <v>8</v>
      </c>
      <c r="N81" s="45"/>
      <c r="O81" s="45"/>
      <c r="P81" s="67" t="s">
        <v>532</v>
      </c>
      <c r="Q81" s="34">
        <v>0</v>
      </c>
      <c r="R81" s="34">
        <v>1</v>
      </c>
    </row>
    <row r="82" spans="1:18" ht="14.25">
      <c r="A82" s="47"/>
      <c r="B82" s="65">
        <v>20904</v>
      </c>
      <c r="C82" s="45">
        <v>2</v>
      </c>
      <c r="D82" s="45" t="s">
        <v>350</v>
      </c>
      <c r="E82" s="47" t="s">
        <v>68</v>
      </c>
      <c r="F82" s="68" t="s">
        <v>539</v>
      </c>
      <c r="G82" s="45"/>
      <c r="H82" s="45">
        <v>1</v>
      </c>
      <c r="I82" s="45">
        <v>1</v>
      </c>
      <c r="J82" s="45">
        <v>2</v>
      </c>
      <c r="K82" s="65">
        <v>20903</v>
      </c>
      <c r="L82" s="45">
        <v>7</v>
      </c>
      <c r="M82" s="45">
        <v>9</v>
      </c>
      <c r="N82" s="45"/>
      <c r="O82" s="45"/>
      <c r="P82" s="67" t="s">
        <v>532</v>
      </c>
      <c r="Q82" s="34">
        <v>0</v>
      </c>
      <c r="R82" s="34">
        <v>1</v>
      </c>
    </row>
    <row r="83" spans="1:18" ht="14.25">
      <c r="A83" s="47"/>
      <c r="B83" s="65">
        <v>20905</v>
      </c>
      <c r="C83" s="45">
        <v>2</v>
      </c>
      <c r="D83" s="45" t="s">
        <v>350</v>
      </c>
      <c r="E83" s="47" t="s">
        <v>68</v>
      </c>
      <c r="F83" s="66" t="s">
        <v>540</v>
      </c>
      <c r="G83" s="45"/>
      <c r="H83" s="45">
        <v>1</v>
      </c>
      <c r="I83" s="45">
        <v>1</v>
      </c>
      <c r="J83" s="45">
        <v>2</v>
      </c>
      <c r="K83" s="65">
        <v>20904</v>
      </c>
      <c r="L83" s="45">
        <v>7</v>
      </c>
      <c r="M83" s="45">
        <v>10</v>
      </c>
      <c r="N83" s="45"/>
      <c r="O83" s="45"/>
      <c r="P83" s="67" t="s">
        <v>529</v>
      </c>
      <c r="Q83" s="34">
        <v>0</v>
      </c>
      <c r="R83" s="34">
        <v>1</v>
      </c>
    </row>
    <row r="84" spans="1:18" ht="14.25">
      <c r="A84" s="47"/>
      <c r="B84" s="65">
        <v>20906</v>
      </c>
      <c r="C84" s="45">
        <v>2</v>
      </c>
      <c r="D84" s="45" t="s">
        <v>350</v>
      </c>
      <c r="E84" s="47" t="s">
        <v>68</v>
      </c>
      <c r="F84" s="68" t="s">
        <v>541</v>
      </c>
      <c r="G84" s="45"/>
      <c r="H84" s="45">
        <v>1</v>
      </c>
      <c r="I84" s="45">
        <v>1</v>
      </c>
      <c r="J84" s="45">
        <v>2</v>
      </c>
      <c r="K84" s="65">
        <v>20905</v>
      </c>
      <c r="L84" s="45">
        <v>7</v>
      </c>
      <c r="M84" s="45">
        <v>11</v>
      </c>
      <c r="N84" s="45"/>
      <c r="O84" s="45"/>
      <c r="P84" s="67" t="s">
        <v>551</v>
      </c>
      <c r="Q84" s="34">
        <v>0</v>
      </c>
      <c r="R84" s="34" t="s">
        <v>823</v>
      </c>
    </row>
    <row r="85" spans="1:18" ht="14.25">
      <c r="A85" s="47"/>
      <c r="B85" s="65">
        <v>20907</v>
      </c>
      <c r="C85" s="45">
        <v>2</v>
      </c>
      <c r="D85" s="45" t="s">
        <v>350</v>
      </c>
      <c r="E85" s="47" t="s">
        <v>68</v>
      </c>
      <c r="F85" s="68" t="s">
        <v>542</v>
      </c>
      <c r="G85" s="45"/>
      <c r="H85" s="45">
        <v>1</v>
      </c>
      <c r="I85" s="45">
        <v>1</v>
      </c>
      <c r="J85" s="45">
        <v>2</v>
      </c>
      <c r="K85" s="65">
        <v>20906</v>
      </c>
      <c r="L85" s="45">
        <v>7</v>
      </c>
      <c r="M85" s="45">
        <v>12</v>
      </c>
      <c r="N85" s="45"/>
      <c r="O85" s="45"/>
      <c r="P85" s="67" t="s">
        <v>530</v>
      </c>
      <c r="Q85" s="34">
        <v>0</v>
      </c>
      <c r="R85" s="34" t="s">
        <v>823</v>
      </c>
    </row>
    <row r="86" spans="1:18" ht="14.25" hidden="1">
      <c r="A86" s="63" t="s">
        <v>803</v>
      </c>
      <c r="B86" s="57">
        <v>13009</v>
      </c>
      <c r="C86" s="57">
        <v>2</v>
      </c>
      <c r="D86" s="64" t="s">
        <v>350</v>
      </c>
      <c r="E86" s="63" t="s">
        <v>68</v>
      </c>
      <c r="F86" s="57" t="s">
        <v>353</v>
      </c>
      <c r="G86" s="57"/>
      <c r="H86" s="57">
        <v>1</v>
      </c>
      <c r="I86" s="57">
        <v>1</v>
      </c>
      <c r="J86" s="57">
        <v>2</v>
      </c>
      <c r="K86" s="69">
        <v>20907</v>
      </c>
      <c r="L86" s="57">
        <v>7</v>
      </c>
      <c r="M86" s="57">
        <v>1</v>
      </c>
      <c r="N86" s="57">
        <v>8</v>
      </c>
      <c r="O86" s="57" t="s">
        <v>872</v>
      </c>
      <c r="P86" s="57">
        <v>32168</v>
      </c>
      <c r="Q86" s="42">
        <v>0</v>
      </c>
      <c r="R86" s="57">
        <v>0</v>
      </c>
    </row>
    <row r="87" spans="1:18" hidden="1">
      <c r="A87" s="63" t="s">
        <v>803</v>
      </c>
      <c r="B87" s="57">
        <v>13010</v>
      </c>
      <c r="C87" s="57">
        <v>2</v>
      </c>
      <c r="D87" s="64" t="s">
        <v>350</v>
      </c>
      <c r="E87" s="63" t="s">
        <v>68</v>
      </c>
      <c r="F87" s="57" t="s">
        <v>351</v>
      </c>
      <c r="G87" s="57"/>
      <c r="H87" s="57">
        <v>1</v>
      </c>
      <c r="I87" s="57">
        <v>1</v>
      </c>
      <c r="J87" s="57">
        <v>2</v>
      </c>
      <c r="K87" s="54">
        <v>13009</v>
      </c>
      <c r="L87" s="57">
        <v>7</v>
      </c>
      <c r="M87" s="57">
        <v>2</v>
      </c>
      <c r="N87" s="57">
        <v>8</v>
      </c>
      <c r="O87" s="57" t="s">
        <v>872</v>
      </c>
      <c r="P87" s="57">
        <v>32169</v>
      </c>
      <c r="Q87" s="42">
        <v>0</v>
      </c>
      <c r="R87" s="57">
        <v>0</v>
      </c>
    </row>
    <row r="88" spans="1:18" hidden="1">
      <c r="A88" s="63" t="s">
        <v>803</v>
      </c>
      <c r="B88" s="57">
        <v>13011</v>
      </c>
      <c r="C88" s="57">
        <v>2</v>
      </c>
      <c r="D88" s="64" t="s">
        <v>350</v>
      </c>
      <c r="E88" s="63" t="s">
        <v>68</v>
      </c>
      <c r="F88" s="57" t="s">
        <v>352</v>
      </c>
      <c r="G88" s="57"/>
      <c r="H88" s="57">
        <v>1</v>
      </c>
      <c r="I88" s="57">
        <v>1</v>
      </c>
      <c r="J88" s="57">
        <v>2</v>
      </c>
      <c r="K88" s="54">
        <v>13010</v>
      </c>
      <c r="L88" s="57">
        <v>7</v>
      </c>
      <c r="M88" s="57">
        <v>3</v>
      </c>
      <c r="N88" s="57">
        <v>8</v>
      </c>
      <c r="O88" s="57" t="s">
        <v>872</v>
      </c>
      <c r="P88" s="57">
        <v>32170</v>
      </c>
      <c r="Q88" s="42">
        <v>0</v>
      </c>
      <c r="R88" s="57">
        <v>0</v>
      </c>
    </row>
    <row r="89" spans="1:18" hidden="1">
      <c r="A89" s="63" t="s">
        <v>803</v>
      </c>
      <c r="B89" s="57">
        <v>13012</v>
      </c>
      <c r="C89" s="57">
        <v>2</v>
      </c>
      <c r="D89" s="64" t="s">
        <v>350</v>
      </c>
      <c r="E89" s="63" t="s">
        <v>68</v>
      </c>
      <c r="F89" s="57" t="s">
        <v>252</v>
      </c>
      <c r="G89" s="57"/>
      <c r="H89" s="57">
        <v>1</v>
      </c>
      <c r="I89" s="57">
        <v>1</v>
      </c>
      <c r="J89" s="57">
        <v>2</v>
      </c>
      <c r="K89" s="54">
        <v>13011</v>
      </c>
      <c r="L89" s="57">
        <v>7</v>
      </c>
      <c r="M89" s="57">
        <v>1</v>
      </c>
      <c r="N89" s="57">
        <v>8</v>
      </c>
      <c r="O89" s="57" t="s">
        <v>868</v>
      </c>
      <c r="P89" s="57">
        <v>32171</v>
      </c>
      <c r="Q89" s="42">
        <v>0</v>
      </c>
      <c r="R89" s="57">
        <v>0</v>
      </c>
    </row>
    <row r="90" spans="1:18" hidden="1">
      <c r="A90" s="63" t="s">
        <v>803</v>
      </c>
      <c r="B90" s="57">
        <v>13013</v>
      </c>
      <c r="C90" s="57">
        <v>2</v>
      </c>
      <c r="D90" s="64" t="s">
        <v>350</v>
      </c>
      <c r="E90" s="63" t="s">
        <v>68</v>
      </c>
      <c r="F90" s="57" t="s">
        <v>253</v>
      </c>
      <c r="G90" s="57"/>
      <c r="H90" s="57">
        <v>1</v>
      </c>
      <c r="I90" s="57">
        <v>1</v>
      </c>
      <c r="J90" s="57">
        <v>2</v>
      </c>
      <c r="K90" s="54">
        <v>13012</v>
      </c>
      <c r="L90" s="57">
        <v>7</v>
      </c>
      <c r="M90" s="57">
        <v>2</v>
      </c>
      <c r="N90" s="57">
        <v>8</v>
      </c>
      <c r="O90" s="57" t="s">
        <v>868</v>
      </c>
      <c r="P90" s="57">
        <v>32172</v>
      </c>
      <c r="Q90" s="42">
        <v>0</v>
      </c>
      <c r="R90" s="57">
        <v>0</v>
      </c>
    </row>
    <row r="91" spans="1:18" hidden="1">
      <c r="A91" s="63" t="s">
        <v>803</v>
      </c>
      <c r="B91" s="57">
        <v>13014</v>
      </c>
      <c r="C91" s="57">
        <v>2</v>
      </c>
      <c r="D91" s="64" t="s">
        <v>350</v>
      </c>
      <c r="E91" s="63" t="s">
        <v>68</v>
      </c>
      <c r="F91" s="57" t="s">
        <v>254</v>
      </c>
      <c r="G91" s="57"/>
      <c r="H91" s="57">
        <v>1</v>
      </c>
      <c r="I91" s="57">
        <v>1</v>
      </c>
      <c r="J91" s="57">
        <v>2</v>
      </c>
      <c r="K91" s="54">
        <v>13013</v>
      </c>
      <c r="L91" s="57">
        <v>7</v>
      </c>
      <c r="M91" s="57">
        <v>3</v>
      </c>
      <c r="N91" s="57">
        <v>8</v>
      </c>
      <c r="O91" s="57" t="s">
        <v>868</v>
      </c>
      <c r="P91" s="57">
        <v>32173</v>
      </c>
      <c r="Q91" s="42">
        <v>0</v>
      </c>
      <c r="R91" s="57">
        <v>0</v>
      </c>
    </row>
    <row r="92" spans="1:18" hidden="1">
      <c r="A92" s="63" t="s">
        <v>803</v>
      </c>
      <c r="B92" s="57">
        <v>13015</v>
      </c>
      <c r="C92" s="57">
        <v>2</v>
      </c>
      <c r="D92" s="64" t="s">
        <v>350</v>
      </c>
      <c r="E92" s="63" t="s">
        <v>68</v>
      </c>
      <c r="F92" s="57" t="s">
        <v>354</v>
      </c>
      <c r="G92" s="57"/>
      <c r="H92" s="57">
        <v>1</v>
      </c>
      <c r="I92" s="57">
        <v>1</v>
      </c>
      <c r="J92" s="57">
        <v>2</v>
      </c>
      <c r="K92" s="54">
        <v>13014</v>
      </c>
      <c r="L92" s="57">
        <v>7</v>
      </c>
      <c r="M92" s="57">
        <v>1</v>
      </c>
      <c r="N92" s="57">
        <v>8</v>
      </c>
      <c r="O92" s="57" t="s">
        <v>873</v>
      </c>
      <c r="P92" s="57">
        <v>32174</v>
      </c>
      <c r="Q92" s="42">
        <v>0</v>
      </c>
      <c r="R92" s="57">
        <v>0</v>
      </c>
    </row>
    <row r="93" spans="1:18" hidden="1">
      <c r="A93" s="63" t="s">
        <v>803</v>
      </c>
      <c r="B93" s="57">
        <v>13016</v>
      </c>
      <c r="C93" s="57">
        <v>2</v>
      </c>
      <c r="D93" s="64" t="s">
        <v>350</v>
      </c>
      <c r="E93" s="63" t="s">
        <v>68</v>
      </c>
      <c r="F93" s="57" t="s">
        <v>355</v>
      </c>
      <c r="G93" s="57"/>
      <c r="H93" s="57">
        <v>1</v>
      </c>
      <c r="I93" s="57">
        <v>1</v>
      </c>
      <c r="J93" s="57">
        <v>2</v>
      </c>
      <c r="K93" s="54">
        <v>13015</v>
      </c>
      <c r="L93" s="57">
        <v>7</v>
      </c>
      <c r="M93" s="57">
        <v>2</v>
      </c>
      <c r="N93" s="57">
        <v>8</v>
      </c>
      <c r="O93" s="57" t="s">
        <v>873</v>
      </c>
      <c r="P93" s="57">
        <v>32175</v>
      </c>
      <c r="Q93" s="42">
        <v>0</v>
      </c>
      <c r="R93" s="57">
        <v>0</v>
      </c>
    </row>
    <row r="94" spans="1:18" hidden="1">
      <c r="A94" s="63" t="s">
        <v>803</v>
      </c>
      <c r="B94" s="57">
        <v>13017</v>
      </c>
      <c r="C94" s="57">
        <v>2</v>
      </c>
      <c r="D94" s="64" t="s">
        <v>350</v>
      </c>
      <c r="E94" s="63" t="s">
        <v>68</v>
      </c>
      <c r="F94" s="57" t="s">
        <v>356</v>
      </c>
      <c r="G94" s="57"/>
      <c r="H94" s="57">
        <v>1</v>
      </c>
      <c r="I94" s="57">
        <v>1</v>
      </c>
      <c r="J94" s="57">
        <v>2</v>
      </c>
      <c r="K94" s="54">
        <v>13016</v>
      </c>
      <c r="L94" s="57">
        <v>7</v>
      </c>
      <c r="M94" s="57">
        <v>3</v>
      </c>
      <c r="N94" s="57">
        <v>8</v>
      </c>
      <c r="O94" s="57" t="s">
        <v>873</v>
      </c>
      <c r="P94" s="57">
        <v>32176</v>
      </c>
      <c r="Q94" s="42">
        <v>0</v>
      </c>
      <c r="R94" s="57">
        <v>0</v>
      </c>
    </row>
    <row r="95" spans="1:18" hidden="1">
      <c r="A95" s="63" t="s">
        <v>803</v>
      </c>
      <c r="B95" s="57">
        <v>13018</v>
      </c>
      <c r="C95" s="57">
        <v>2</v>
      </c>
      <c r="D95" s="64" t="s">
        <v>350</v>
      </c>
      <c r="E95" s="63" t="s">
        <v>68</v>
      </c>
      <c r="F95" s="57" t="s">
        <v>255</v>
      </c>
      <c r="G95" s="57"/>
      <c r="H95" s="57">
        <v>1</v>
      </c>
      <c r="I95" s="57">
        <v>1</v>
      </c>
      <c r="J95" s="57">
        <v>2</v>
      </c>
      <c r="K95" s="54">
        <v>13017</v>
      </c>
      <c r="L95" s="57">
        <v>7</v>
      </c>
      <c r="M95" s="57">
        <v>1</v>
      </c>
      <c r="N95" s="57">
        <v>8</v>
      </c>
      <c r="O95" s="57" t="s">
        <v>874</v>
      </c>
      <c r="P95" s="57">
        <v>32177</v>
      </c>
      <c r="Q95" s="42">
        <v>0</v>
      </c>
      <c r="R95" s="57">
        <v>0</v>
      </c>
    </row>
    <row r="96" spans="1:18" hidden="1">
      <c r="A96" s="63" t="s">
        <v>803</v>
      </c>
      <c r="B96" s="57">
        <v>13019</v>
      </c>
      <c r="C96" s="57">
        <v>2</v>
      </c>
      <c r="D96" s="64" t="s">
        <v>350</v>
      </c>
      <c r="E96" s="63" t="s">
        <v>68</v>
      </c>
      <c r="F96" s="57" t="s">
        <v>256</v>
      </c>
      <c r="G96" s="57"/>
      <c r="H96" s="57">
        <v>1</v>
      </c>
      <c r="I96" s="57">
        <v>1</v>
      </c>
      <c r="J96" s="57">
        <v>2</v>
      </c>
      <c r="K96" s="54">
        <v>13018</v>
      </c>
      <c r="L96" s="57">
        <v>7</v>
      </c>
      <c r="M96" s="57">
        <v>2</v>
      </c>
      <c r="N96" s="57">
        <v>8</v>
      </c>
      <c r="O96" s="57" t="s">
        <v>874</v>
      </c>
      <c r="P96" s="57">
        <v>32178</v>
      </c>
      <c r="Q96" s="42">
        <v>0</v>
      </c>
      <c r="R96" s="57">
        <v>0</v>
      </c>
    </row>
    <row r="97" spans="1:18" hidden="1">
      <c r="A97" s="63" t="s">
        <v>803</v>
      </c>
      <c r="B97" s="57">
        <v>13020</v>
      </c>
      <c r="C97" s="57">
        <v>2</v>
      </c>
      <c r="D97" s="64" t="s">
        <v>350</v>
      </c>
      <c r="E97" s="63" t="s">
        <v>68</v>
      </c>
      <c r="F97" s="57" t="s">
        <v>257</v>
      </c>
      <c r="G97" s="57"/>
      <c r="H97" s="57">
        <v>1</v>
      </c>
      <c r="I97" s="57">
        <v>1</v>
      </c>
      <c r="J97" s="57">
        <v>2</v>
      </c>
      <c r="K97" s="54">
        <v>13019</v>
      </c>
      <c r="L97" s="57">
        <v>7</v>
      </c>
      <c r="M97" s="57">
        <v>3</v>
      </c>
      <c r="N97" s="57">
        <v>8</v>
      </c>
      <c r="O97" s="57" t="s">
        <v>874</v>
      </c>
      <c r="P97" s="57">
        <v>32179</v>
      </c>
      <c r="Q97" s="42">
        <v>0</v>
      </c>
      <c r="R97" s="57">
        <v>0</v>
      </c>
    </row>
    <row r="98" spans="1:18" hidden="1">
      <c r="A98" s="63" t="s">
        <v>803</v>
      </c>
      <c r="B98" s="57">
        <v>13021</v>
      </c>
      <c r="C98" s="57">
        <v>2</v>
      </c>
      <c r="D98" s="64" t="s">
        <v>350</v>
      </c>
      <c r="E98" s="63" t="s">
        <v>68</v>
      </c>
      <c r="F98" s="57" t="s">
        <v>357</v>
      </c>
      <c r="G98" s="57"/>
      <c r="H98" s="57">
        <v>1</v>
      </c>
      <c r="I98" s="57">
        <v>1</v>
      </c>
      <c r="J98" s="57">
        <v>2</v>
      </c>
      <c r="K98" s="54">
        <v>13020</v>
      </c>
      <c r="L98" s="57">
        <v>7</v>
      </c>
      <c r="M98" s="57">
        <v>1</v>
      </c>
      <c r="N98" s="57">
        <v>8</v>
      </c>
      <c r="O98" s="57" t="s">
        <v>875</v>
      </c>
      <c r="P98" s="57">
        <v>32180</v>
      </c>
      <c r="Q98" s="42">
        <v>0</v>
      </c>
      <c r="R98" s="57">
        <v>0</v>
      </c>
    </row>
    <row r="99" spans="1:18" hidden="1">
      <c r="A99" s="63" t="s">
        <v>803</v>
      </c>
      <c r="B99" s="57">
        <v>13022</v>
      </c>
      <c r="C99" s="57">
        <v>2</v>
      </c>
      <c r="D99" s="64" t="s">
        <v>350</v>
      </c>
      <c r="E99" s="63" t="s">
        <v>68</v>
      </c>
      <c r="F99" s="57" t="s">
        <v>358</v>
      </c>
      <c r="G99" s="57"/>
      <c r="H99" s="57">
        <v>1</v>
      </c>
      <c r="I99" s="57">
        <v>1</v>
      </c>
      <c r="J99" s="57">
        <v>2</v>
      </c>
      <c r="K99" s="54">
        <v>13021</v>
      </c>
      <c r="L99" s="57">
        <v>7</v>
      </c>
      <c r="M99" s="57">
        <v>2</v>
      </c>
      <c r="N99" s="57">
        <v>8</v>
      </c>
      <c r="O99" s="57" t="s">
        <v>875</v>
      </c>
      <c r="P99" s="57">
        <v>32181</v>
      </c>
      <c r="Q99" s="42">
        <v>0</v>
      </c>
      <c r="R99" s="57">
        <v>0</v>
      </c>
    </row>
    <row r="100" spans="1:18" hidden="1">
      <c r="A100" s="63" t="s">
        <v>803</v>
      </c>
      <c r="B100" s="57">
        <v>13023</v>
      </c>
      <c r="C100" s="57">
        <v>2</v>
      </c>
      <c r="D100" s="64" t="s">
        <v>350</v>
      </c>
      <c r="E100" s="63" t="s">
        <v>68</v>
      </c>
      <c r="F100" s="57" t="s">
        <v>359</v>
      </c>
      <c r="G100" s="57"/>
      <c r="H100" s="57">
        <v>1</v>
      </c>
      <c r="I100" s="57">
        <v>1</v>
      </c>
      <c r="J100" s="57">
        <v>2</v>
      </c>
      <c r="K100" s="54">
        <v>13022</v>
      </c>
      <c r="L100" s="57">
        <v>7</v>
      </c>
      <c r="M100" s="57">
        <v>3</v>
      </c>
      <c r="N100" s="57">
        <v>8</v>
      </c>
      <c r="O100" s="57" t="s">
        <v>875</v>
      </c>
      <c r="P100" s="57">
        <v>32182</v>
      </c>
      <c r="Q100" s="42">
        <v>0</v>
      </c>
      <c r="R100" s="57">
        <v>0</v>
      </c>
    </row>
    <row r="101" spans="1:18" hidden="1">
      <c r="A101" s="63" t="s">
        <v>803</v>
      </c>
      <c r="B101" s="57">
        <v>13024</v>
      </c>
      <c r="C101" s="57">
        <v>2</v>
      </c>
      <c r="D101" s="64" t="s">
        <v>350</v>
      </c>
      <c r="E101" s="63" t="s">
        <v>68</v>
      </c>
      <c r="F101" s="57" t="s">
        <v>258</v>
      </c>
      <c r="G101" s="57"/>
      <c r="H101" s="57">
        <v>1</v>
      </c>
      <c r="I101" s="57">
        <v>1</v>
      </c>
      <c r="J101" s="57">
        <v>2</v>
      </c>
      <c r="K101" s="54">
        <v>13023</v>
      </c>
      <c r="L101" s="57">
        <v>7</v>
      </c>
      <c r="M101" s="57">
        <v>1</v>
      </c>
      <c r="N101" s="57">
        <v>8</v>
      </c>
      <c r="O101" s="57" t="s">
        <v>876</v>
      </c>
      <c r="P101" s="57">
        <v>32183</v>
      </c>
      <c r="Q101" s="42">
        <v>0</v>
      </c>
      <c r="R101" s="57">
        <v>0</v>
      </c>
    </row>
    <row r="102" spans="1:18" hidden="1">
      <c r="A102" s="63" t="s">
        <v>803</v>
      </c>
      <c r="B102" s="57">
        <v>13025</v>
      </c>
      <c r="C102" s="57">
        <v>2</v>
      </c>
      <c r="D102" s="64" t="s">
        <v>350</v>
      </c>
      <c r="E102" s="63" t="s">
        <v>68</v>
      </c>
      <c r="F102" s="57" t="s">
        <v>259</v>
      </c>
      <c r="G102" s="57"/>
      <c r="H102" s="57">
        <v>1</v>
      </c>
      <c r="I102" s="57">
        <v>1</v>
      </c>
      <c r="J102" s="57">
        <v>2</v>
      </c>
      <c r="K102" s="54">
        <v>13024</v>
      </c>
      <c r="L102" s="57">
        <v>7</v>
      </c>
      <c r="M102" s="57">
        <v>2</v>
      </c>
      <c r="N102" s="57">
        <v>8</v>
      </c>
      <c r="O102" s="57" t="s">
        <v>876</v>
      </c>
      <c r="P102" s="57">
        <v>32184</v>
      </c>
      <c r="Q102" s="42">
        <v>0</v>
      </c>
      <c r="R102" s="57">
        <v>0</v>
      </c>
    </row>
    <row r="103" spans="1:18" hidden="1">
      <c r="A103" s="63" t="s">
        <v>803</v>
      </c>
      <c r="B103" s="57">
        <v>13026</v>
      </c>
      <c r="C103" s="57">
        <v>2</v>
      </c>
      <c r="D103" s="64" t="s">
        <v>350</v>
      </c>
      <c r="E103" s="63" t="s">
        <v>68</v>
      </c>
      <c r="F103" s="57" t="s">
        <v>260</v>
      </c>
      <c r="G103" s="57"/>
      <c r="H103" s="57">
        <v>1</v>
      </c>
      <c r="I103" s="57">
        <v>1</v>
      </c>
      <c r="J103" s="57">
        <v>2</v>
      </c>
      <c r="K103" s="54">
        <v>13025</v>
      </c>
      <c r="L103" s="57">
        <v>7</v>
      </c>
      <c r="M103" s="57">
        <v>3</v>
      </c>
      <c r="N103" s="57">
        <v>8</v>
      </c>
      <c r="O103" s="57" t="s">
        <v>876</v>
      </c>
      <c r="P103" s="57">
        <v>32185</v>
      </c>
      <c r="Q103" s="42">
        <v>0</v>
      </c>
      <c r="R103" s="57">
        <v>0</v>
      </c>
    </row>
    <row r="104" spans="1:18" hidden="1">
      <c r="A104" s="57" t="s">
        <v>803</v>
      </c>
      <c r="B104" s="57">
        <v>13027</v>
      </c>
      <c r="C104" s="57">
        <v>2</v>
      </c>
      <c r="D104" s="64" t="s">
        <v>870</v>
      </c>
      <c r="E104" s="63" t="s">
        <v>68</v>
      </c>
      <c r="F104" s="63" t="s">
        <v>261</v>
      </c>
      <c r="G104" s="63"/>
      <c r="H104" s="57">
        <v>1</v>
      </c>
      <c r="I104" s="57">
        <v>1</v>
      </c>
      <c r="J104" s="57">
        <v>2</v>
      </c>
      <c r="K104" s="54">
        <v>13014</v>
      </c>
      <c r="L104" s="57">
        <v>7</v>
      </c>
      <c r="M104" s="57">
        <v>1</v>
      </c>
      <c r="N104" s="57">
        <v>8</v>
      </c>
      <c r="O104" s="57">
        <v>60</v>
      </c>
      <c r="P104" s="57">
        <v>32186</v>
      </c>
      <c r="Q104" s="42">
        <v>0</v>
      </c>
      <c r="R104" s="57">
        <v>0</v>
      </c>
    </row>
    <row r="105" spans="1:18" hidden="1">
      <c r="A105" s="57" t="s">
        <v>803</v>
      </c>
      <c r="B105" s="57">
        <v>13028</v>
      </c>
      <c r="C105" s="57">
        <v>2</v>
      </c>
      <c r="D105" s="64" t="s">
        <v>870</v>
      </c>
      <c r="E105" s="63" t="s">
        <v>68</v>
      </c>
      <c r="F105" s="63" t="s">
        <v>262</v>
      </c>
      <c r="G105" s="63"/>
      <c r="H105" s="57">
        <v>1</v>
      </c>
      <c r="I105" s="57">
        <v>1</v>
      </c>
      <c r="J105" s="57">
        <v>2</v>
      </c>
      <c r="K105" s="54">
        <v>13015</v>
      </c>
      <c r="L105" s="57">
        <v>7</v>
      </c>
      <c r="M105" s="57">
        <v>2</v>
      </c>
      <c r="N105" s="57">
        <v>8</v>
      </c>
      <c r="O105" s="57">
        <v>60</v>
      </c>
      <c r="P105" s="57">
        <v>32187</v>
      </c>
      <c r="Q105" s="42">
        <v>0</v>
      </c>
      <c r="R105" s="57">
        <v>0</v>
      </c>
    </row>
    <row r="106" spans="1:18" hidden="1">
      <c r="A106" s="57" t="s">
        <v>803</v>
      </c>
      <c r="B106" s="57">
        <v>13029</v>
      </c>
      <c r="C106" s="57">
        <v>2</v>
      </c>
      <c r="D106" s="64" t="s">
        <v>870</v>
      </c>
      <c r="E106" s="70" t="s">
        <v>68</v>
      </c>
      <c r="F106" s="70" t="s">
        <v>263</v>
      </c>
      <c r="G106" s="70"/>
      <c r="H106" s="57">
        <v>1</v>
      </c>
      <c r="I106" s="57">
        <v>1</v>
      </c>
      <c r="J106" s="57">
        <v>2</v>
      </c>
      <c r="K106" s="71">
        <v>13016</v>
      </c>
      <c r="L106" s="72">
        <v>7</v>
      </c>
      <c r="M106" s="72">
        <v>3</v>
      </c>
      <c r="N106" s="72">
        <v>8</v>
      </c>
      <c r="O106" s="72">
        <v>60</v>
      </c>
      <c r="P106" s="57">
        <v>32188</v>
      </c>
      <c r="Q106" s="42">
        <v>0</v>
      </c>
      <c r="R106" s="57">
        <v>0</v>
      </c>
    </row>
    <row r="107" spans="1:18" hidden="1">
      <c r="A107" s="57" t="s">
        <v>803</v>
      </c>
      <c r="B107" s="57">
        <v>13030</v>
      </c>
      <c r="C107" s="57">
        <v>2</v>
      </c>
      <c r="D107" s="64" t="s">
        <v>870</v>
      </c>
      <c r="E107" s="57" t="s">
        <v>68</v>
      </c>
      <c r="F107" s="57" t="s">
        <v>264</v>
      </c>
      <c r="G107" s="57"/>
      <c r="H107" s="57">
        <v>1</v>
      </c>
      <c r="I107" s="57">
        <v>1</v>
      </c>
      <c r="J107" s="57">
        <v>2</v>
      </c>
      <c r="K107" s="54">
        <v>13017</v>
      </c>
      <c r="L107" s="57">
        <v>7</v>
      </c>
      <c r="M107" s="57">
        <v>1</v>
      </c>
      <c r="N107" s="57">
        <v>8</v>
      </c>
      <c r="O107" s="57">
        <v>70</v>
      </c>
      <c r="P107" s="57">
        <v>32189</v>
      </c>
      <c r="Q107" s="42">
        <v>0</v>
      </c>
      <c r="R107" s="57">
        <v>0</v>
      </c>
    </row>
    <row r="108" spans="1:18" hidden="1">
      <c r="A108" s="57" t="s">
        <v>803</v>
      </c>
      <c r="B108" s="57">
        <v>13031</v>
      </c>
      <c r="C108" s="57">
        <v>2</v>
      </c>
      <c r="D108" s="64" t="s">
        <v>870</v>
      </c>
      <c r="E108" s="57" t="s">
        <v>68</v>
      </c>
      <c r="F108" s="57" t="s">
        <v>265</v>
      </c>
      <c r="G108" s="57"/>
      <c r="H108" s="57">
        <v>1</v>
      </c>
      <c r="I108" s="57">
        <v>1</v>
      </c>
      <c r="J108" s="57">
        <v>2</v>
      </c>
      <c r="K108" s="54">
        <v>13018</v>
      </c>
      <c r="L108" s="57">
        <v>7</v>
      </c>
      <c r="M108" s="57">
        <v>2</v>
      </c>
      <c r="N108" s="57">
        <v>8</v>
      </c>
      <c r="O108" s="57">
        <v>70</v>
      </c>
      <c r="P108" s="57">
        <v>32190</v>
      </c>
      <c r="Q108" s="42">
        <v>0</v>
      </c>
      <c r="R108" s="57">
        <v>0</v>
      </c>
    </row>
    <row r="109" spans="1:18" hidden="1">
      <c r="A109" s="57" t="s">
        <v>803</v>
      </c>
      <c r="B109" s="57">
        <v>13032</v>
      </c>
      <c r="C109" s="57">
        <v>2</v>
      </c>
      <c r="D109" s="64" t="s">
        <v>870</v>
      </c>
      <c r="E109" s="57" t="s">
        <v>68</v>
      </c>
      <c r="F109" s="57" t="s">
        <v>266</v>
      </c>
      <c r="G109" s="57"/>
      <c r="H109" s="57">
        <v>1</v>
      </c>
      <c r="I109" s="57">
        <v>1</v>
      </c>
      <c r="J109" s="57">
        <v>2</v>
      </c>
      <c r="K109" s="54">
        <v>13019</v>
      </c>
      <c r="L109" s="57">
        <v>7</v>
      </c>
      <c r="M109" s="57">
        <v>3</v>
      </c>
      <c r="N109" s="57">
        <v>8</v>
      </c>
      <c r="O109" s="57">
        <v>70</v>
      </c>
      <c r="P109" s="57">
        <v>32191</v>
      </c>
      <c r="Q109" s="42">
        <v>0</v>
      </c>
      <c r="R109" s="57">
        <v>0</v>
      </c>
    </row>
    <row r="110" spans="1:18" hidden="1">
      <c r="A110" s="57" t="s">
        <v>803</v>
      </c>
      <c r="B110" s="57">
        <v>13033</v>
      </c>
      <c r="C110" s="57">
        <v>2</v>
      </c>
      <c r="D110" s="64" t="s">
        <v>870</v>
      </c>
      <c r="E110" s="57" t="s">
        <v>68</v>
      </c>
      <c r="F110" s="57" t="s">
        <v>267</v>
      </c>
      <c r="G110" s="57"/>
      <c r="H110" s="57">
        <v>1</v>
      </c>
      <c r="I110" s="57">
        <v>1</v>
      </c>
      <c r="J110" s="57">
        <v>2</v>
      </c>
      <c r="K110" s="54">
        <v>13020</v>
      </c>
      <c r="L110" s="57">
        <v>7</v>
      </c>
      <c r="M110" s="57">
        <v>1</v>
      </c>
      <c r="N110" s="57">
        <v>8</v>
      </c>
      <c r="O110" s="57">
        <v>80</v>
      </c>
      <c r="P110" s="57">
        <v>32192</v>
      </c>
      <c r="Q110" s="42">
        <v>0</v>
      </c>
      <c r="R110" s="57">
        <v>0</v>
      </c>
    </row>
    <row r="111" spans="1:18" hidden="1">
      <c r="A111" s="57" t="s">
        <v>803</v>
      </c>
      <c r="B111" s="57">
        <v>13034</v>
      </c>
      <c r="C111" s="57">
        <v>2</v>
      </c>
      <c r="D111" s="64" t="s">
        <v>870</v>
      </c>
      <c r="E111" s="57" t="s">
        <v>68</v>
      </c>
      <c r="F111" s="57" t="s">
        <v>268</v>
      </c>
      <c r="G111" s="57"/>
      <c r="H111" s="57">
        <v>1</v>
      </c>
      <c r="I111" s="57">
        <v>1</v>
      </c>
      <c r="J111" s="57">
        <v>2</v>
      </c>
      <c r="K111" s="54">
        <v>13021</v>
      </c>
      <c r="L111" s="57">
        <v>7</v>
      </c>
      <c r="M111" s="57">
        <v>2</v>
      </c>
      <c r="N111" s="57">
        <v>8</v>
      </c>
      <c r="O111" s="57">
        <v>80</v>
      </c>
      <c r="P111" s="57">
        <v>32193</v>
      </c>
      <c r="Q111" s="42">
        <v>0</v>
      </c>
      <c r="R111" s="57">
        <v>0</v>
      </c>
    </row>
    <row r="112" spans="1:18" hidden="1">
      <c r="A112" s="57" t="s">
        <v>803</v>
      </c>
      <c r="B112" s="57">
        <v>13035</v>
      </c>
      <c r="C112" s="57">
        <v>2</v>
      </c>
      <c r="D112" s="64" t="s">
        <v>870</v>
      </c>
      <c r="E112" s="57" t="s">
        <v>68</v>
      </c>
      <c r="F112" s="57" t="s">
        <v>269</v>
      </c>
      <c r="G112" s="57"/>
      <c r="H112" s="57">
        <v>1</v>
      </c>
      <c r="I112" s="57">
        <v>1</v>
      </c>
      <c r="J112" s="57">
        <v>2</v>
      </c>
      <c r="K112" s="54">
        <v>13022</v>
      </c>
      <c r="L112" s="57">
        <v>7</v>
      </c>
      <c r="M112" s="57">
        <v>3</v>
      </c>
      <c r="N112" s="57">
        <v>8</v>
      </c>
      <c r="O112" s="57">
        <v>80</v>
      </c>
      <c r="P112" s="57">
        <v>32194</v>
      </c>
      <c r="Q112" s="42">
        <v>0</v>
      </c>
      <c r="R112" s="57">
        <v>0</v>
      </c>
    </row>
    <row r="113" spans="1:18" hidden="1">
      <c r="A113" s="57" t="s">
        <v>803</v>
      </c>
      <c r="B113" s="13">
        <v>14000</v>
      </c>
      <c r="C113" s="13">
        <v>2</v>
      </c>
      <c r="D113" s="40" t="s">
        <v>877</v>
      </c>
      <c r="E113" s="13" t="s">
        <v>140</v>
      </c>
      <c r="F113" s="60" t="s">
        <v>270</v>
      </c>
      <c r="G113" s="13"/>
      <c r="H113" s="13">
        <v>1</v>
      </c>
      <c r="I113" s="13">
        <v>5</v>
      </c>
      <c r="J113" s="13"/>
      <c r="K113" s="42"/>
      <c r="L113" s="13">
        <v>7</v>
      </c>
      <c r="M113" s="13">
        <v>1</v>
      </c>
      <c r="N113" s="13" t="s">
        <v>858</v>
      </c>
      <c r="O113" s="13" t="s">
        <v>823</v>
      </c>
      <c r="P113" s="13">
        <v>32061</v>
      </c>
      <c r="Q113" s="42">
        <v>0</v>
      </c>
      <c r="R113" s="13">
        <v>0</v>
      </c>
    </row>
    <row r="114" spans="1:18" hidden="1">
      <c r="A114" s="57" t="s">
        <v>803</v>
      </c>
      <c r="B114" s="13">
        <v>14001</v>
      </c>
      <c r="C114" s="13">
        <v>2</v>
      </c>
      <c r="D114" s="40" t="s">
        <v>877</v>
      </c>
      <c r="E114" s="13" t="s">
        <v>140</v>
      </c>
      <c r="F114" s="60" t="s">
        <v>271</v>
      </c>
      <c r="G114" s="13"/>
      <c r="H114" s="13">
        <v>1</v>
      </c>
      <c r="I114" s="13">
        <v>5</v>
      </c>
      <c r="J114" s="13">
        <v>2</v>
      </c>
      <c r="K114" s="42">
        <v>14000</v>
      </c>
      <c r="L114" s="13">
        <v>7</v>
      </c>
      <c r="M114" s="13">
        <v>2</v>
      </c>
      <c r="N114" s="13" t="s">
        <v>858</v>
      </c>
      <c r="O114" s="13" t="s">
        <v>823</v>
      </c>
      <c r="P114" s="13">
        <v>32062</v>
      </c>
      <c r="Q114" s="42">
        <v>0</v>
      </c>
      <c r="R114" s="13">
        <v>0</v>
      </c>
    </row>
    <row r="115" spans="1:18" hidden="1">
      <c r="A115" s="57" t="s">
        <v>803</v>
      </c>
      <c r="B115" s="13">
        <v>14002</v>
      </c>
      <c r="C115" s="13">
        <v>2</v>
      </c>
      <c r="D115" s="40" t="s">
        <v>877</v>
      </c>
      <c r="E115" s="13" t="s">
        <v>140</v>
      </c>
      <c r="F115" s="60" t="s">
        <v>272</v>
      </c>
      <c r="G115" s="13"/>
      <c r="H115" s="13">
        <v>1</v>
      </c>
      <c r="I115" s="13">
        <v>5</v>
      </c>
      <c r="J115" s="13">
        <v>2</v>
      </c>
      <c r="K115" s="42">
        <v>14001</v>
      </c>
      <c r="L115" s="13">
        <v>7</v>
      </c>
      <c r="M115" s="13">
        <v>3</v>
      </c>
      <c r="N115" s="13" t="s">
        <v>858</v>
      </c>
      <c r="O115" s="13" t="s">
        <v>823</v>
      </c>
      <c r="P115" s="13">
        <v>32063</v>
      </c>
      <c r="Q115" s="42">
        <v>0</v>
      </c>
      <c r="R115" s="13">
        <v>0</v>
      </c>
    </row>
    <row r="116" spans="1:18" hidden="1">
      <c r="A116" s="57" t="s">
        <v>803</v>
      </c>
      <c r="B116" s="13">
        <v>14003</v>
      </c>
      <c r="C116" s="13">
        <v>2</v>
      </c>
      <c r="D116" s="40" t="s">
        <v>877</v>
      </c>
      <c r="E116" s="13" t="s">
        <v>140</v>
      </c>
      <c r="F116" s="60" t="s">
        <v>273</v>
      </c>
      <c r="G116" s="13"/>
      <c r="H116" s="13">
        <v>1</v>
      </c>
      <c r="I116" s="13">
        <v>5</v>
      </c>
      <c r="J116" s="13">
        <v>2</v>
      </c>
      <c r="K116" s="42">
        <v>14002</v>
      </c>
      <c r="L116" s="13">
        <v>7</v>
      </c>
      <c r="M116" s="13">
        <v>1</v>
      </c>
      <c r="N116" s="13" t="s">
        <v>858</v>
      </c>
      <c r="O116" s="13" t="s">
        <v>820</v>
      </c>
      <c r="P116" s="13">
        <v>32064</v>
      </c>
      <c r="Q116" s="42">
        <v>0</v>
      </c>
      <c r="R116" s="13">
        <v>0</v>
      </c>
    </row>
    <row r="117" spans="1:18" hidden="1">
      <c r="A117" s="57" t="s">
        <v>803</v>
      </c>
      <c r="B117" s="13">
        <v>14004</v>
      </c>
      <c r="C117" s="13">
        <v>2</v>
      </c>
      <c r="D117" s="40" t="s">
        <v>877</v>
      </c>
      <c r="E117" s="13" t="s">
        <v>140</v>
      </c>
      <c r="F117" s="60" t="s">
        <v>274</v>
      </c>
      <c r="G117" s="13"/>
      <c r="H117" s="13">
        <v>1</v>
      </c>
      <c r="I117" s="13">
        <v>5</v>
      </c>
      <c r="J117" s="13">
        <v>2</v>
      </c>
      <c r="K117" s="42">
        <v>14003</v>
      </c>
      <c r="L117" s="13">
        <v>7</v>
      </c>
      <c r="M117" s="13">
        <v>2</v>
      </c>
      <c r="N117" s="13" t="s">
        <v>858</v>
      </c>
      <c r="O117" s="13" t="s">
        <v>820</v>
      </c>
      <c r="P117" s="13">
        <v>32065</v>
      </c>
      <c r="Q117" s="42">
        <v>0</v>
      </c>
      <c r="R117" s="13">
        <v>0</v>
      </c>
    </row>
    <row r="118" spans="1:18" hidden="1">
      <c r="A118" s="57" t="s">
        <v>803</v>
      </c>
      <c r="B118" s="13">
        <v>14005</v>
      </c>
      <c r="C118" s="13">
        <v>2</v>
      </c>
      <c r="D118" s="40" t="s">
        <v>877</v>
      </c>
      <c r="E118" s="13" t="s">
        <v>140</v>
      </c>
      <c r="F118" s="60" t="s">
        <v>275</v>
      </c>
      <c r="G118" s="13"/>
      <c r="H118" s="13">
        <v>1</v>
      </c>
      <c r="I118" s="13">
        <v>5</v>
      </c>
      <c r="J118" s="13">
        <v>2</v>
      </c>
      <c r="K118" s="42">
        <v>14004</v>
      </c>
      <c r="L118" s="13">
        <v>7</v>
      </c>
      <c r="M118" s="13">
        <v>3</v>
      </c>
      <c r="N118" s="13" t="s">
        <v>858</v>
      </c>
      <c r="O118" s="13" t="s">
        <v>820</v>
      </c>
      <c r="P118" s="13">
        <v>32066</v>
      </c>
      <c r="Q118" s="42">
        <v>0</v>
      </c>
      <c r="R118" s="13">
        <v>0</v>
      </c>
    </row>
    <row r="119" spans="1:18" hidden="1">
      <c r="A119" s="57" t="s">
        <v>803</v>
      </c>
      <c r="B119" s="13">
        <v>14006</v>
      </c>
      <c r="C119" s="13">
        <v>2</v>
      </c>
      <c r="D119" s="40" t="s">
        <v>877</v>
      </c>
      <c r="E119" s="13" t="s">
        <v>140</v>
      </c>
      <c r="F119" s="13" t="s">
        <v>276</v>
      </c>
      <c r="G119" s="13"/>
      <c r="H119" s="13">
        <v>1</v>
      </c>
      <c r="I119" s="13">
        <v>5</v>
      </c>
      <c r="J119" s="13">
        <v>2</v>
      </c>
      <c r="K119" s="42">
        <v>14005</v>
      </c>
      <c r="L119" s="13">
        <v>7</v>
      </c>
      <c r="M119" s="13">
        <v>1</v>
      </c>
      <c r="N119" s="13" t="s">
        <v>858</v>
      </c>
      <c r="O119" s="13">
        <v>3</v>
      </c>
      <c r="P119" s="13">
        <v>32067</v>
      </c>
      <c r="Q119" s="42">
        <v>0</v>
      </c>
      <c r="R119" s="13">
        <v>0</v>
      </c>
    </row>
    <row r="120" spans="1:18" hidden="1">
      <c r="A120" s="57" t="s">
        <v>803</v>
      </c>
      <c r="B120" s="13">
        <v>14007</v>
      </c>
      <c r="C120" s="13">
        <v>2</v>
      </c>
      <c r="D120" s="40" t="s">
        <v>877</v>
      </c>
      <c r="E120" s="13" t="s">
        <v>140</v>
      </c>
      <c r="F120" s="13" t="s">
        <v>277</v>
      </c>
      <c r="G120" s="13"/>
      <c r="H120" s="13">
        <v>1</v>
      </c>
      <c r="I120" s="13">
        <v>5</v>
      </c>
      <c r="J120" s="13">
        <v>2</v>
      </c>
      <c r="K120" s="42">
        <v>14006</v>
      </c>
      <c r="L120" s="13">
        <v>7</v>
      </c>
      <c r="M120" s="13">
        <v>2</v>
      </c>
      <c r="N120" s="13" t="s">
        <v>858</v>
      </c>
      <c r="O120" s="13">
        <v>3</v>
      </c>
      <c r="P120" s="13">
        <v>32068</v>
      </c>
      <c r="Q120" s="42">
        <v>0</v>
      </c>
      <c r="R120" s="13">
        <v>0</v>
      </c>
    </row>
    <row r="121" spans="1:18" hidden="1">
      <c r="A121" s="57" t="s">
        <v>803</v>
      </c>
      <c r="B121" s="13">
        <v>14008</v>
      </c>
      <c r="C121" s="13">
        <v>2</v>
      </c>
      <c r="D121" s="40" t="s">
        <v>877</v>
      </c>
      <c r="E121" s="13" t="s">
        <v>140</v>
      </c>
      <c r="F121" s="13" t="s">
        <v>278</v>
      </c>
      <c r="G121" s="13"/>
      <c r="H121" s="13">
        <v>1</v>
      </c>
      <c r="I121" s="13">
        <v>5</v>
      </c>
      <c r="J121" s="13">
        <v>2</v>
      </c>
      <c r="K121" s="42">
        <v>14007</v>
      </c>
      <c r="L121" s="13">
        <v>7</v>
      </c>
      <c r="M121" s="13">
        <v>3</v>
      </c>
      <c r="N121" s="13" t="s">
        <v>858</v>
      </c>
      <c r="O121" s="13">
        <v>3</v>
      </c>
      <c r="P121" s="13">
        <v>32069</v>
      </c>
      <c r="Q121" s="42">
        <v>0</v>
      </c>
      <c r="R121" s="13">
        <v>0</v>
      </c>
    </row>
    <row r="122" spans="1:18" hidden="1">
      <c r="A122" s="57" t="s">
        <v>803</v>
      </c>
      <c r="B122" s="13">
        <v>14009</v>
      </c>
      <c r="C122" s="13">
        <v>2</v>
      </c>
      <c r="D122" s="40" t="s">
        <v>877</v>
      </c>
      <c r="E122" s="13" t="s">
        <v>140</v>
      </c>
      <c r="F122" s="60" t="s">
        <v>279</v>
      </c>
      <c r="G122" s="13"/>
      <c r="H122" s="13">
        <v>1</v>
      </c>
      <c r="I122" s="13">
        <v>5</v>
      </c>
      <c r="J122" s="13">
        <v>2</v>
      </c>
      <c r="K122" s="42">
        <v>14008</v>
      </c>
      <c r="L122" s="13">
        <v>7</v>
      </c>
      <c r="M122" s="13">
        <v>1</v>
      </c>
      <c r="N122" s="13" t="s">
        <v>858</v>
      </c>
      <c r="O122" s="13" t="s">
        <v>878</v>
      </c>
      <c r="P122" s="13">
        <v>32070</v>
      </c>
      <c r="Q122" s="42">
        <v>0</v>
      </c>
      <c r="R122" s="13">
        <v>0</v>
      </c>
    </row>
    <row r="123" spans="1:18" hidden="1">
      <c r="A123" s="57" t="s">
        <v>803</v>
      </c>
      <c r="B123" s="13">
        <v>14010</v>
      </c>
      <c r="C123" s="13">
        <v>2</v>
      </c>
      <c r="D123" s="40" t="s">
        <v>877</v>
      </c>
      <c r="E123" s="13" t="s">
        <v>140</v>
      </c>
      <c r="F123" s="60" t="s">
        <v>280</v>
      </c>
      <c r="G123" s="13"/>
      <c r="H123" s="13">
        <v>1</v>
      </c>
      <c r="I123" s="13">
        <v>5</v>
      </c>
      <c r="J123" s="13">
        <v>2</v>
      </c>
      <c r="K123" s="42">
        <v>14009</v>
      </c>
      <c r="L123" s="13">
        <v>7</v>
      </c>
      <c r="M123" s="13">
        <v>2</v>
      </c>
      <c r="N123" s="13" t="s">
        <v>858</v>
      </c>
      <c r="O123" s="13" t="s">
        <v>878</v>
      </c>
      <c r="P123" s="13">
        <v>32071</v>
      </c>
      <c r="Q123" s="42">
        <v>0</v>
      </c>
      <c r="R123" s="13">
        <v>0</v>
      </c>
    </row>
    <row r="124" spans="1:18" hidden="1">
      <c r="A124" s="57" t="s">
        <v>803</v>
      </c>
      <c r="B124" s="13">
        <v>14011</v>
      </c>
      <c r="C124" s="13">
        <v>2</v>
      </c>
      <c r="D124" s="40" t="s">
        <v>877</v>
      </c>
      <c r="E124" s="13" t="s">
        <v>140</v>
      </c>
      <c r="F124" s="60" t="s">
        <v>281</v>
      </c>
      <c r="G124" s="13"/>
      <c r="H124" s="13">
        <v>1</v>
      </c>
      <c r="I124" s="13">
        <v>5</v>
      </c>
      <c r="J124" s="13">
        <v>2</v>
      </c>
      <c r="K124" s="42">
        <v>14010</v>
      </c>
      <c r="L124" s="13">
        <v>7</v>
      </c>
      <c r="M124" s="13">
        <v>3</v>
      </c>
      <c r="N124" s="13" t="s">
        <v>858</v>
      </c>
      <c r="O124" s="13" t="s">
        <v>878</v>
      </c>
      <c r="P124" s="13">
        <v>32072</v>
      </c>
      <c r="Q124" s="42">
        <v>0</v>
      </c>
      <c r="R124" s="13">
        <v>0</v>
      </c>
    </row>
    <row r="125" spans="1:18" hidden="1">
      <c r="A125" s="57" t="s">
        <v>803</v>
      </c>
      <c r="B125" s="13">
        <v>14012</v>
      </c>
      <c r="C125" s="13">
        <v>2</v>
      </c>
      <c r="D125" s="40" t="s">
        <v>877</v>
      </c>
      <c r="E125" s="13" t="s">
        <v>140</v>
      </c>
      <c r="F125" s="13" t="s">
        <v>282</v>
      </c>
      <c r="G125" s="13"/>
      <c r="H125" s="13">
        <v>1</v>
      </c>
      <c r="I125" s="13">
        <v>5</v>
      </c>
      <c r="J125" s="13">
        <v>2</v>
      </c>
      <c r="K125" s="42">
        <v>14011</v>
      </c>
      <c r="L125" s="13">
        <v>7</v>
      </c>
      <c r="M125" s="13">
        <v>1</v>
      </c>
      <c r="N125" s="13" t="s">
        <v>858</v>
      </c>
      <c r="O125" s="13">
        <v>5</v>
      </c>
      <c r="P125" s="13">
        <v>32073</v>
      </c>
      <c r="Q125" s="42">
        <v>0</v>
      </c>
      <c r="R125" s="13">
        <v>0</v>
      </c>
    </row>
    <row r="126" spans="1:18" hidden="1">
      <c r="A126" s="57" t="s">
        <v>803</v>
      </c>
      <c r="B126" s="13">
        <v>14013</v>
      </c>
      <c r="C126" s="13">
        <v>2</v>
      </c>
      <c r="D126" s="40" t="s">
        <v>877</v>
      </c>
      <c r="E126" s="13" t="s">
        <v>140</v>
      </c>
      <c r="F126" s="13" t="s">
        <v>283</v>
      </c>
      <c r="G126" s="13"/>
      <c r="H126" s="13">
        <v>1</v>
      </c>
      <c r="I126" s="13">
        <v>5</v>
      </c>
      <c r="J126" s="13">
        <v>2</v>
      </c>
      <c r="K126" s="42">
        <v>14012</v>
      </c>
      <c r="L126" s="13">
        <v>7</v>
      </c>
      <c r="M126" s="13">
        <v>2</v>
      </c>
      <c r="N126" s="13" t="s">
        <v>858</v>
      </c>
      <c r="O126" s="13">
        <v>5</v>
      </c>
      <c r="P126" s="13">
        <v>32074</v>
      </c>
      <c r="Q126" s="42">
        <v>0</v>
      </c>
      <c r="R126" s="13">
        <v>0</v>
      </c>
    </row>
    <row r="127" spans="1:18" hidden="1">
      <c r="A127" s="57" t="s">
        <v>803</v>
      </c>
      <c r="B127" s="13">
        <v>14014</v>
      </c>
      <c r="C127" s="13">
        <v>2</v>
      </c>
      <c r="D127" s="40" t="s">
        <v>877</v>
      </c>
      <c r="E127" s="13" t="s">
        <v>140</v>
      </c>
      <c r="F127" s="13" t="s">
        <v>284</v>
      </c>
      <c r="G127" s="13"/>
      <c r="H127" s="13">
        <v>1</v>
      </c>
      <c r="I127" s="13">
        <v>5</v>
      </c>
      <c r="J127" s="13">
        <v>2</v>
      </c>
      <c r="K127" s="42">
        <v>14013</v>
      </c>
      <c r="L127" s="13">
        <v>7</v>
      </c>
      <c r="M127" s="13">
        <v>3</v>
      </c>
      <c r="N127" s="13" t="s">
        <v>858</v>
      </c>
      <c r="O127" s="13">
        <v>5</v>
      </c>
      <c r="P127" s="13">
        <v>32075</v>
      </c>
      <c r="Q127" s="42">
        <v>0</v>
      </c>
      <c r="R127" s="13">
        <v>0</v>
      </c>
    </row>
    <row r="128" spans="1:18" hidden="1">
      <c r="A128" s="57" t="s">
        <v>803</v>
      </c>
      <c r="B128" s="13">
        <v>14015</v>
      </c>
      <c r="C128" s="13">
        <v>2</v>
      </c>
      <c r="D128" s="40" t="s">
        <v>877</v>
      </c>
      <c r="E128" s="13" t="s">
        <v>140</v>
      </c>
      <c r="F128" s="60" t="s">
        <v>285</v>
      </c>
      <c r="G128" s="13"/>
      <c r="H128" s="13">
        <v>1</v>
      </c>
      <c r="I128" s="13">
        <v>5</v>
      </c>
      <c r="J128" s="13">
        <v>2</v>
      </c>
      <c r="K128" s="42">
        <v>14014</v>
      </c>
      <c r="L128" s="13">
        <v>7</v>
      </c>
      <c r="M128" s="13">
        <v>1</v>
      </c>
      <c r="N128" s="13" t="s">
        <v>858</v>
      </c>
      <c r="O128" s="13" t="s">
        <v>824</v>
      </c>
      <c r="P128" s="13">
        <v>32076</v>
      </c>
      <c r="Q128" s="42">
        <v>0</v>
      </c>
      <c r="R128" s="13">
        <v>0</v>
      </c>
    </row>
    <row r="129" spans="1:18" hidden="1">
      <c r="A129" s="57" t="s">
        <v>803</v>
      </c>
      <c r="B129" s="13">
        <v>14016</v>
      </c>
      <c r="C129" s="13">
        <v>2</v>
      </c>
      <c r="D129" s="40" t="s">
        <v>877</v>
      </c>
      <c r="E129" s="13" t="s">
        <v>140</v>
      </c>
      <c r="F129" s="60" t="s">
        <v>286</v>
      </c>
      <c r="G129" s="13"/>
      <c r="H129" s="13">
        <v>1</v>
      </c>
      <c r="I129" s="13">
        <v>5</v>
      </c>
      <c r="J129" s="13">
        <v>2</v>
      </c>
      <c r="K129" s="42">
        <v>14015</v>
      </c>
      <c r="L129" s="13">
        <v>7</v>
      </c>
      <c r="M129" s="13">
        <v>2</v>
      </c>
      <c r="N129" s="13" t="s">
        <v>858</v>
      </c>
      <c r="O129" s="13" t="s">
        <v>824</v>
      </c>
      <c r="P129" s="13">
        <v>32077</v>
      </c>
      <c r="Q129" s="42">
        <v>0</v>
      </c>
      <c r="R129" s="13">
        <v>0</v>
      </c>
    </row>
    <row r="130" spans="1:18" hidden="1">
      <c r="A130" s="57" t="s">
        <v>803</v>
      </c>
      <c r="B130" s="13">
        <v>14017</v>
      </c>
      <c r="C130" s="13">
        <v>2</v>
      </c>
      <c r="D130" s="40" t="s">
        <v>877</v>
      </c>
      <c r="E130" s="13" t="s">
        <v>140</v>
      </c>
      <c r="F130" s="60" t="s">
        <v>287</v>
      </c>
      <c r="G130" s="13"/>
      <c r="H130" s="13">
        <v>1</v>
      </c>
      <c r="I130" s="13">
        <v>5</v>
      </c>
      <c r="J130" s="13">
        <v>2</v>
      </c>
      <c r="K130" s="42">
        <v>14016</v>
      </c>
      <c r="L130" s="13">
        <v>7</v>
      </c>
      <c r="M130" s="13">
        <v>3</v>
      </c>
      <c r="N130" s="13" t="s">
        <v>858</v>
      </c>
      <c r="O130" s="13" t="s">
        <v>824</v>
      </c>
      <c r="P130" s="13">
        <v>32078</v>
      </c>
      <c r="Q130" s="42">
        <v>0</v>
      </c>
      <c r="R130" s="13">
        <v>0</v>
      </c>
    </row>
    <row r="131" spans="1:18" hidden="1">
      <c r="A131" s="57" t="s">
        <v>803</v>
      </c>
      <c r="B131" s="13">
        <v>14018</v>
      </c>
      <c r="C131" s="13">
        <v>2</v>
      </c>
      <c r="D131" s="40" t="s">
        <v>877</v>
      </c>
      <c r="E131" s="13" t="s">
        <v>140</v>
      </c>
      <c r="F131" s="60" t="s">
        <v>288</v>
      </c>
      <c r="G131" s="13"/>
      <c r="H131" s="13">
        <v>1</v>
      </c>
      <c r="I131" s="13">
        <v>5</v>
      </c>
      <c r="J131" s="13">
        <v>2</v>
      </c>
      <c r="K131" s="42">
        <v>14017</v>
      </c>
      <c r="L131" s="13">
        <v>7</v>
      </c>
      <c r="M131" s="13">
        <v>1</v>
      </c>
      <c r="N131" s="13" t="s">
        <v>858</v>
      </c>
      <c r="O131" s="13" t="s">
        <v>825</v>
      </c>
      <c r="P131" s="13">
        <v>32079</v>
      </c>
      <c r="Q131" s="42">
        <v>0</v>
      </c>
      <c r="R131" s="13">
        <v>0</v>
      </c>
    </row>
    <row r="132" spans="1:18" hidden="1">
      <c r="A132" s="57" t="s">
        <v>803</v>
      </c>
      <c r="B132" s="13">
        <v>14019</v>
      </c>
      <c r="C132" s="13">
        <v>2</v>
      </c>
      <c r="D132" s="40" t="s">
        <v>877</v>
      </c>
      <c r="E132" s="13" t="s">
        <v>140</v>
      </c>
      <c r="F132" s="60" t="s">
        <v>289</v>
      </c>
      <c r="G132" s="13"/>
      <c r="H132" s="13">
        <v>1</v>
      </c>
      <c r="I132" s="13">
        <v>5</v>
      </c>
      <c r="J132" s="13">
        <v>2</v>
      </c>
      <c r="K132" s="42">
        <v>14018</v>
      </c>
      <c r="L132" s="13">
        <v>7</v>
      </c>
      <c r="M132" s="13">
        <v>2</v>
      </c>
      <c r="N132" s="13" t="s">
        <v>858</v>
      </c>
      <c r="O132" s="13" t="s">
        <v>825</v>
      </c>
      <c r="P132" s="13">
        <v>32080</v>
      </c>
      <c r="Q132" s="42">
        <v>0</v>
      </c>
      <c r="R132" s="13">
        <v>0</v>
      </c>
    </row>
    <row r="133" spans="1:18" hidden="1">
      <c r="A133" s="57" t="s">
        <v>803</v>
      </c>
      <c r="B133" s="13">
        <v>14020</v>
      </c>
      <c r="C133" s="13">
        <v>2</v>
      </c>
      <c r="D133" s="40" t="s">
        <v>877</v>
      </c>
      <c r="E133" s="13" t="s">
        <v>140</v>
      </c>
      <c r="F133" s="60" t="s">
        <v>290</v>
      </c>
      <c r="G133" s="13"/>
      <c r="H133" s="13">
        <v>1</v>
      </c>
      <c r="I133" s="13">
        <v>5</v>
      </c>
      <c r="J133" s="13">
        <v>2</v>
      </c>
      <c r="K133" s="42">
        <v>14019</v>
      </c>
      <c r="L133" s="13">
        <v>7</v>
      </c>
      <c r="M133" s="13">
        <v>3</v>
      </c>
      <c r="N133" s="13" t="s">
        <v>858</v>
      </c>
      <c r="O133" s="13" t="s">
        <v>825</v>
      </c>
      <c r="P133" s="13">
        <v>32081</v>
      </c>
      <c r="Q133" s="42">
        <v>0</v>
      </c>
      <c r="R133" s="13">
        <v>0</v>
      </c>
    </row>
    <row r="134" spans="1:18" hidden="1">
      <c r="A134" s="57" t="s">
        <v>803</v>
      </c>
      <c r="B134" s="13">
        <v>14021</v>
      </c>
      <c r="C134" s="13">
        <v>2</v>
      </c>
      <c r="D134" s="40" t="s">
        <v>877</v>
      </c>
      <c r="E134" s="13" t="s">
        <v>140</v>
      </c>
      <c r="F134" s="13" t="s">
        <v>291</v>
      </c>
      <c r="G134" s="13"/>
      <c r="H134" s="13">
        <v>1</v>
      </c>
      <c r="I134" s="13">
        <v>5</v>
      </c>
      <c r="J134" s="13">
        <v>2</v>
      </c>
      <c r="K134" s="42">
        <v>14020</v>
      </c>
      <c r="L134" s="13">
        <v>7</v>
      </c>
      <c r="M134" s="13">
        <v>1</v>
      </c>
      <c r="N134" s="13" t="s">
        <v>858</v>
      </c>
      <c r="O134" s="13">
        <v>8</v>
      </c>
      <c r="P134" s="13">
        <v>32082</v>
      </c>
      <c r="Q134" s="42">
        <v>0</v>
      </c>
      <c r="R134" s="13">
        <v>0</v>
      </c>
    </row>
    <row r="135" spans="1:18" hidden="1">
      <c r="A135" s="57" t="s">
        <v>803</v>
      </c>
      <c r="B135" s="13">
        <v>14022</v>
      </c>
      <c r="C135" s="13">
        <v>2</v>
      </c>
      <c r="D135" s="40" t="s">
        <v>877</v>
      </c>
      <c r="E135" s="13" t="s">
        <v>140</v>
      </c>
      <c r="F135" s="13" t="s">
        <v>292</v>
      </c>
      <c r="G135" s="13"/>
      <c r="H135" s="13">
        <v>1</v>
      </c>
      <c r="I135" s="13">
        <v>5</v>
      </c>
      <c r="J135" s="13">
        <v>2</v>
      </c>
      <c r="K135" s="42">
        <v>14021</v>
      </c>
      <c r="L135" s="13">
        <v>7</v>
      </c>
      <c r="M135" s="13">
        <v>2</v>
      </c>
      <c r="N135" s="13" t="s">
        <v>858</v>
      </c>
      <c r="O135" s="13">
        <v>8</v>
      </c>
      <c r="P135" s="13">
        <v>32083</v>
      </c>
      <c r="Q135" s="42">
        <v>0</v>
      </c>
      <c r="R135" s="13">
        <v>0</v>
      </c>
    </row>
    <row r="136" spans="1:18" hidden="1">
      <c r="A136" s="57" t="s">
        <v>803</v>
      </c>
      <c r="B136" s="13">
        <v>14023</v>
      </c>
      <c r="C136" s="13">
        <v>2</v>
      </c>
      <c r="D136" s="40" t="s">
        <v>877</v>
      </c>
      <c r="E136" s="13" t="s">
        <v>140</v>
      </c>
      <c r="F136" s="13" t="s">
        <v>293</v>
      </c>
      <c r="G136" s="13"/>
      <c r="H136" s="13">
        <v>1</v>
      </c>
      <c r="I136" s="13">
        <v>5</v>
      </c>
      <c r="J136" s="13">
        <v>2</v>
      </c>
      <c r="K136" s="42">
        <v>14022</v>
      </c>
      <c r="L136" s="13">
        <v>7</v>
      </c>
      <c r="M136" s="13">
        <v>3</v>
      </c>
      <c r="N136" s="13" t="s">
        <v>858</v>
      </c>
      <c r="O136" s="13">
        <v>8</v>
      </c>
      <c r="P136" s="13">
        <v>32084</v>
      </c>
      <c r="Q136" s="42">
        <v>0</v>
      </c>
      <c r="R136" s="13">
        <v>0</v>
      </c>
    </row>
    <row r="137" spans="1:18" hidden="1">
      <c r="A137" s="57" t="s">
        <v>803</v>
      </c>
      <c r="B137" s="13">
        <v>14024</v>
      </c>
      <c r="C137" s="13">
        <v>2</v>
      </c>
      <c r="D137" s="40" t="s">
        <v>877</v>
      </c>
      <c r="E137" s="13" t="s">
        <v>140</v>
      </c>
      <c r="F137" s="60" t="s">
        <v>294</v>
      </c>
      <c r="G137" s="13"/>
      <c r="H137" s="13">
        <v>1</v>
      </c>
      <c r="I137" s="13">
        <v>5</v>
      </c>
      <c r="J137" s="13">
        <v>2</v>
      </c>
      <c r="K137" s="42">
        <v>14023</v>
      </c>
      <c r="L137" s="13">
        <v>7</v>
      </c>
      <c r="M137" s="13">
        <v>1</v>
      </c>
      <c r="N137" s="13" t="s">
        <v>858</v>
      </c>
      <c r="O137" s="13" t="s">
        <v>858</v>
      </c>
      <c r="P137" s="13">
        <v>32085</v>
      </c>
      <c r="Q137" s="42">
        <v>0</v>
      </c>
      <c r="R137" s="13">
        <v>0</v>
      </c>
    </row>
    <row r="138" spans="1:18" hidden="1">
      <c r="A138" s="57" t="s">
        <v>803</v>
      </c>
      <c r="B138" s="13">
        <v>14025</v>
      </c>
      <c r="C138" s="13">
        <v>2</v>
      </c>
      <c r="D138" s="40" t="s">
        <v>877</v>
      </c>
      <c r="E138" s="13" t="s">
        <v>140</v>
      </c>
      <c r="F138" s="60" t="s">
        <v>295</v>
      </c>
      <c r="G138" s="13"/>
      <c r="H138" s="13">
        <v>1</v>
      </c>
      <c r="I138" s="13">
        <v>5</v>
      </c>
      <c r="J138" s="13">
        <v>2</v>
      </c>
      <c r="K138" s="42">
        <v>14024</v>
      </c>
      <c r="L138" s="13">
        <v>7</v>
      </c>
      <c r="M138" s="13">
        <v>2</v>
      </c>
      <c r="N138" s="13" t="s">
        <v>858</v>
      </c>
      <c r="O138" s="13" t="s">
        <v>858</v>
      </c>
      <c r="P138" s="13">
        <v>32086</v>
      </c>
      <c r="Q138" s="42">
        <v>0</v>
      </c>
      <c r="R138" s="13">
        <v>0</v>
      </c>
    </row>
    <row r="139" spans="1:18" hidden="1">
      <c r="A139" s="57" t="s">
        <v>803</v>
      </c>
      <c r="B139" s="13">
        <v>14026</v>
      </c>
      <c r="C139" s="13">
        <v>2</v>
      </c>
      <c r="D139" s="40" t="s">
        <v>877</v>
      </c>
      <c r="E139" s="13" t="s">
        <v>140</v>
      </c>
      <c r="F139" s="60" t="s">
        <v>296</v>
      </c>
      <c r="G139" s="13"/>
      <c r="H139" s="13">
        <v>1</v>
      </c>
      <c r="I139" s="13">
        <v>5</v>
      </c>
      <c r="J139" s="13">
        <v>2</v>
      </c>
      <c r="K139" s="42">
        <v>14025</v>
      </c>
      <c r="L139" s="13">
        <v>7</v>
      </c>
      <c r="M139" s="13">
        <v>3</v>
      </c>
      <c r="N139" s="13" t="s">
        <v>858</v>
      </c>
      <c r="O139" s="13" t="s">
        <v>858</v>
      </c>
      <c r="P139" s="13">
        <v>32087</v>
      </c>
      <c r="Q139" s="42">
        <v>0</v>
      </c>
      <c r="R139" s="13">
        <v>0</v>
      </c>
    </row>
    <row r="140" spans="1:18" hidden="1">
      <c r="A140" s="57" t="s">
        <v>803</v>
      </c>
      <c r="B140" s="13">
        <v>14027</v>
      </c>
      <c r="C140" s="13">
        <v>2</v>
      </c>
      <c r="D140" s="40" t="s">
        <v>877</v>
      </c>
      <c r="E140" s="13" t="s">
        <v>140</v>
      </c>
      <c r="F140" s="13" t="s">
        <v>297</v>
      </c>
      <c r="G140" s="13"/>
      <c r="H140" s="13">
        <v>1</v>
      </c>
      <c r="I140" s="13">
        <v>5</v>
      </c>
      <c r="J140" s="13">
        <v>2</v>
      </c>
      <c r="K140" s="42">
        <v>14026</v>
      </c>
      <c r="L140" s="13">
        <v>7</v>
      </c>
      <c r="M140" s="13">
        <v>1</v>
      </c>
      <c r="N140" s="13">
        <v>9</v>
      </c>
      <c r="O140" s="13">
        <v>10</v>
      </c>
      <c r="P140" s="13">
        <v>32088</v>
      </c>
      <c r="Q140" s="42">
        <v>0</v>
      </c>
      <c r="R140" s="13">
        <v>0</v>
      </c>
    </row>
    <row r="141" spans="1:18" hidden="1">
      <c r="A141" s="57" t="s">
        <v>803</v>
      </c>
      <c r="B141" s="13">
        <v>14028</v>
      </c>
      <c r="C141" s="13">
        <v>2</v>
      </c>
      <c r="D141" s="40" t="s">
        <v>877</v>
      </c>
      <c r="E141" s="13" t="s">
        <v>140</v>
      </c>
      <c r="F141" s="13" t="s">
        <v>298</v>
      </c>
      <c r="G141" s="13"/>
      <c r="H141" s="13">
        <v>1</v>
      </c>
      <c r="I141" s="13">
        <v>5</v>
      </c>
      <c r="J141" s="13">
        <v>2</v>
      </c>
      <c r="K141" s="42">
        <v>14027</v>
      </c>
      <c r="L141" s="13">
        <v>7</v>
      </c>
      <c r="M141" s="13">
        <v>2</v>
      </c>
      <c r="N141" s="13">
        <v>9</v>
      </c>
      <c r="O141" s="13">
        <v>10</v>
      </c>
      <c r="P141" s="13">
        <v>32089</v>
      </c>
      <c r="Q141" s="42">
        <v>0</v>
      </c>
      <c r="R141" s="13">
        <v>0</v>
      </c>
    </row>
    <row r="142" spans="1:18" hidden="1">
      <c r="A142" s="57" t="s">
        <v>803</v>
      </c>
      <c r="B142" s="13">
        <v>14029</v>
      </c>
      <c r="C142" s="13">
        <v>2</v>
      </c>
      <c r="D142" s="40" t="s">
        <v>877</v>
      </c>
      <c r="E142" s="13" t="s">
        <v>140</v>
      </c>
      <c r="F142" s="13" t="s">
        <v>299</v>
      </c>
      <c r="G142" s="13"/>
      <c r="H142" s="13">
        <v>1</v>
      </c>
      <c r="I142" s="13">
        <v>5</v>
      </c>
      <c r="J142" s="13">
        <v>2</v>
      </c>
      <c r="K142" s="42">
        <v>14028</v>
      </c>
      <c r="L142" s="13">
        <v>7</v>
      </c>
      <c r="M142" s="13">
        <v>3</v>
      </c>
      <c r="N142" s="13">
        <v>9</v>
      </c>
      <c r="O142" s="13">
        <v>10</v>
      </c>
      <c r="P142" s="13">
        <v>32090</v>
      </c>
      <c r="Q142" s="42">
        <v>0</v>
      </c>
      <c r="R142" s="13">
        <v>0</v>
      </c>
    </row>
    <row r="143" spans="1:18" hidden="1">
      <c r="A143" s="57" t="s">
        <v>803</v>
      </c>
      <c r="B143" s="13">
        <v>15000</v>
      </c>
      <c r="C143" s="13">
        <v>2</v>
      </c>
      <c r="D143" s="40" t="s">
        <v>821</v>
      </c>
      <c r="E143" s="13" t="s">
        <v>191</v>
      </c>
      <c r="F143" s="13" t="s">
        <v>300</v>
      </c>
      <c r="G143" s="13"/>
      <c r="H143" s="13">
        <v>1</v>
      </c>
      <c r="I143" s="13">
        <v>5</v>
      </c>
      <c r="J143" s="13"/>
      <c r="K143" s="42"/>
      <c r="L143" s="13">
        <v>7</v>
      </c>
      <c r="M143" s="13">
        <v>1</v>
      </c>
      <c r="N143" s="13">
        <v>10</v>
      </c>
      <c r="O143" s="13" t="s">
        <v>820</v>
      </c>
      <c r="P143" s="13">
        <v>32091</v>
      </c>
      <c r="Q143" s="42">
        <v>0</v>
      </c>
      <c r="R143" s="13">
        <v>0</v>
      </c>
    </row>
    <row r="144" spans="1:18" hidden="1">
      <c r="A144" s="57" t="s">
        <v>803</v>
      </c>
      <c r="B144" s="13">
        <v>15001</v>
      </c>
      <c r="C144" s="13">
        <v>2</v>
      </c>
      <c r="D144" s="40" t="s">
        <v>821</v>
      </c>
      <c r="E144" s="13" t="s">
        <v>191</v>
      </c>
      <c r="F144" s="13" t="s">
        <v>301</v>
      </c>
      <c r="G144" s="13"/>
      <c r="H144" s="13">
        <v>1</v>
      </c>
      <c r="I144" s="13">
        <v>5</v>
      </c>
      <c r="J144" s="13">
        <v>2</v>
      </c>
      <c r="K144" s="42">
        <v>15000</v>
      </c>
      <c r="L144" s="13">
        <v>7</v>
      </c>
      <c r="M144" s="13">
        <v>2</v>
      </c>
      <c r="N144" s="13">
        <v>10</v>
      </c>
      <c r="O144" s="13" t="s">
        <v>820</v>
      </c>
      <c r="P144" s="13">
        <v>32092</v>
      </c>
      <c r="Q144" s="42">
        <v>0</v>
      </c>
      <c r="R144" s="13">
        <v>0</v>
      </c>
    </row>
    <row r="145" spans="1:18" hidden="1">
      <c r="A145" s="57" t="s">
        <v>803</v>
      </c>
      <c r="B145" s="13">
        <v>15002</v>
      </c>
      <c r="C145" s="13">
        <v>2</v>
      </c>
      <c r="D145" s="40" t="s">
        <v>821</v>
      </c>
      <c r="E145" s="13" t="s">
        <v>191</v>
      </c>
      <c r="F145" s="13" t="s">
        <v>302</v>
      </c>
      <c r="G145" s="13"/>
      <c r="H145" s="13">
        <v>1</v>
      </c>
      <c r="I145" s="13">
        <v>5</v>
      </c>
      <c r="J145" s="13">
        <v>2</v>
      </c>
      <c r="K145" s="42">
        <v>15001</v>
      </c>
      <c r="L145" s="13">
        <v>7</v>
      </c>
      <c r="M145" s="13">
        <v>3</v>
      </c>
      <c r="N145" s="13">
        <v>10</v>
      </c>
      <c r="O145" s="13" t="s">
        <v>820</v>
      </c>
      <c r="P145" s="13">
        <v>32093</v>
      </c>
      <c r="Q145" s="42">
        <v>0</v>
      </c>
      <c r="R145" s="13">
        <v>0</v>
      </c>
    </row>
    <row r="146" spans="1:18" hidden="1">
      <c r="A146" s="57" t="s">
        <v>803</v>
      </c>
      <c r="B146" s="13">
        <v>15003</v>
      </c>
      <c r="C146" s="13">
        <v>2</v>
      </c>
      <c r="D146" s="40" t="s">
        <v>821</v>
      </c>
      <c r="E146" s="13" t="s">
        <v>191</v>
      </c>
      <c r="F146" s="13" t="s">
        <v>303</v>
      </c>
      <c r="G146" s="13"/>
      <c r="H146" s="13">
        <v>1</v>
      </c>
      <c r="I146" s="13">
        <v>5</v>
      </c>
      <c r="J146" s="13">
        <v>2</v>
      </c>
      <c r="K146" s="42">
        <v>15002</v>
      </c>
      <c r="L146" s="13">
        <v>7</v>
      </c>
      <c r="M146" s="13">
        <v>1</v>
      </c>
      <c r="N146" s="13">
        <v>10</v>
      </c>
      <c r="O146" s="13" t="s">
        <v>878</v>
      </c>
      <c r="P146" s="13">
        <v>32094</v>
      </c>
      <c r="Q146" s="42">
        <v>0</v>
      </c>
      <c r="R146" s="13">
        <v>0</v>
      </c>
    </row>
    <row r="147" spans="1:18" hidden="1">
      <c r="A147" s="57" t="s">
        <v>803</v>
      </c>
      <c r="B147" s="13">
        <v>15004</v>
      </c>
      <c r="C147" s="13">
        <v>2</v>
      </c>
      <c r="D147" s="40" t="s">
        <v>821</v>
      </c>
      <c r="E147" s="13" t="s">
        <v>191</v>
      </c>
      <c r="F147" s="13" t="s">
        <v>304</v>
      </c>
      <c r="G147" s="13"/>
      <c r="H147" s="13">
        <v>1</v>
      </c>
      <c r="I147" s="13">
        <v>5</v>
      </c>
      <c r="J147" s="13">
        <v>2</v>
      </c>
      <c r="K147" s="42">
        <v>15003</v>
      </c>
      <c r="L147" s="13">
        <v>7</v>
      </c>
      <c r="M147" s="13">
        <v>2</v>
      </c>
      <c r="N147" s="13">
        <v>10</v>
      </c>
      <c r="O147" s="13" t="s">
        <v>878</v>
      </c>
      <c r="P147" s="13">
        <v>32095</v>
      </c>
      <c r="Q147" s="42">
        <v>0</v>
      </c>
      <c r="R147" s="13">
        <v>0</v>
      </c>
    </row>
    <row r="148" spans="1:18" hidden="1">
      <c r="A148" s="57" t="s">
        <v>803</v>
      </c>
      <c r="B148" s="13">
        <v>15005</v>
      </c>
      <c r="C148" s="13">
        <v>2</v>
      </c>
      <c r="D148" s="40" t="s">
        <v>821</v>
      </c>
      <c r="E148" s="13" t="s">
        <v>191</v>
      </c>
      <c r="F148" s="13" t="s">
        <v>305</v>
      </c>
      <c r="G148" s="13"/>
      <c r="H148" s="13">
        <v>1</v>
      </c>
      <c r="I148" s="13">
        <v>5</v>
      </c>
      <c r="J148" s="13">
        <v>2</v>
      </c>
      <c r="K148" s="42">
        <v>15004</v>
      </c>
      <c r="L148" s="13">
        <v>7</v>
      </c>
      <c r="M148" s="13">
        <v>3</v>
      </c>
      <c r="N148" s="13">
        <v>10</v>
      </c>
      <c r="O148" s="13" t="s">
        <v>878</v>
      </c>
      <c r="P148" s="13">
        <v>32096</v>
      </c>
      <c r="Q148" s="42">
        <v>0</v>
      </c>
      <c r="R148" s="13">
        <v>0</v>
      </c>
    </row>
    <row r="149" spans="1:18" hidden="1">
      <c r="A149" s="57" t="s">
        <v>803</v>
      </c>
      <c r="B149" s="13">
        <v>15006</v>
      </c>
      <c r="C149" s="13">
        <v>2</v>
      </c>
      <c r="D149" s="40" t="s">
        <v>821</v>
      </c>
      <c r="E149" s="13" t="s">
        <v>191</v>
      </c>
      <c r="F149" s="13" t="s">
        <v>306</v>
      </c>
      <c r="G149" s="13"/>
      <c r="H149" s="13">
        <v>1</v>
      </c>
      <c r="I149" s="13">
        <v>5</v>
      </c>
      <c r="J149" s="13">
        <v>2</v>
      </c>
      <c r="K149" s="42">
        <v>15005</v>
      </c>
      <c r="L149" s="13">
        <v>7</v>
      </c>
      <c r="M149" s="13">
        <v>1</v>
      </c>
      <c r="N149" s="13">
        <v>10</v>
      </c>
      <c r="O149" s="13" t="s">
        <v>825</v>
      </c>
      <c r="P149" s="13">
        <v>32097</v>
      </c>
      <c r="Q149" s="42">
        <v>0</v>
      </c>
      <c r="R149" s="13">
        <v>0</v>
      </c>
    </row>
    <row r="150" spans="1:18" hidden="1">
      <c r="A150" s="57" t="s">
        <v>803</v>
      </c>
      <c r="B150" s="13">
        <v>15007</v>
      </c>
      <c r="C150" s="13">
        <v>2</v>
      </c>
      <c r="D150" s="40" t="s">
        <v>821</v>
      </c>
      <c r="E150" s="13" t="s">
        <v>191</v>
      </c>
      <c r="F150" s="13" t="s">
        <v>307</v>
      </c>
      <c r="G150" s="13"/>
      <c r="H150" s="13">
        <v>1</v>
      </c>
      <c r="I150" s="13">
        <v>5</v>
      </c>
      <c r="J150" s="13">
        <v>2</v>
      </c>
      <c r="K150" s="42">
        <v>15006</v>
      </c>
      <c r="L150" s="13">
        <v>7</v>
      </c>
      <c r="M150" s="13">
        <v>2</v>
      </c>
      <c r="N150" s="13">
        <v>10</v>
      </c>
      <c r="O150" s="13" t="s">
        <v>825</v>
      </c>
      <c r="P150" s="13">
        <v>32098</v>
      </c>
      <c r="Q150" s="42">
        <v>0</v>
      </c>
      <c r="R150" s="13">
        <v>0</v>
      </c>
    </row>
    <row r="151" spans="1:18" hidden="1">
      <c r="A151" s="57" t="s">
        <v>803</v>
      </c>
      <c r="B151" s="13">
        <v>15008</v>
      </c>
      <c r="C151" s="13">
        <v>2</v>
      </c>
      <c r="D151" s="40" t="s">
        <v>821</v>
      </c>
      <c r="E151" s="13" t="s">
        <v>191</v>
      </c>
      <c r="F151" s="13" t="s">
        <v>308</v>
      </c>
      <c r="G151" s="13"/>
      <c r="H151" s="13">
        <v>1</v>
      </c>
      <c r="I151" s="13">
        <v>5</v>
      </c>
      <c r="J151" s="13">
        <v>2</v>
      </c>
      <c r="K151" s="42">
        <v>15007</v>
      </c>
      <c r="L151" s="13">
        <v>7</v>
      </c>
      <c r="M151" s="13">
        <v>3</v>
      </c>
      <c r="N151" s="13">
        <v>10</v>
      </c>
      <c r="O151" s="13" t="s">
        <v>825</v>
      </c>
      <c r="P151" s="13">
        <v>32099</v>
      </c>
      <c r="Q151" s="42">
        <v>0</v>
      </c>
      <c r="R151" s="13">
        <v>0</v>
      </c>
    </row>
    <row r="152" spans="1:18" hidden="1">
      <c r="A152" s="13" t="s">
        <v>803</v>
      </c>
      <c r="B152" s="13">
        <v>15009</v>
      </c>
      <c r="C152" s="13">
        <v>2</v>
      </c>
      <c r="D152" s="40" t="s">
        <v>821</v>
      </c>
      <c r="E152" s="13" t="s">
        <v>191</v>
      </c>
      <c r="F152" s="13" t="s">
        <v>309</v>
      </c>
      <c r="G152" s="13"/>
      <c r="H152" s="13">
        <v>1</v>
      </c>
      <c r="I152" s="13">
        <v>5</v>
      </c>
      <c r="J152" s="13">
        <v>2</v>
      </c>
      <c r="K152" s="42">
        <v>15008</v>
      </c>
      <c r="L152" s="13">
        <v>7</v>
      </c>
      <c r="M152" s="13">
        <v>1</v>
      </c>
      <c r="N152" s="13">
        <v>10</v>
      </c>
      <c r="O152" s="13">
        <v>11</v>
      </c>
      <c r="P152" s="13">
        <v>32100</v>
      </c>
      <c r="Q152" s="42">
        <v>0</v>
      </c>
      <c r="R152" s="13">
        <v>0</v>
      </c>
    </row>
    <row r="153" spans="1:18" hidden="1">
      <c r="A153" s="13" t="s">
        <v>803</v>
      </c>
      <c r="B153" s="13">
        <v>15010</v>
      </c>
      <c r="C153" s="13">
        <v>2</v>
      </c>
      <c r="D153" s="40" t="s">
        <v>821</v>
      </c>
      <c r="E153" s="13" t="s">
        <v>191</v>
      </c>
      <c r="F153" s="13" t="s">
        <v>310</v>
      </c>
      <c r="G153" s="13"/>
      <c r="H153" s="13">
        <v>1</v>
      </c>
      <c r="I153" s="13">
        <v>5</v>
      </c>
      <c r="J153" s="13">
        <v>2</v>
      </c>
      <c r="K153" s="42">
        <v>15009</v>
      </c>
      <c r="L153" s="13">
        <v>7</v>
      </c>
      <c r="M153" s="13">
        <v>2</v>
      </c>
      <c r="N153" s="13">
        <v>10</v>
      </c>
      <c r="O153" s="13">
        <v>11</v>
      </c>
      <c r="P153" s="13">
        <v>32101</v>
      </c>
      <c r="Q153" s="42">
        <v>0</v>
      </c>
      <c r="R153" s="13">
        <v>0</v>
      </c>
    </row>
    <row r="154" spans="1:18" hidden="1">
      <c r="A154" s="13" t="s">
        <v>803</v>
      </c>
      <c r="B154" s="13">
        <v>15011</v>
      </c>
      <c r="C154" s="13">
        <v>2</v>
      </c>
      <c r="D154" s="40" t="s">
        <v>821</v>
      </c>
      <c r="E154" s="13" t="s">
        <v>191</v>
      </c>
      <c r="F154" s="13" t="s">
        <v>311</v>
      </c>
      <c r="G154" s="13"/>
      <c r="H154" s="13">
        <v>1</v>
      </c>
      <c r="I154" s="13">
        <v>5</v>
      </c>
      <c r="J154" s="13">
        <v>2</v>
      </c>
      <c r="K154" s="42">
        <v>15010</v>
      </c>
      <c r="L154" s="13">
        <v>7</v>
      </c>
      <c r="M154" s="13">
        <v>3</v>
      </c>
      <c r="N154" s="13">
        <v>10</v>
      </c>
      <c r="O154" s="13">
        <v>11</v>
      </c>
      <c r="P154" s="13">
        <v>32102</v>
      </c>
      <c r="Q154" s="42">
        <v>0</v>
      </c>
      <c r="R154" s="13">
        <v>0</v>
      </c>
    </row>
    <row r="155" spans="1:18" ht="14.25" hidden="1">
      <c r="A155" s="34" t="s">
        <v>1055</v>
      </c>
      <c r="B155" s="73">
        <v>20101</v>
      </c>
      <c r="C155" s="45">
        <v>2</v>
      </c>
      <c r="D155" s="34" t="s">
        <v>879</v>
      </c>
      <c r="E155" s="68" t="s">
        <v>543</v>
      </c>
      <c r="F155" s="66" t="s">
        <v>1052</v>
      </c>
      <c r="G155" s="34"/>
      <c r="H155" s="45">
        <v>1</v>
      </c>
      <c r="I155" s="45">
        <v>1</v>
      </c>
      <c r="J155" s="34"/>
      <c r="K155" s="34"/>
      <c r="L155" s="34">
        <v>1</v>
      </c>
      <c r="M155" s="74">
        <v>100</v>
      </c>
      <c r="N155" s="34"/>
      <c r="O155" s="34"/>
      <c r="P155" s="75" t="s">
        <v>536</v>
      </c>
      <c r="Q155" s="34">
        <v>0</v>
      </c>
      <c r="R155" s="34" t="s">
        <v>823</v>
      </c>
    </row>
    <row r="156" spans="1:18" ht="14.25">
      <c r="A156" s="34"/>
      <c r="B156" s="73">
        <v>20102</v>
      </c>
      <c r="C156" s="45">
        <v>2</v>
      </c>
      <c r="D156" s="34" t="s">
        <v>879</v>
      </c>
      <c r="E156" s="68" t="s">
        <v>543</v>
      </c>
      <c r="F156" s="66" t="s">
        <v>1053</v>
      </c>
      <c r="G156" s="34"/>
      <c r="H156" s="45">
        <v>1</v>
      </c>
      <c r="I156" s="45">
        <v>1</v>
      </c>
      <c r="J156" s="34" t="s">
        <v>820</v>
      </c>
      <c r="K156" s="73"/>
      <c r="L156" s="34">
        <v>1</v>
      </c>
      <c r="M156" s="74" t="s">
        <v>1056</v>
      </c>
      <c r="N156" s="34"/>
      <c r="O156" s="34"/>
      <c r="P156" s="75" t="s">
        <v>536</v>
      </c>
      <c r="Q156" s="34">
        <v>0</v>
      </c>
      <c r="R156" s="34" t="s">
        <v>823</v>
      </c>
    </row>
    <row r="157" spans="1:18" ht="14.25">
      <c r="A157" s="34"/>
      <c r="B157" s="73">
        <v>20103</v>
      </c>
      <c r="C157" s="45">
        <v>2</v>
      </c>
      <c r="D157" s="34" t="s">
        <v>879</v>
      </c>
      <c r="E157" s="68" t="s">
        <v>543</v>
      </c>
      <c r="F157" s="66" t="s">
        <v>1054</v>
      </c>
      <c r="G157" s="34"/>
      <c r="H157" s="45">
        <v>1</v>
      </c>
      <c r="I157" s="45">
        <v>1</v>
      </c>
      <c r="J157" s="34" t="s">
        <v>820</v>
      </c>
      <c r="K157" s="73">
        <v>20102</v>
      </c>
      <c r="L157" s="34">
        <v>1</v>
      </c>
      <c r="M157" s="74" t="s">
        <v>1057</v>
      </c>
      <c r="N157" s="34"/>
      <c r="O157" s="34"/>
      <c r="P157" s="75" t="s">
        <v>536</v>
      </c>
      <c r="Q157" s="34">
        <v>0</v>
      </c>
      <c r="R157" s="34" t="s">
        <v>823</v>
      </c>
    </row>
    <row r="158" spans="1:18" ht="14.25">
      <c r="A158" s="34"/>
      <c r="B158" s="73">
        <v>20104</v>
      </c>
      <c r="C158" s="45">
        <v>2</v>
      </c>
      <c r="D158" s="34" t="s">
        <v>879</v>
      </c>
      <c r="E158" s="68" t="s">
        <v>543</v>
      </c>
      <c r="F158" s="66" t="s">
        <v>544</v>
      </c>
      <c r="G158" s="34"/>
      <c r="H158" s="45">
        <v>1</v>
      </c>
      <c r="I158" s="45">
        <v>1</v>
      </c>
      <c r="J158" s="34" t="s">
        <v>820</v>
      </c>
      <c r="K158" s="73">
        <v>20103</v>
      </c>
      <c r="L158" s="34">
        <v>1</v>
      </c>
      <c r="M158" s="74">
        <v>600</v>
      </c>
      <c r="N158" s="34"/>
      <c r="O158" s="34"/>
      <c r="P158" s="75" t="s">
        <v>536</v>
      </c>
      <c r="Q158" s="34">
        <v>0</v>
      </c>
      <c r="R158" s="34" t="s">
        <v>823</v>
      </c>
    </row>
    <row r="159" spans="1:18" ht="14.25">
      <c r="A159" s="34"/>
      <c r="B159" s="73">
        <v>20105</v>
      </c>
      <c r="C159" s="45">
        <v>2</v>
      </c>
      <c r="D159" s="34" t="s">
        <v>879</v>
      </c>
      <c r="E159" s="68" t="s">
        <v>543</v>
      </c>
      <c r="F159" s="66" t="s">
        <v>545</v>
      </c>
      <c r="G159" s="34"/>
      <c r="H159" s="45">
        <v>1</v>
      </c>
      <c r="I159" s="45">
        <v>1</v>
      </c>
      <c r="J159" s="34" t="s">
        <v>820</v>
      </c>
      <c r="K159" s="73">
        <v>20104</v>
      </c>
      <c r="L159" s="34">
        <v>1</v>
      </c>
      <c r="M159" s="74">
        <v>900</v>
      </c>
      <c r="N159" s="34"/>
      <c r="O159" s="34"/>
      <c r="P159" s="75" t="s">
        <v>536</v>
      </c>
      <c r="Q159" s="34">
        <v>0</v>
      </c>
      <c r="R159" s="34" t="s">
        <v>823</v>
      </c>
    </row>
    <row r="160" spans="1:18" ht="14.25">
      <c r="A160" s="34"/>
      <c r="B160" s="73">
        <v>20106</v>
      </c>
      <c r="C160" s="45">
        <v>2</v>
      </c>
      <c r="D160" s="34" t="s">
        <v>879</v>
      </c>
      <c r="E160" s="68" t="s">
        <v>546</v>
      </c>
      <c r="F160" s="66" t="s">
        <v>547</v>
      </c>
      <c r="G160" s="34"/>
      <c r="H160" s="45">
        <v>1</v>
      </c>
      <c r="I160" s="45">
        <v>1</v>
      </c>
      <c r="J160" s="34" t="s">
        <v>820</v>
      </c>
      <c r="K160" s="73">
        <v>20105</v>
      </c>
      <c r="L160" s="34">
        <v>1</v>
      </c>
      <c r="M160" s="74">
        <v>1200</v>
      </c>
      <c r="N160" s="34"/>
      <c r="O160" s="34"/>
      <c r="P160" s="75" t="s">
        <v>532</v>
      </c>
      <c r="Q160" s="34">
        <v>0</v>
      </c>
      <c r="R160" s="34" t="s">
        <v>823</v>
      </c>
    </row>
    <row r="161" spans="1:18" ht="14.25">
      <c r="A161" s="34"/>
      <c r="B161" s="73">
        <v>20107</v>
      </c>
      <c r="C161" s="45">
        <v>2</v>
      </c>
      <c r="D161" s="34" t="s">
        <v>879</v>
      </c>
      <c r="E161" s="68" t="s">
        <v>546</v>
      </c>
      <c r="F161" s="66" t="s">
        <v>548</v>
      </c>
      <c r="G161" s="34"/>
      <c r="H161" s="45">
        <v>1</v>
      </c>
      <c r="I161" s="45">
        <v>1</v>
      </c>
      <c r="J161" s="34" t="s">
        <v>820</v>
      </c>
      <c r="K161" s="73">
        <v>20106</v>
      </c>
      <c r="L161" s="34">
        <v>1</v>
      </c>
      <c r="M161" s="74">
        <v>1600</v>
      </c>
      <c r="N161" s="34"/>
      <c r="O161" s="34"/>
      <c r="P161" s="75" t="s">
        <v>532</v>
      </c>
      <c r="Q161" s="34">
        <v>0</v>
      </c>
      <c r="R161" s="34" t="s">
        <v>823</v>
      </c>
    </row>
    <row r="162" spans="1:18" ht="14.25">
      <c r="A162" s="34"/>
      <c r="B162" s="73">
        <v>20108</v>
      </c>
      <c r="C162" s="45">
        <v>2</v>
      </c>
      <c r="D162" s="34" t="s">
        <v>879</v>
      </c>
      <c r="E162" s="68" t="s">
        <v>546</v>
      </c>
      <c r="F162" s="66" t="s">
        <v>549</v>
      </c>
      <c r="G162" s="34"/>
      <c r="H162" s="45">
        <v>1</v>
      </c>
      <c r="I162" s="45">
        <v>1</v>
      </c>
      <c r="J162" s="34" t="s">
        <v>820</v>
      </c>
      <c r="K162" s="73">
        <v>20107</v>
      </c>
      <c r="L162" s="34">
        <v>1</v>
      </c>
      <c r="M162" s="74">
        <v>2000</v>
      </c>
      <c r="N162" s="34"/>
      <c r="O162" s="34"/>
      <c r="P162" s="75" t="s">
        <v>532</v>
      </c>
      <c r="Q162" s="34">
        <v>0</v>
      </c>
      <c r="R162" s="34" t="s">
        <v>823</v>
      </c>
    </row>
    <row r="163" spans="1:18" ht="14.25">
      <c r="A163" s="34"/>
      <c r="B163" s="73">
        <v>20109</v>
      </c>
      <c r="C163" s="34">
        <v>2</v>
      </c>
      <c r="D163" s="34" t="s">
        <v>879</v>
      </c>
      <c r="E163" s="76" t="s">
        <v>67</v>
      </c>
      <c r="F163" s="77" t="s">
        <v>405</v>
      </c>
      <c r="G163" s="34"/>
      <c r="H163" s="34">
        <v>1</v>
      </c>
      <c r="I163" s="34">
        <v>1</v>
      </c>
      <c r="J163" s="34" t="s">
        <v>820</v>
      </c>
      <c r="K163" s="73">
        <v>20108</v>
      </c>
      <c r="L163" s="34">
        <v>1</v>
      </c>
      <c r="M163" s="74">
        <v>5000</v>
      </c>
      <c r="N163" s="34"/>
      <c r="O163" s="34"/>
      <c r="P163" s="75" t="s">
        <v>529</v>
      </c>
      <c r="Q163" s="34">
        <v>0</v>
      </c>
      <c r="R163" s="34" t="s">
        <v>823</v>
      </c>
    </row>
    <row r="164" spans="1:18" ht="14.25">
      <c r="A164" s="34"/>
      <c r="B164" s="73">
        <v>20110</v>
      </c>
      <c r="C164" s="34">
        <v>2</v>
      </c>
      <c r="D164" s="34" t="s">
        <v>879</v>
      </c>
      <c r="E164" s="76" t="s">
        <v>55</v>
      </c>
      <c r="F164" s="77" t="s">
        <v>406</v>
      </c>
      <c r="G164" s="34"/>
      <c r="H164" s="34">
        <v>1</v>
      </c>
      <c r="I164" s="34">
        <v>1</v>
      </c>
      <c r="J164" s="34" t="s">
        <v>820</v>
      </c>
      <c r="K164" s="73">
        <v>20109</v>
      </c>
      <c r="L164" s="34">
        <v>1</v>
      </c>
      <c r="M164" s="74">
        <v>10000</v>
      </c>
      <c r="N164" s="34"/>
      <c r="O164" s="34"/>
      <c r="P164" s="75" t="s">
        <v>529</v>
      </c>
      <c r="Q164" s="34">
        <v>0</v>
      </c>
      <c r="R164" s="34">
        <v>1</v>
      </c>
    </row>
    <row r="165" spans="1:18" ht="14.25">
      <c r="A165" s="34"/>
      <c r="B165" s="73">
        <v>20111</v>
      </c>
      <c r="C165" s="34">
        <v>2</v>
      </c>
      <c r="D165" s="34" t="s">
        <v>879</v>
      </c>
      <c r="E165" s="76" t="s">
        <v>56</v>
      </c>
      <c r="F165" s="77" t="s">
        <v>407</v>
      </c>
      <c r="G165" s="34"/>
      <c r="H165" s="34">
        <v>1</v>
      </c>
      <c r="I165" s="34">
        <v>1</v>
      </c>
      <c r="J165" s="34" t="s">
        <v>820</v>
      </c>
      <c r="K165" s="73">
        <v>20110</v>
      </c>
      <c r="L165" s="34">
        <v>1</v>
      </c>
      <c r="M165" s="74">
        <v>80000</v>
      </c>
      <c r="N165" s="34"/>
      <c r="O165" s="34"/>
      <c r="P165" s="75" t="s">
        <v>530</v>
      </c>
      <c r="Q165" s="34">
        <v>0</v>
      </c>
      <c r="R165" s="34">
        <v>1</v>
      </c>
    </row>
    <row r="166" spans="1:18" ht="14.25">
      <c r="A166" s="34"/>
      <c r="B166" s="73">
        <v>20112</v>
      </c>
      <c r="C166" s="34">
        <v>2</v>
      </c>
      <c r="D166" s="34" t="s">
        <v>879</v>
      </c>
      <c r="E166" s="76" t="s">
        <v>386</v>
      </c>
      <c r="F166" s="77" t="s">
        <v>408</v>
      </c>
      <c r="G166" s="34"/>
      <c r="H166" s="34">
        <v>1</v>
      </c>
      <c r="I166" s="34">
        <v>1</v>
      </c>
      <c r="J166" s="34" t="s">
        <v>820</v>
      </c>
      <c r="K166" s="73">
        <v>20111</v>
      </c>
      <c r="L166" s="34">
        <v>1</v>
      </c>
      <c r="M166" s="74">
        <v>150000</v>
      </c>
      <c r="N166" s="34"/>
      <c r="O166" s="34"/>
      <c r="P166" s="75" t="s">
        <v>530</v>
      </c>
      <c r="Q166" s="34">
        <v>0</v>
      </c>
      <c r="R166" s="34">
        <v>1</v>
      </c>
    </row>
    <row r="167" spans="1:18" ht="14.25">
      <c r="A167" s="34"/>
      <c r="B167" s="73">
        <v>20113</v>
      </c>
      <c r="C167" s="34">
        <v>2</v>
      </c>
      <c r="D167" s="34" t="s">
        <v>879</v>
      </c>
      <c r="E167" s="76" t="s">
        <v>387</v>
      </c>
      <c r="F167" s="78" t="s">
        <v>880</v>
      </c>
      <c r="G167" s="34"/>
      <c r="H167" s="34">
        <v>1</v>
      </c>
      <c r="I167" s="34">
        <v>1</v>
      </c>
      <c r="J167" s="34" t="s">
        <v>820</v>
      </c>
      <c r="K167" s="73">
        <v>20112</v>
      </c>
      <c r="L167" s="34">
        <v>1</v>
      </c>
      <c r="M167" s="74">
        <v>400000</v>
      </c>
      <c r="N167" s="34"/>
      <c r="O167" s="34"/>
      <c r="P167" s="75" t="s">
        <v>550</v>
      </c>
      <c r="Q167" s="34">
        <v>0</v>
      </c>
      <c r="R167" s="34">
        <v>1</v>
      </c>
    </row>
    <row r="168" spans="1:18" ht="14.25">
      <c r="A168" s="34"/>
      <c r="B168" s="79">
        <v>20201</v>
      </c>
      <c r="C168" s="34">
        <v>2</v>
      </c>
      <c r="D168" s="34" t="s">
        <v>881</v>
      </c>
      <c r="E168" s="76" t="s">
        <v>388</v>
      </c>
      <c r="F168" s="77" t="s">
        <v>435</v>
      </c>
      <c r="G168" s="34"/>
      <c r="H168" s="34">
        <v>1</v>
      </c>
      <c r="I168" s="34">
        <v>1</v>
      </c>
      <c r="J168" s="34"/>
      <c r="K168" s="34"/>
      <c r="L168" s="34">
        <v>3</v>
      </c>
      <c r="M168" s="34">
        <v>80</v>
      </c>
      <c r="N168" s="34"/>
      <c r="O168" s="34"/>
      <c r="P168" s="80">
        <v>32202</v>
      </c>
      <c r="Q168" s="34">
        <v>0</v>
      </c>
      <c r="R168" s="34">
        <v>1</v>
      </c>
    </row>
    <row r="169" spans="1:18" ht="14.25">
      <c r="A169" s="34"/>
      <c r="B169" s="79">
        <v>20202</v>
      </c>
      <c r="C169" s="34">
        <v>2</v>
      </c>
      <c r="D169" s="34" t="s">
        <v>881</v>
      </c>
      <c r="E169" s="76" t="s">
        <v>389</v>
      </c>
      <c r="F169" s="77" t="s">
        <v>436</v>
      </c>
      <c r="G169" s="34"/>
      <c r="H169" s="34">
        <v>1</v>
      </c>
      <c r="I169" s="34">
        <v>1</v>
      </c>
      <c r="J169" s="34">
        <v>2</v>
      </c>
      <c r="K169" s="79">
        <v>20201</v>
      </c>
      <c r="L169" s="34">
        <v>3</v>
      </c>
      <c r="M169" s="34">
        <v>300</v>
      </c>
      <c r="N169" s="34"/>
      <c r="O169" s="34"/>
      <c r="P169" s="80">
        <v>32202</v>
      </c>
      <c r="Q169" s="34">
        <v>0</v>
      </c>
      <c r="R169" s="34">
        <v>1</v>
      </c>
    </row>
    <row r="170" spans="1:18" ht="14.25">
      <c r="A170" s="34"/>
      <c r="B170" s="79">
        <v>20203</v>
      </c>
      <c r="C170" s="34">
        <v>2</v>
      </c>
      <c r="D170" s="34" t="s">
        <v>881</v>
      </c>
      <c r="E170" s="76" t="s">
        <v>390</v>
      </c>
      <c r="F170" s="77" t="s">
        <v>437</v>
      </c>
      <c r="G170" s="34"/>
      <c r="H170" s="34">
        <v>1</v>
      </c>
      <c r="I170" s="34">
        <v>1</v>
      </c>
      <c r="J170" s="34">
        <v>2</v>
      </c>
      <c r="K170" s="79">
        <v>20202</v>
      </c>
      <c r="L170" s="34">
        <v>3</v>
      </c>
      <c r="M170" s="34">
        <v>800</v>
      </c>
      <c r="N170" s="34"/>
      <c r="O170" s="34"/>
      <c r="P170" s="80">
        <v>32206</v>
      </c>
      <c r="Q170" s="34">
        <v>0</v>
      </c>
      <c r="R170" s="34">
        <v>1</v>
      </c>
    </row>
    <row r="171" spans="1:18" ht="14.25">
      <c r="A171" s="34"/>
      <c r="B171" s="79">
        <v>20204</v>
      </c>
      <c r="C171" s="32">
        <v>2</v>
      </c>
      <c r="D171" s="34" t="s">
        <v>881</v>
      </c>
      <c r="E171" s="76" t="s">
        <v>391</v>
      </c>
      <c r="F171" s="77" t="s">
        <v>438</v>
      </c>
      <c r="G171" s="34"/>
      <c r="H171" s="34">
        <v>1</v>
      </c>
      <c r="I171" s="34">
        <v>1</v>
      </c>
      <c r="J171" s="34">
        <v>2</v>
      </c>
      <c r="K171" s="79">
        <v>20203</v>
      </c>
      <c r="L171" s="34">
        <v>3</v>
      </c>
      <c r="M171" s="34">
        <v>1200</v>
      </c>
      <c r="N171" s="34"/>
      <c r="O171" s="34"/>
      <c r="P171" s="80">
        <v>32206</v>
      </c>
      <c r="Q171" s="34">
        <v>0</v>
      </c>
      <c r="R171" s="34">
        <v>1</v>
      </c>
    </row>
    <row r="172" spans="1:18" ht="14.25">
      <c r="A172" s="34"/>
      <c r="B172" s="79">
        <v>20205</v>
      </c>
      <c r="C172" s="32">
        <v>2</v>
      </c>
      <c r="D172" s="34" t="s">
        <v>881</v>
      </c>
      <c r="E172" s="77" t="s">
        <v>392</v>
      </c>
      <c r="F172" s="77" t="s">
        <v>439</v>
      </c>
      <c r="G172" s="34"/>
      <c r="H172" s="34">
        <v>1</v>
      </c>
      <c r="I172" s="34">
        <v>1</v>
      </c>
      <c r="J172" s="34">
        <v>2</v>
      </c>
      <c r="K172" s="79">
        <v>20204</v>
      </c>
      <c r="L172" s="34">
        <v>3</v>
      </c>
      <c r="M172" s="34">
        <v>2000</v>
      </c>
      <c r="N172" s="34"/>
      <c r="O172" s="34"/>
      <c r="P172" s="80">
        <v>32210</v>
      </c>
      <c r="Q172" s="34">
        <v>0</v>
      </c>
      <c r="R172" s="34">
        <v>1</v>
      </c>
    </row>
    <row r="173" spans="1:18" ht="14.25" hidden="1">
      <c r="A173" s="13" t="s">
        <v>803</v>
      </c>
      <c r="B173" s="13">
        <v>16010</v>
      </c>
      <c r="C173" s="39">
        <v>2</v>
      </c>
      <c r="D173" s="40" t="s">
        <v>882</v>
      </c>
      <c r="E173" s="81" t="s">
        <v>883</v>
      </c>
      <c r="F173" s="82" t="s">
        <v>440</v>
      </c>
      <c r="G173" s="13"/>
      <c r="H173" s="13">
        <v>1</v>
      </c>
      <c r="I173" s="13">
        <v>1</v>
      </c>
      <c r="J173" s="13"/>
      <c r="K173" s="13"/>
      <c r="L173" s="13">
        <v>2</v>
      </c>
      <c r="M173" s="13">
        <v>80</v>
      </c>
      <c r="N173" s="13"/>
      <c r="O173" s="13"/>
      <c r="P173" s="83">
        <v>32202</v>
      </c>
      <c r="Q173" s="13">
        <v>0</v>
      </c>
      <c r="R173" s="13">
        <v>1</v>
      </c>
    </row>
    <row r="174" spans="1:18" ht="14.25" hidden="1">
      <c r="A174" s="13" t="s">
        <v>803</v>
      </c>
      <c r="B174" s="13">
        <v>16011</v>
      </c>
      <c r="C174" s="39">
        <v>2</v>
      </c>
      <c r="D174" s="40" t="s">
        <v>882</v>
      </c>
      <c r="E174" s="81" t="s">
        <v>883</v>
      </c>
      <c r="F174" s="82" t="s">
        <v>441</v>
      </c>
      <c r="G174" s="13"/>
      <c r="H174" s="13">
        <v>1</v>
      </c>
      <c r="I174" s="13">
        <v>1</v>
      </c>
      <c r="J174" s="13">
        <v>2</v>
      </c>
      <c r="K174" s="13">
        <v>16010</v>
      </c>
      <c r="L174" s="13">
        <v>2</v>
      </c>
      <c r="M174" s="13">
        <v>300</v>
      </c>
      <c r="N174" s="13"/>
      <c r="O174" s="13"/>
      <c r="P174" s="83">
        <v>32202</v>
      </c>
      <c r="Q174" s="13">
        <v>0</v>
      </c>
      <c r="R174" s="13">
        <v>1</v>
      </c>
    </row>
    <row r="175" spans="1:18" ht="14.25" hidden="1">
      <c r="A175" s="13" t="s">
        <v>803</v>
      </c>
      <c r="B175" s="13">
        <v>16012</v>
      </c>
      <c r="C175" s="39">
        <v>2</v>
      </c>
      <c r="D175" s="40" t="s">
        <v>882</v>
      </c>
      <c r="E175" s="81" t="s">
        <v>883</v>
      </c>
      <c r="F175" s="82" t="s">
        <v>442</v>
      </c>
      <c r="G175" s="13"/>
      <c r="H175" s="13">
        <v>1</v>
      </c>
      <c r="I175" s="13">
        <v>1</v>
      </c>
      <c r="J175" s="13">
        <v>2</v>
      </c>
      <c r="K175" s="13">
        <v>16012</v>
      </c>
      <c r="L175" s="13">
        <v>2</v>
      </c>
      <c r="M175" s="13">
        <v>800</v>
      </c>
      <c r="N175" s="13"/>
      <c r="O175" s="13"/>
      <c r="P175" s="83">
        <v>32206</v>
      </c>
      <c r="Q175" s="13">
        <v>0</v>
      </c>
      <c r="R175" s="13">
        <v>1</v>
      </c>
    </row>
    <row r="176" spans="1:18" ht="14.25" hidden="1">
      <c r="A176" s="13" t="s">
        <v>803</v>
      </c>
      <c r="B176" s="13">
        <v>16013</v>
      </c>
      <c r="C176" s="39">
        <v>2</v>
      </c>
      <c r="D176" s="40" t="s">
        <v>882</v>
      </c>
      <c r="E176" s="81" t="s">
        <v>883</v>
      </c>
      <c r="F176" s="82" t="s">
        <v>443</v>
      </c>
      <c r="G176" s="13"/>
      <c r="H176" s="13">
        <v>1</v>
      </c>
      <c r="I176" s="13">
        <v>1</v>
      </c>
      <c r="J176" s="13">
        <v>2</v>
      </c>
      <c r="K176" s="13">
        <v>16013</v>
      </c>
      <c r="L176" s="13">
        <v>2</v>
      </c>
      <c r="M176" s="13">
        <v>1200</v>
      </c>
      <c r="N176" s="13"/>
      <c r="O176" s="13"/>
      <c r="P176" s="83">
        <v>32206</v>
      </c>
      <c r="Q176" s="13">
        <v>0</v>
      </c>
      <c r="R176" s="13">
        <v>1</v>
      </c>
    </row>
    <row r="177" spans="1:18" ht="14.25" hidden="1">
      <c r="A177" s="13" t="s">
        <v>803</v>
      </c>
      <c r="B177" s="13">
        <v>16014</v>
      </c>
      <c r="C177" s="39">
        <v>2</v>
      </c>
      <c r="D177" s="40" t="s">
        <v>882</v>
      </c>
      <c r="E177" s="81" t="s">
        <v>883</v>
      </c>
      <c r="F177" s="82" t="s">
        <v>444</v>
      </c>
      <c r="G177" s="13"/>
      <c r="H177" s="13">
        <v>1</v>
      </c>
      <c r="I177" s="13">
        <v>1</v>
      </c>
      <c r="J177" s="13">
        <v>2</v>
      </c>
      <c r="K177" s="13">
        <v>16014</v>
      </c>
      <c r="L177" s="13">
        <v>2</v>
      </c>
      <c r="M177" s="13">
        <v>2000</v>
      </c>
      <c r="N177" s="13"/>
      <c r="O177" s="13"/>
      <c r="P177" s="83">
        <v>32210</v>
      </c>
      <c r="Q177" s="13">
        <v>0</v>
      </c>
      <c r="R177" s="13">
        <v>1</v>
      </c>
    </row>
    <row r="178" spans="1:18" ht="14.25" hidden="1">
      <c r="A178" s="34" t="s">
        <v>1051</v>
      </c>
      <c r="B178" s="84">
        <v>22001</v>
      </c>
      <c r="C178" s="32">
        <v>2</v>
      </c>
      <c r="D178" s="34" t="s">
        <v>877</v>
      </c>
      <c r="E178" s="85" t="s">
        <v>393</v>
      </c>
      <c r="F178" s="85" t="s">
        <v>445</v>
      </c>
      <c r="G178" s="34"/>
      <c r="H178" s="34">
        <v>1</v>
      </c>
      <c r="I178" s="34">
        <v>1</v>
      </c>
      <c r="J178" s="34"/>
      <c r="K178" s="34"/>
      <c r="L178" s="34">
        <v>32</v>
      </c>
      <c r="M178" s="34">
        <v>1</v>
      </c>
      <c r="N178" s="34"/>
      <c r="O178" s="34"/>
      <c r="P178" s="86">
        <v>32208</v>
      </c>
      <c r="Q178" s="34">
        <v>0</v>
      </c>
      <c r="R178" s="34">
        <v>1</v>
      </c>
    </row>
    <row r="179" spans="1:18" ht="14.25">
      <c r="A179" s="34"/>
      <c r="B179" s="84">
        <v>22002</v>
      </c>
      <c r="C179" s="32">
        <v>2</v>
      </c>
      <c r="D179" s="34" t="s">
        <v>877</v>
      </c>
      <c r="E179" s="85" t="s">
        <v>394</v>
      </c>
      <c r="F179" s="85" t="s">
        <v>446</v>
      </c>
      <c r="G179" s="34"/>
      <c r="H179" s="34">
        <v>1</v>
      </c>
      <c r="I179" s="34">
        <v>1</v>
      </c>
      <c r="J179" s="34"/>
      <c r="K179" s="34"/>
      <c r="L179" s="34">
        <v>33</v>
      </c>
      <c r="M179" s="34">
        <v>1</v>
      </c>
      <c r="N179" s="34"/>
      <c r="O179" s="34"/>
      <c r="P179" s="86">
        <v>32208</v>
      </c>
      <c r="Q179" s="34">
        <v>0</v>
      </c>
      <c r="R179" s="34">
        <v>1</v>
      </c>
    </row>
    <row r="180" spans="1:18" ht="14.25">
      <c r="A180" s="34"/>
      <c r="B180" s="84">
        <v>22003</v>
      </c>
      <c r="C180" s="32">
        <v>2</v>
      </c>
      <c r="D180" s="34" t="s">
        <v>877</v>
      </c>
      <c r="E180" s="85" t="s">
        <v>395</v>
      </c>
      <c r="F180" s="85" t="s">
        <v>447</v>
      </c>
      <c r="G180" s="34"/>
      <c r="H180" s="34">
        <v>1</v>
      </c>
      <c r="I180" s="34">
        <v>1</v>
      </c>
      <c r="J180" s="34"/>
      <c r="K180" s="34"/>
      <c r="L180" s="34">
        <v>35</v>
      </c>
      <c r="M180" s="34">
        <v>1</v>
      </c>
      <c r="N180" s="34"/>
      <c r="O180" s="34"/>
      <c r="P180" s="86">
        <v>32208</v>
      </c>
      <c r="Q180" s="34">
        <v>0</v>
      </c>
      <c r="R180" s="34">
        <v>1</v>
      </c>
    </row>
    <row r="181" spans="1:18" ht="14.25">
      <c r="A181" s="34"/>
      <c r="B181" s="84">
        <v>22004</v>
      </c>
      <c r="C181" s="32">
        <v>2</v>
      </c>
      <c r="D181" s="34" t="s">
        <v>877</v>
      </c>
      <c r="E181" s="85" t="s">
        <v>396</v>
      </c>
      <c r="F181" s="85" t="s">
        <v>448</v>
      </c>
      <c r="G181" s="34"/>
      <c r="H181" s="34">
        <v>1</v>
      </c>
      <c r="I181" s="34">
        <v>1</v>
      </c>
      <c r="J181" s="34"/>
      <c r="K181" s="34"/>
      <c r="L181" s="34">
        <v>34</v>
      </c>
      <c r="M181" s="34">
        <v>1</v>
      </c>
      <c r="N181" s="34"/>
      <c r="O181" s="34"/>
      <c r="P181" s="86">
        <v>32208</v>
      </c>
      <c r="Q181" s="34">
        <v>0</v>
      </c>
      <c r="R181" s="34">
        <v>1</v>
      </c>
    </row>
    <row r="182" spans="1:18" ht="14.25">
      <c r="A182" s="34"/>
      <c r="B182" s="87">
        <v>21701</v>
      </c>
      <c r="C182" s="32" t="s">
        <v>820</v>
      </c>
      <c r="D182" s="34" t="s">
        <v>506</v>
      </c>
      <c r="E182" s="88" t="s">
        <v>884</v>
      </c>
      <c r="F182" s="66" t="s">
        <v>552</v>
      </c>
      <c r="G182" s="34"/>
      <c r="H182" s="34">
        <v>1</v>
      </c>
      <c r="I182" s="34" t="s">
        <v>1035</v>
      </c>
      <c r="J182" s="34"/>
      <c r="K182" s="34"/>
      <c r="L182" s="34" t="s">
        <v>885</v>
      </c>
      <c r="M182" s="34" t="s">
        <v>886</v>
      </c>
      <c r="N182" s="34" t="s">
        <v>1058</v>
      </c>
      <c r="O182" s="34" t="s">
        <v>1059</v>
      </c>
      <c r="P182" s="89" t="s">
        <v>533</v>
      </c>
      <c r="Q182" s="34">
        <v>0</v>
      </c>
      <c r="R182" s="34">
        <v>1</v>
      </c>
    </row>
    <row r="183" spans="1:18" ht="14.25">
      <c r="A183" s="34"/>
      <c r="B183" s="87">
        <v>21702</v>
      </c>
      <c r="C183" s="32" t="s">
        <v>820</v>
      </c>
      <c r="D183" s="34" t="s">
        <v>506</v>
      </c>
      <c r="E183" s="88" t="s">
        <v>884</v>
      </c>
      <c r="F183" s="66" t="s">
        <v>553</v>
      </c>
      <c r="G183" s="34"/>
      <c r="H183" s="34">
        <v>1</v>
      </c>
      <c r="I183" s="34" t="s">
        <v>1035</v>
      </c>
      <c r="J183" s="34">
        <v>2</v>
      </c>
      <c r="K183" s="87">
        <v>21701</v>
      </c>
      <c r="L183" s="34" t="s">
        <v>885</v>
      </c>
      <c r="M183" s="34" t="s">
        <v>824</v>
      </c>
      <c r="N183" s="34" t="s">
        <v>1058</v>
      </c>
      <c r="O183" s="34" t="s">
        <v>1059</v>
      </c>
      <c r="P183" s="89" t="s">
        <v>533</v>
      </c>
      <c r="Q183" s="34">
        <v>0</v>
      </c>
      <c r="R183" s="34">
        <v>1</v>
      </c>
    </row>
    <row r="184" spans="1:18" ht="14.25">
      <c r="A184" s="34"/>
      <c r="B184" s="87">
        <v>21703</v>
      </c>
      <c r="C184" s="32" t="s">
        <v>820</v>
      </c>
      <c r="D184" s="34" t="s">
        <v>506</v>
      </c>
      <c r="E184" s="88" t="s">
        <v>884</v>
      </c>
      <c r="F184" s="66" t="s">
        <v>554</v>
      </c>
      <c r="G184" s="34"/>
      <c r="H184" s="34">
        <v>1</v>
      </c>
      <c r="I184" s="34" t="s">
        <v>1035</v>
      </c>
      <c r="J184" s="34">
        <v>2</v>
      </c>
      <c r="K184" s="87">
        <v>21702</v>
      </c>
      <c r="L184" s="34" t="s">
        <v>885</v>
      </c>
      <c r="M184" s="34" t="s">
        <v>869</v>
      </c>
      <c r="N184" s="34" t="s">
        <v>1058</v>
      </c>
      <c r="O184" s="34" t="s">
        <v>1059</v>
      </c>
      <c r="P184" s="89" t="s">
        <v>534</v>
      </c>
      <c r="Q184" s="34">
        <v>0</v>
      </c>
      <c r="R184" s="34">
        <v>1</v>
      </c>
    </row>
    <row r="185" spans="1:18" ht="14.25">
      <c r="A185" s="34"/>
      <c r="B185" s="87">
        <v>21704</v>
      </c>
      <c r="C185" s="32" t="s">
        <v>820</v>
      </c>
      <c r="D185" s="34" t="s">
        <v>506</v>
      </c>
      <c r="E185" s="88" t="s">
        <v>884</v>
      </c>
      <c r="F185" s="66" t="s">
        <v>555</v>
      </c>
      <c r="G185" s="34"/>
      <c r="H185" s="34">
        <v>1</v>
      </c>
      <c r="I185" s="34" t="s">
        <v>1047</v>
      </c>
      <c r="J185" s="34">
        <v>2</v>
      </c>
      <c r="K185" s="87">
        <v>21703</v>
      </c>
      <c r="L185" s="34" t="s">
        <v>885</v>
      </c>
      <c r="M185" s="34" t="s">
        <v>887</v>
      </c>
      <c r="N185" s="34" t="s">
        <v>1058</v>
      </c>
      <c r="O185" s="34" t="s">
        <v>1059</v>
      </c>
      <c r="P185" s="89" t="s">
        <v>534</v>
      </c>
      <c r="Q185" s="34">
        <v>0</v>
      </c>
      <c r="R185" s="34">
        <v>1</v>
      </c>
    </row>
    <row r="186" spans="1:18" ht="14.25">
      <c r="A186" s="34"/>
      <c r="B186" s="87">
        <v>21705</v>
      </c>
      <c r="C186" s="32" t="s">
        <v>820</v>
      </c>
      <c r="D186" s="34" t="s">
        <v>506</v>
      </c>
      <c r="E186" s="88" t="s">
        <v>884</v>
      </c>
      <c r="F186" s="66" t="s">
        <v>556</v>
      </c>
      <c r="G186" s="34"/>
      <c r="H186" s="34">
        <v>1</v>
      </c>
      <c r="I186" s="34" t="s">
        <v>1035</v>
      </c>
      <c r="J186" s="34">
        <v>2</v>
      </c>
      <c r="K186" s="87">
        <v>21704</v>
      </c>
      <c r="L186" s="34" t="s">
        <v>885</v>
      </c>
      <c r="M186" s="34" t="s">
        <v>872</v>
      </c>
      <c r="N186" s="34" t="s">
        <v>1058</v>
      </c>
      <c r="O186" s="34" t="s">
        <v>1059</v>
      </c>
      <c r="P186" s="89" t="s">
        <v>557</v>
      </c>
      <c r="Q186" s="34">
        <v>0</v>
      </c>
      <c r="R186" s="34">
        <v>1</v>
      </c>
    </row>
    <row r="187" spans="1:18" hidden="1">
      <c r="A187" s="13" t="s">
        <v>803</v>
      </c>
      <c r="B187" s="13">
        <v>16017</v>
      </c>
      <c r="C187" s="39">
        <v>2</v>
      </c>
      <c r="D187" s="40" t="s">
        <v>882</v>
      </c>
      <c r="E187" s="13" t="s">
        <v>888</v>
      </c>
      <c r="F187" s="60" t="s">
        <v>312</v>
      </c>
      <c r="G187" s="13"/>
      <c r="H187" s="13">
        <v>1</v>
      </c>
      <c r="I187" s="13">
        <v>1</v>
      </c>
      <c r="J187" s="13"/>
      <c r="K187" s="42"/>
      <c r="L187" s="13" t="s">
        <v>889</v>
      </c>
      <c r="M187" s="13" t="s">
        <v>192</v>
      </c>
      <c r="N187" s="13"/>
      <c r="O187" s="13"/>
      <c r="P187" s="13">
        <v>32120</v>
      </c>
      <c r="Q187" s="42">
        <v>20</v>
      </c>
      <c r="R187" s="42">
        <v>0</v>
      </c>
    </row>
    <row r="188" spans="1:18" hidden="1">
      <c r="A188" s="13" t="s">
        <v>803</v>
      </c>
      <c r="B188" s="13">
        <v>16016</v>
      </c>
      <c r="C188" s="39">
        <v>2</v>
      </c>
      <c r="D188" s="40" t="s">
        <v>882</v>
      </c>
      <c r="E188" s="13" t="s">
        <v>890</v>
      </c>
      <c r="F188" s="60" t="s">
        <v>891</v>
      </c>
      <c r="G188" s="13"/>
      <c r="H188" s="13">
        <v>1</v>
      </c>
      <c r="I188" s="13">
        <v>1</v>
      </c>
      <c r="J188" s="13"/>
      <c r="K188" s="42"/>
      <c r="L188" s="13" t="s">
        <v>892</v>
      </c>
      <c r="M188" s="13" t="s">
        <v>192</v>
      </c>
      <c r="N188" s="13"/>
      <c r="O188" s="13"/>
      <c r="P188" s="13">
        <v>32119</v>
      </c>
      <c r="Q188" s="42">
        <v>20</v>
      </c>
      <c r="R188" s="42">
        <v>0</v>
      </c>
    </row>
    <row r="189" spans="1:18" hidden="1">
      <c r="A189" s="13" t="s">
        <v>803</v>
      </c>
      <c r="B189" s="13">
        <v>16016</v>
      </c>
      <c r="C189" s="39">
        <v>2</v>
      </c>
      <c r="D189" s="40" t="s">
        <v>882</v>
      </c>
      <c r="E189" s="13" t="s">
        <v>893</v>
      </c>
      <c r="F189" s="60" t="s">
        <v>894</v>
      </c>
      <c r="G189" s="13"/>
      <c r="H189" s="13">
        <v>1</v>
      </c>
      <c r="I189" s="13">
        <v>1</v>
      </c>
      <c r="J189" s="13"/>
      <c r="K189" s="42"/>
      <c r="L189" s="13" t="s">
        <v>895</v>
      </c>
      <c r="M189" s="13" t="s">
        <v>192</v>
      </c>
      <c r="N189" s="13"/>
      <c r="O189" s="13"/>
      <c r="P189" s="13">
        <v>32119</v>
      </c>
      <c r="Q189" s="42">
        <v>20</v>
      </c>
      <c r="R189" s="42">
        <v>0</v>
      </c>
    </row>
    <row r="190" spans="1:18" hidden="1">
      <c r="A190" s="13" t="s">
        <v>803</v>
      </c>
      <c r="B190" s="13">
        <v>16016</v>
      </c>
      <c r="C190" s="39">
        <v>2</v>
      </c>
      <c r="D190" s="40" t="s">
        <v>882</v>
      </c>
      <c r="E190" s="13" t="s">
        <v>896</v>
      </c>
      <c r="F190" s="60" t="s">
        <v>897</v>
      </c>
      <c r="G190" s="13"/>
      <c r="H190" s="13">
        <v>1</v>
      </c>
      <c r="I190" s="13" t="s">
        <v>823</v>
      </c>
      <c r="J190" s="13"/>
      <c r="K190" s="42"/>
      <c r="L190" s="13" t="s">
        <v>898</v>
      </c>
      <c r="M190" s="13" t="s">
        <v>192</v>
      </c>
      <c r="N190" s="13"/>
      <c r="O190" s="13"/>
      <c r="P190" s="13">
        <v>32119</v>
      </c>
      <c r="Q190" s="42">
        <v>20</v>
      </c>
      <c r="R190" s="42">
        <v>0</v>
      </c>
    </row>
    <row r="191" spans="1:18" hidden="1">
      <c r="A191" s="13" t="s">
        <v>803</v>
      </c>
      <c r="B191" s="13">
        <v>16016</v>
      </c>
      <c r="C191" s="39">
        <v>2</v>
      </c>
      <c r="D191" s="40" t="s">
        <v>882</v>
      </c>
      <c r="E191" s="13" t="s">
        <v>899</v>
      </c>
      <c r="F191" s="60" t="s">
        <v>900</v>
      </c>
      <c r="G191" s="13"/>
      <c r="H191" s="13">
        <v>1</v>
      </c>
      <c r="I191" s="13">
        <v>1</v>
      </c>
      <c r="J191" s="13"/>
      <c r="K191" s="42"/>
      <c r="L191" s="13" t="s">
        <v>901</v>
      </c>
      <c r="M191" s="13" t="s">
        <v>192</v>
      </c>
      <c r="N191" s="13"/>
      <c r="O191" s="13"/>
      <c r="P191" s="13">
        <v>32119</v>
      </c>
      <c r="Q191" s="42">
        <v>20</v>
      </c>
      <c r="R191" s="42">
        <v>0</v>
      </c>
    </row>
    <row r="192" spans="1:18" hidden="1">
      <c r="A192" s="13" t="s">
        <v>803</v>
      </c>
      <c r="B192" s="13">
        <v>16016</v>
      </c>
      <c r="C192" s="39">
        <v>2</v>
      </c>
      <c r="D192" s="40" t="s">
        <v>882</v>
      </c>
      <c r="E192" s="13" t="s">
        <v>902</v>
      </c>
      <c r="F192" s="60" t="s">
        <v>903</v>
      </c>
      <c r="G192" s="13"/>
      <c r="H192" s="13">
        <v>1</v>
      </c>
      <c r="I192" s="13">
        <v>1</v>
      </c>
      <c r="J192" s="13"/>
      <c r="K192" s="42"/>
      <c r="L192" s="13" t="s">
        <v>874</v>
      </c>
      <c r="M192" s="13" t="s">
        <v>192</v>
      </c>
      <c r="N192" s="13"/>
      <c r="O192" s="13"/>
      <c r="P192" s="13">
        <v>32119</v>
      </c>
      <c r="Q192" s="42">
        <v>20</v>
      </c>
      <c r="R192" s="42">
        <v>0</v>
      </c>
    </row>
    <row r="193" spans="1:18" hidden="1">
      <c r="A193" s="13" t="s">
        <v>803</v>
      </c>
      <c r="B193" s="13">
        <v>16016</v>
      </c>
      <c r="C193" s="39">
        <v>2</v>
      </c>
      <c r="D193" s="40" t="s">
        <v>882</v>
      </c>
      <c r="E193" s="13" t="s">
        <v>904</v>
      </c>
      <c r="F193" s="60" t="s">
        <v>905</v>
      </c>
      <c r="G193" s="13"/>
      <c r="H193" s="13">
        <v>1</v>
      </c>
      <c r="I193" s="13">
        <v>1</v>
      </c>
      <c r="J193" s="13"/>
      <c r="K193" s="42"/>
      <c r="L193" s="13" t="s">
        <v>906</v>
      </c>
      <c r="M193" s="13" t="s">
        <v>192</v>
      </c>
      <c r="N193" s="13"/>
      <c r="O193" s="13"/>
      <c r="P193" s="13">
        <v>32119</v>
      </c>
      <c r="Q193" s="42">
        <v>20</v>
      </c>
      <c r="R193" s="42">
        <v>0</v>
      </c>
    </row>
    <row r="194" spans="1:18" hidden="1">
      <c r="A194" s="13" t="s">
        <v>803</v>
      </c>
      <c r="B194" s="13">
        <v>16016</v>
      </c>
      <c r="C194" s="39">
        <v>2</v>
      </c>
      <c r="D194" s="40" t="s">
        <v>882</v>
      </c>
      <c r="E194" s="13" t="s">
        <v>907</v>
      </c>
      <c r="F194" s="60" t="s">
        <v>908</v>
      </c>
      <c r="G194" s="13"/>
      <c r="H194" s="13">
        <v>1</v>
      </c>
      <c r="I194" s="13">
        <v>1</v>
      </c>
      <c r="J194" s="13"/>
      <c r="K194" s="42"/>
      <c r="L194" s="13" t="s">
        <v>909</v>
      </c>
      <c r="M194" s="13" t="s">
        <v>192</v>
      </c>
      <c r="N194" s="13"/>
      <c r="O194" s="13"/>
      <c r="P194" s="13">
        <v>32119</v>
      </c>
      <c r="Q194" s="42">
        <v>20</v>
      </c>
      <c r="R194" s="42">
        <v>0</v>
      </c>
    </row>
    <row r="195" spans="1:18" hidden="1">
      <c r="A195" s="13" t="s">
        <v>803</v>
      </c>
      <c r="B195" s="13">
        <v>16016</v>
      </c>
      <c r="C195" s="39">
        <v>2</v>
      </c>
      <c r="D195" s="40" t="s">
        <v>882</v>
      </c>
      <c r="E195" s="13" t="s">
        <v>910</v>
      </c>
      <c r="F195" s="60" t="s">
        <v>911</v>
      </c>
      <c r="G195" s="13"/>
      <c r="H195" s="13">
        <v>1</v>
      </c>
      <c r="I195" s="13" t="s">
        <v>824</v>
      </c>
      <c r="J195" s="13"/>
      <c r="K195" s="42"/>
      <c r="L195" s="13" t="s">
        <v>912</v>
      </c>
      <c r="M195" s="13" t="s">
        <v>192</v>
      </c>
      <c r="N195" s="13"/>
      <c r="O195" s="13"/>
      <c r="P195" s="13">
        <v>32119</v>
      </c>
      <c r="Q195" s="42">
        <v>20</v>
      </c>
      <c r="R195" s="42">
        <v>0</v>
      </c>
    </row>
    <row r="196" spans="1:18" hidden="1">
      <c r="A196" s="13" t="s">
        <v>803</v>
      </c>
      <c r="B196" s="13">
        <v>16016</v>
      </c>
      <c r="C196" s="39">
        <v>2</v>
      </c>
      <c r="D196" s="40" t="s">
        <v>882</v>
      </c>
      <c r="E196" s="13" t="s">
        <v>913</v>
      </c>
      <c r="F196" s="60" t="s">
        <v>914</v>
      </c>
      <c r="G196" s="13"/>
      <c r="H196" s="13">
        <v>1</v>
      </c>
      <c r="I196" s="13" t="s">
        <v>824</v>
      </c>
      <c r="J196" s="13"/>
      <c r="K196" s="42"/>
      <c r="L196" s="13" t="s">
        <v>915</v>
      </c>
      <c r="M196" s="13" t="s">
        <v>192</v>
      </c>
      <c r="N196" s="13"/>
      <c r="O196" s="13"/>
      <c r="P196" s="13">
        <v>32119</v>
      </c>
      <c r="Q196" s="42">
        <v>20</v>
      </c>
      <c r="R196" s="42">
        <v>0</v>
      </c>
    </row>
    <row r="197" spans="1:18" hidden="1">
      <c r="A197" s="13" t="s">
        <v>803</v>
      </c>
      <c r="B197" s="13">
        <v>16016</v>
      </c>
      <c r="C197" s="39">
        <v>2</v>
      </c>
      <c r="D197" s="40" t="s">
        <v>882</v>
      </c>
      <c r="E197" s="13" t="s">
        <v>916</v>
      </c>
      <c r="F197" s="60" t="s">
        <v>917</v>
      </c>
      <c r="G197" s="13"/>
      <c r="H197" s="13">
        <v>1</v>
      </c>
      <c r="I197" s="13" t="s">
        <v>824</v>
      </c>
      <c r="J197" s="13"/>
      <c r="K197" s="42"/>
      <c r="L197" s="13" t="s">
        <v>875</v>
      </c>
      <c r="M197" s="13" t="s">
        <v>192</v>
      </c>
      <c r="N197" s="13"/>
      <c r="O197" s="13"/>
      <c r="P197" s="13">
        <v>32119</v>
      </c>
      <c r="Q197" s="42">
        <v>20</v>
      </c>
      <c r="R197" s="42">
        <v>0</v>
      </c>
    </row>
    <row r="198" spans="1:18" hidden="1">
      <c r="A198" s="13" t="s">
        <v>803</v>
      </c>
      <c r="B198" s="13">
        <v>16016</v>
      </c>
      <c r="C198" s="39">
        <v>2</v>
      </c>
      <c r="D198" s="40" t="s">
        <v>882</v>
      </c>
      <c r="E198" s="13" t="s">
        <v>918</v>
      </c>
      <c r="F198" s="60" t="s">
        <v>919</v>
      </c>
      <c r="G198" s="13"/>
      <c r="H198" s="13">
        <v>1</v>
      </c>
      <c r="I198" s="13" t="s">
        <v>824</v>
      </c>
      <c r="J198" s="13"/>
      <c r="K198" s="42"/>
      <c r="L198" s="13" t="s">
        <v>920</v>
      </c>
      <c r="M198" s="13" t="s">
        <v>192</v>
      </c>
      <c r="N198" s="13"/>
      <c r="O198" s="13"/>
      <c r="P198" s="13">
        <v>32119</v>
      </c>
      <c r="Q198" s="42">
        <v>20</v>
      </c>
      <c r="R198" s="42">
        <v>0</v>
      </c>
    </row>
    <row r="199" spans="1:18" ht="14.25">
      <c r="A199" s="30"/>
      <c r="B199" s="90">
        <v>22201</v>
      </c>
      <c r="C199" s="30">
        <v>2</v>
      </c>
      <c r="D199" s="40" t="s">
        <v>921</v>
      </c>
      <c r="E199" s="91" t="s">
        <v>558</v>
      </c>
      <c r="F199" s="92" t="s">
        <v>559</v>
      </c>
      <c r="G199" s="30"/>
      <c r="H199" s="30">
        <v>1</v>
      </c>
      <c r="I199" s="31">
        <v>6</v>
      </c>
      <c r="J199" s="30"/>
      <c r="K199" s="30" t="s">
        <v>818</v>
      </c>
      <c r="L199" s="93" t="s">
        <v>1038</v>
      </c>
      <c r="M199" s="94">
        <v>830</v>
      </c>
      <c r="N199" s="30"/>
      <c r="O199" s="30"/>
      <c r="P199" s="95">
        <v>32208</v>
      </c>
      <c r="Q199" s="13">
        <v>0</v>
      </c>
      <c r="R199" s="30" t="s">
        <v>1061</v>
      </c>
    </row>
    <row r="200" spans="1:18" ht="14.25">
      <c r="A200" s="96"/>
      <c r="B200" s="97">
        <v>22202</v>
      </c>
      <c r="C200" s="96">
        <v>2</v>
      </c>
      <c r="D200" s="34" t="s">
        <v>921</v>
      </c>
      <c r="E200" s="98" t="s">
        <v>560</v>
      </c>
      <c r="F200" s="99" t="s">
        <v>561</v>
      </c>
      <c r="G200" s="96"/>
      <c r="H200" s="96">
        <v>1</v>
      </c>
      <c r="I200" s="96">
        <v>6</v>
      </c>
      <c r="J200" s="96">
        <v>2</v>
      </c>
      <c r="K200" s="90">
        <v>22201</v>
      </c>
      <c r="L200" s="93" t="s">
        <v>1038</v>
      </c>
      <c r="M200" s="101" t="s">
        <v>1039</v>
      </c>
      <c r="N200" s="96"/>
      <c r="O200" s="96"/>
      <c r="P200" s="102" t="s">
        <v>533</v>
      </c>
      <c r="Q200" s="34">
        <v>0</v>
      </c>
      <c r="R200" s="30" t="s">
        <v>1061</v>
      </c>
    </row>
    <row r="201" spans="1:18" ht="14.25">
      <c r="A201" s="96"/>
      <c r="B201" s="97">
        <v>22203</v>
      </c>
      <c r="C201" s="96">
        <v>2</v>
      </c>
      <c r="D201" s="34" t="s">
        <v>921</v>
      </c>
      <c r="E201" s="98" t="s">
        <v>562</v>
      </c>
      <c r="F201" s="99" t="s">
        <v>563</v>
      </c>
      <c r="G201" s="96"/>
      <c r="H201" s="96">
        <v>1</v>
      </c>
      <c r="I201" s="96">
        <v>6</v>
      </c>
      <c r="J201" s="96">
        <v>2</v>
      </c>
      <c r="K201" s="97">
        <v>22202</v>
      </c>
      <c r="L201" s="93" t="s">
        <v>1038</v>
      </c>
      <c r="M201" s="101" t="s">
        <v>1040</v>
      </c>
      <c r="N201" s="96"/>
      <c r="O201" s="96"/>
      <c r="P201" s="102" t="s">
        <v>533</v>
      </c>
      <c r="Q201" s="34">
        <v>0</v>
      </c>
      <c r="R201" s="30" t="s">
        <v>1061</v>
      </c>
    </row>
    <row r="202" spans="1:18" ht="14.25">
      <c r="A202" s="96"/>
      <c r="B202" s="97">
        <v>22204</v>
      </c>
      <c r="C202" s="96">
        <v>2</v>
      </c>
      <c r="D202" s="34" t="s">
        <v>921</v>
      </c>
      <c r="E202" s="98" t="s">
        <v>564</v>
      </c>
      <c r="F202" s="99" t="s">
        <v>565</v>
      </c>
      <c r="G202" s="96"/>
      <c r="H202" s="96">
        <v>1</v>
      </c>
      <c r="I202" s="96">
        <v>6</v>
      </c>
      <c r="J202" s="96">
        <v>2</v>
      </c>
      <c r="K202" s="97">
        <v>22203</v>
      </c>
      <c r="L202" s="93" t="s">
        <v>1038</v>
      </c>
      <c r="M202" s="101" t="s">
        <v>1041</v>
      </c>
      <c r="N202" s="96"/>
      <c r="O202" s="96"/>
      <c r="P202" s="102" t="s">
        <v>533</v>
      </c>
      <c r="Q202" s="34">
        <v>0</v>
      </c>
      <c r="R202" s="30" t="s">
        <v>1061</v>
      </c>
    </row>
    <row r="203" spans="1:18" ht="14.25">
      <c r="A203" s="96"/>
      <c r="B203" s="97">
        <v>22205</v>
      </c>
      <c r="C203" s="96">
        <v>2</v>
      </c>
      <c r="D203" s="34" t="s">
        <v>921</v>
      </c>
      <c r="E203" s="98" t="s">
        <v>381</v>
      </c>
      <c r="F203" s="99" t="s">
        <v>566</v>
      </c>
      <c r="G203" s="96"/>
      <c r="H203" s="96">
        <v>1</v>
      </c>
      <c r="I203" s="96">
        <v>6</v>
      </c>
      <c r="J203" s="96">
        <v>2</v>
      </c>
      <c r="K203" s="97">
        <v>22204</v>
      </c>
      <c r="L203" s="93" t="s">
        <v>1038</v>
      </c>
      <c r="M203" s="101" t="s">
        <v>1042</v>
      </c>
      <c r="N203" s="96"/>
      <c r="O203" s="96"/>
      <c r="P203" s="102" t="s">
        <v>534</v>
      </c>
      <c r="Q203" s="34">
        <v>0</v>
      </c>
      <c r="R203" s="30" t="s">
        <v>1061</v>
      </c>
    </row>
    <row r="204" spans="1:18" ht="14.25">
      <c r="A204" s="96"/>
      <c r="B204" s="97">
        <v>22206</v>
      </c>
      <c r="C204" s="96">
        <v>2</v>
      </c>
      <c r="D204" s="34" t="s">
        <v>921</v>
      </c>
      <c r="E204" s="98" t="s">
        <v>567</v>
      </c>
      <c r="F204" s="99" t="s">
        <v>568</v>
      </c>
      <c r="G204" s="96"/>
      <c r="H204" s="96">
        <v>1</v>
      </c>
      <c r="I204" s="96">
        <v>6</v>
      </c>
      <c r="J204" s="96">
        <v>2</v>
      </c>
      <c r="K204" s="97">
        <v>22205</v>
      </c>
      <c r="L204" s="93" t="s">
        <v>1038</v>
      </c>
      <c r="M204" s="101" t="s">
        <v>1043</v>
      </c>
      <c r="N204" s="96"/>
      <c r="O204" s="96"/>
      <c r="P204" s="102" t="s">
        <v>534</v>
      </c>
      <c r="Q204" s="34">
        <v>0</v>
      </c>
      <c r="R204" s="30" t="s">
        <v>1061</v>
      </c>
    </row>
    <row r="205" spans="1:18" ht="14.25">
      <c r="A205" s="96"/>
      <c r="B205" s="97">
        <v>22207</v>
      </c>
      <c r="C205" s="96">
        <v>2</v>
      </c>
      <c r="D205" s="34" t="s">
        <v>921</v>
      </c>
      <c r="E205" s="98" t="s">
        <v>569</v>
      </c>
      <c r="F205" s="99" t="s">
        <v>570</v>
      </c>
      <c r="G205" s="96"/>
      <c r="H205" s="96">
        <v>1</v>
      </c>
      <c r="I205" s="96">
        <v>6</v>
      </c>
      <c r="J205" s="96">
        <v>2</v>
      </c>
      <c r="K205" s="97">
        <v>22206</v>
      </c>
      <c r="L205" s="93" t="s">
        <v>1038</v>
      </c>
      <c r="M205" s="101" t="s">
        <v>1044</v>
      </c>
      <c r="N205" s="96"/>
      <c r="O205" s="96"/>
      <c r="P205" s="102" t="s">
        <v>534</v>
      </c>
      <c r="Q205" s="34">
        <v>0</v>
      </c>
      <c r="R205" s="30" t="s">
        <v>1061</v>
      </c>
    </row>
    <row r="206" spans="1:18" ht="14.25">
      <c r="A206" s="96"/>
      <c r="B206" s="97">
        <v>22208</v>
      </c>
      <c r="C206" s="96">
        <v>2</v>
      </c>
      <c r="D206" s="34" t="s">
        <v>921</v>
      </c>
      <c r="E206" s="98" t="s">
        <v>571</v>
      </c>
      <c r="F206" s="99" t="s">
        <v>572</v>
      </c>
      <c r="G206" s="96"/>
      <c r="H206" s="96">
        <v>1</v>
      </c>
      <c r="I206" s="96">
        <v>6</v>
      </c>
      <c r="J206" s="96">
        <v>2</v>
      </c>
      <c r="K206" s="97">
        <v>22207</v>
      </c>
      <c r="L206" s="93" t="s">
        <v>1038</v>
      </c>
      <c r="M206" s="101" t="s">
        <v>1045</v>
      </c>
      <c r="N206" s="96"/>
      <c r="O206" s="96"/>
      <c r="P206" s="102" t="s">
        <v>534</v>
      </c>
      <c r="Q206" s="34">
        <v>0</v>
      </c>
      <c r="R206" s="30" t="s">
        <v>1061</v>
      </c>
    </row>
    <row r="207" spans="1:18" ht="14.25">
      <c r="A207" s="96"/>
      <c r="B207" s="97">
        <v>22209</v>
      </c>
      <c r="C207" s="96">
        <v>2</v>
      </c>
      <c r="D207" s="34" t="s">
        <v>921</v>
      </c>
      <c r="E207" s="98" t="s">
        <v>573</v>
      </c>
      <c r="F207" s="99" t="s">
        <v>574</v>
      </c>
      <c r="G207" s="96"/>
      <c r="H207" s="96">
        <v>1</v>
      </c>
      <c r="I207" s="96">
        <v>6</v>
      </c>
      <c r="J207" s="96">
        <v>2</v>
      </c>
      <c r="K207" s="97">
        <v>22208</v>
      </c>
      <c r="L207" s="93" t="s">
        <v>1038</v>
      </c>
      <c r="M207" s="101" t="s">
        <v>1046</v>
      </c>
      <c r="N207" s="96"/>
      <c r="O207" s="96"/>
      <c r="P207" s="102" t="s">
        <v>557</v>
      </c>
      <c r="Q207" s="34">
        <v>0</v>
      </c>
      <c r="R207" s="30" t="s">
        <v>1061</v>
      </c>
    </row>
    <row r="208" spans="1:18" ht="14.25">
      <c r="A208" s="96"/>
      <c r="B208" s="103">
        <v>22301</v>
      </c>
      <c r="C208" s="96" t="s">
        <v>820</v>
      </c>
      <c r="D208" s="34" t="s">
        <v>921</v>
      </c>
      <c r="E208" s="104" t="s">
        <v>575</v>
      </c>
      <c r="F208" s="99" t="s">
        <v>576</v>
      </c>
      <c r="G208" s="96"/>
      <c r="H208" s="96">
        <v>1</v>
      </c>
      <c r="I208" s="96">
        <v>6</v>
      </c>
      <c r="J208" s="96"/>
      <c r="K208" s="97"/>
      <c r="L208" s="100" t="s">
        <v>993</v>
      </c>
      <c r="M208" s="105">
        <v>2</v>
      </c>
      <c r="N208" s="96"/>
      <c r="O208" s="96"/>
      <c r="P208" s="106" t="s">
        <v>536</v>
      </c>
      <c r="Q208" s="34">
        <v>0</v>
      </c>
      <c r="R208" s="96">
        <v>1</v>
      </c>
    </row>
    <row r="209" spans="1:18" ht="14.25">
      <c r="A209" s="96"/>
      <c r="B209" s="103">
        <v>22302</v>
      </c>
      <c r="C209" s="96" t="s">
        <v>820</v>
      </c>
      <c r="D209" s="34" t="s">
        <v>921</v>
      </c>
      <c r="E209" s="104" t="s">
        <v>575</v>
      </c>
      <c r="F209" s="99" t="s">
        <v>577</v>
      </c>
      <c r="G209" s="96"/>
      <c r="H209" s="96">
        <v>1</v>
      </c>
      <c r="I209" s="96">
        <v>6</v>
      </c>
      <c r="J209" s="96" t="s">
        <v>820</v>
      </c>
      <c r="K209" s="103">
        <v>22301</v>
      </c>
      <c r="L209" s="100" t="s">
        <v>993</v>
      </c>
      <c r="M209" s="105">
        <v>5</v>
      </c>
      <c r="N209" s="96"/>
      <c r="O209" s="96"/>
      <c r="P209" s="106" t="s">
        <v>536</v>
      </c>
      <c r="Q209" s="34">
        <v>0</v>
      </c>
      <c r="R209" s="96">
        <v>1</v>
      </c>
    </row>
    <row r="210" spans="1:18" ht="14.25">
      <c r="A210" s="96"/>
      <c r="B210" s="103">
        <v>22303</v>
      </c>
      <c r="C210" s="96" t="s">
        <v>820</v>
      </c>
      <c r="D210" s="34" t="s">
        <v>921</v>
      </c>
      <c r="E210" s="104" t="s">
        <v>575</v>
      </c>
      <c r="F210" s="99" t="s">
        <v>578</v>
      </c>
      <c r="G210" s="96"/>
      <c r="H210" s="96">
        <v>1</v>
      </c>
      <c r="I210" s="96">
        <v>6</v>
      </c>
      <c r="J210" s="96" t="s">
        <v>820</v>
      </c>
      <c r="K210" s="103">
        <v>22302</v>
      </c>
      <c r="L210" s="100" t="s">
        <v>993</v>
      </c>
      <c r="M210" s="105">
        <v>8</v>
      </c>
      <c r="N210" s="96"/>
      <c r="O210" s="96"/>
      <c r="P210" s="106" t="s">
        <v>536</v>
      </c>
      <c r="Q210" s="34">
        <v>0</v>
      </c>
      <c r="R210" s="96">
        <v>1</v>
      </c>
    </row>
    <row r="211" spans="1:18" ht="14.25">
      <c r="A211" s="96"/>
      <c r="B211" s="103">
        <v>22304</v>
      </c>
      <c r="C211" s="96">
        <v>2</v>
      </c>
      <c r="D211" s="34" t="s">
        <v>921</v>
      </c>
      <c r="E211" s="107" t="s">
        <v>922</v>
      </c>
      <c r="F211" s="99" t="s">
        <v>449</v>
      </c>
      <c r="G211" s="96"/>
      <c r="H211" s="96">
        <v>1</v>
      </c>
      <c r="I211" s="96">
        <v>6</v>
      </c>
      <c r="J211" s="96" t="s">
        <v>820</v>
      </c>
      <c r="K211" s="103">
        <v>22303</v>
      </c>
      <c r="L211" s="100" t="s">
        <v>993</v>
      </c>
      <c r="M211" s="105">
        <v>10</v>
      </c>
      <c r="N211" s="96"/>
      <c r="O211" s="96"/>
      <c r="P211" s="106" t="s">
        <v>551</v>
      </c>
      <c r="Q211" s="34">
        <v>0</v>
      </c>
      <c r="R211" s="96">
        <v>1</v>
      </c>
    </row>
    <row r="212" spans="1:18" ht="14.25">
      <c r="A212" s="96"/>
      <c r="B212" s="103">
        <v>22305</v>
      </c>
      <c r="C212" s="96">
        <v>2</v>
      </c>
      <c r="D212" s="34" t="s">
        <v>921</v>
      </c>
      <c r="E212" s="107" t="s">
        <v>922</v>
      </c>
      <c r="F212" s="99" t="s">
        <v>450</v>
      </c>
      <c r="G212" s="96"/>
      <c r="H212" s="96">
        <v>1</v>
      </c>
      <c r="I212" s="96">
        <v>6</v>
      </c>
      <c r="J212" s="96" t="s">
        <v>820</v>
      </c>
      <c r="K212" s="103">
        <v>22304</v>
      </c>
      <c r="L212" s="100" t="s">
        <v>993</v>
      </c>
      <c r="M212" s="105">
        <v>30</v>
      </c>
      <c r="N212" s="96"/>
      <c r="O212" s="96"/>
      <c r="P212" s="106" t="s">
        <v>551</v>
      </c>
      <c r="Q212" s="34">
        <v>0</v>
      </c>
      <c r="R212" s="96">
        <v>1</v>
      </c>
    </row>
    <row r="213" spans="1:18" ht="14.25">
      <c r="A213" s="96"/>
      <c r="B213" s="103">
        <v>22306</v>
      </c>
      <c r="C213" s="96">
        <v>2</v>
      </c>
      <c r="D213" s="34" t="s">
        <v>921</v>
      </c>
      <c r="E213" s="107" t="s">
        <v>922</v>
      </c>
      <c r="F213" s="99" t="s">
        <v>451</v>
      </c>
      <c r="G213" s="96"/>
      <c r="H213" s="96">
        <v>1</v>
      </c>
      <c r="I213" s="96">
        <v>6</v>
      </c>
      <c r="J213" s="96">
        <v>2</v>
      </c>
      <c r="K213" s="103">
        <v>22305</v>
      </c>
      <c r="L213" s="100" t="s">
        <v>993</v>
      </c>
      <c r="M213" s="105">
        <v>80</v>
      </c>
      <c r="N213" s="96"/>
      <c r="O213" s="96"/>
      <c r="P213" s="106" t="s">
        <v>579</v>
      </c>
      <c r="Q213" s="34">
        <v>0</v>
      </c>
      <c r="R213" s="96">
        <v>1</v>
      </c>
    </row>
    <row r="214" spans="1:18" ht="14.25">
      <c r="A214" s="96"/>
      <c r="B214" s="103">
        <v>22307</v>
      </c>
      <c r="C214" s="96">
        <v>2</v>
      </c>
      <c r="D214" s="34" t="s">
        <v>921</v>
      </c>
      <c r="E214" s="107" t="s">
        <v>922</v>
      </c>
      <c r="F214" s="99" t="s">
        <v>452</v>
      </c>
      <c r="G214" s="96"/>
      <c r="H214" s="96">
        <v>1</v>
      </c>
      <c r="I214" s="96">
        <v>6</v>
      </c>
      <c r="J214" s="96">
        <v>2</v>
      </c>
      <c r="K214" s="103">
        <v>22306</v>
      </c>
      <c r="L214" s="100" t="s">
        <v>993</v>
      </c>
      <c r="M214" s="105">
        <v>120</v>
      </c>
      <c r="N214" s="96"/>
      <c r="O214" s="96"/>
      <c r="P214" s="106" t="s">
        <v>579</v>
      </c>
      <c r="Q214" s="34">
        <v>0</v>
      </c>
      <c r="R214" s="96">
        <v>1</v>
      </c>
    </row>
    <row r="215" spans="1:18" ht="14.25">
      <c r="A215" s="96"/>
      <c r="B215" s="103">
        <v>22308</v>
      </c>
      <c r="C215" s="96">
        <v>2</v>
      </c>
      <c r="D215" s="34" t="s">
        <v>921</v>
      </c>
      <c r="E215" s="107" t="s">
        <v>922</v>
      </c>
      <c r="F215" s="99" t="s">
        <v>453</v>
      </c>
      <c r="G215" s="96"/>
      <c r="H215" s="96">
        <v>1</v>
      </c>
      <c r="I215" s="96">
        <v>6</v>
      </c>
      <c r="J215" s="96">
        <v>2</v>
      </c>
      <c r="K215" s="103">
        <v>22307</v>
      </c>
      <c r="L215" s="100" t="s">
        <v>993</v>
      </c>
      <c r="M215" s="105">
        <v>400</v>
      </c>
      <c r="N215" s="96"/>
      <c r="O215" s="96"/>
      <c r="P215" s="106" t="s">
        <v>580</v>
      </c>
      <c r="Q215" s="34">
        <v>0</v>
      </c>
      <c r="R215" s="96">
        <v>1</v>
      </c>
    </row>
    <row r="216" spans="1:18" ht="14.25" hidden="1">
      <c r="A216" s="30" t="s">
        <v>803</v>
      </c>
      <c r="B216" s="13">
        <v>16030</v>
      </c>
      <c r="C216" s="30">
        <v>2</v>
      </c>
      <c r="D216" s="40" t="s">
        <v>921</v>
      </c>
      <c r="E216" s="108" t="s">
        <v>923</v>
      </c>
      <c r="F216" s="92" t="s">
        <v>454</v>
      </c>
      <c r="G216" s="30"/>
      <c r="H216" s="30">
        <v>1</v>
      </c>
      <c r="I216" s="96">
        <v>6</v>
      </c>
      <c r="J216" s="30"/>
      <c r="K216" s="109">
        <v>22308</v>
      </c>
      <c r="L216" s="93">
        <v>40</v>
      </c>
      <c r="M216" s="110">
        <v>3</v>
      </c>
      <c r="N216" s="30"/>
      <c r="O216" s="30"/>
      <c r="P216" s="95">
        <v>32206</v>
      </c>
      <c r="Q216" s="13">
        <v>0</v>
      </c>
      <c r="R216" s="30">
        <v>1</v>
      </c>
    </row>
    <row r="217" spans="1:18" ht="14.25" hidden="1">
      <c r="A217" s="30" t="s">
        <v>803</v>
      </c>
      <c r="B217" s="13">
        <v>16031</v>
      </c>
      <c r="C217" s="30">
        <v>2</v>
      </c>
      <c r="D217" s="40" t="s">
        <v>921</v>
      </c>
      <c r="E217" s="108" t="s">
        <v>923</v>
      </c>
      <c r="F217" s="92" t="s">
        <v>455</v>
      </c>
      <c r="G217" s="30"/>
      <c r="H217" s="30">
        <v>1</v>
      </c>
      <c r="I217" s="96">
        <v>6</v>
      </c>
      <c r="J217" s="30">
        <v>2</v>
      </c>
      <c r="K217" s="30">
        <v>16030</v>
      </c>
      <c r="L217" s="93">
        <v>40</v>
      </c>
      <c r="M217" s="110">
        <v>5</v>
      </c>
      <c r="N217" s="30"/>
      <c r="O217" s="30"/>
      <c r="P217" s="95">
        <v>32206</v>
      </c>
      <c r="Q217" s="13">
        <v>0</v>
      </c>
      <c r="R217" s="30">
        <v>1</v>
      </c>
    </row>
    <row r="218" spans="1:18" ht="14.25" hidden="1">
      <c r="A218" s="30" t="s">
        <v>803</v>
      </c>
      <c r="B218" s="13">
        <v>16032</v>
      </c>
      <c r="C218" s="30">
        <v>2</v>
      </c>
      <c r="D218" s="40" t="s">
        <v>921</v>
      </c>
      <c r="E218" s="108" t="s">
        <v>923</v>
      </c>
      <c r="F218" s="92" t="s">
        <v>456</v>
      </c>
      <c r="G218" s="30"/>
      <c r="H218" s="30">
        <v>1</v>
      </c>
      <c r="I218" s="96">
        <v>6</v>
      </c>
      <c r="J218" s="30">
        <v>2</v>
      </c>
      <c r="K218" s="30">
        <v>16031</v>
      </c>
      <c r="L218" s="93">
        <v>40</v>
      </c>
      <c r="M218" s="110">
        <v>8</v>
      </c>
      <c r="N218" s="30"/>
      <c r="O218" s="30"/>
      <c r="P218" s="95">
        <v>32210</v>
      </c>
      <c r="Q218" s="13">
        <v>0</v>
      </c>
      <c r="R218" s="30">
        <v>1</v>
      </c>
    </row>
    <row r="219" spans="1:18" ht="14.25" hidden="1">
      <c r="A219" s="30" t="s">
        <v>803</v>
      </c>
      <c r="B219" s="13">
        <v>16033</v>
      </c>
      <c r="C219" s="30">
        <v>2</v>
      </c>
      <c r="D219" s="40" t="s">
        <v>921</v>
      </c>
      <c r="E219" s="108" t="s">
        <v>923</v>
      </c>
      <c r="F219" s="92" t="s">
        <v>457</v>
      </c>
      <c r="G219" s="30"/>
      <c r="H219" s="30">
        <v>1</v>
      </c>
      <c r="I219" s="96">
        <v>6</v>
      </c>
      <c r="J219" s="30">
        <v>2</v>
      </c>
      <c r="K219" s="30">
        <v>16032</v>
      </c>
      <c r="L219" s="93">
        <v>40</v>
      </c>
      <c r="M219" s="110">
        <v>12</v>
      </c>
      <c r="N219" s="30"/>
      <c r="O219" s="30"/>
      <c r="P219" s="95">
        <v>32210</v>
      </c>
      <c r="Q219" s="13">
        <v>0</v>
      </c>
      <c r="R219" s="30">
        <v>1</v>
      </c>
    </row>
    <row r="220" spans="1:18" ht="14.25" hidden="1">
      <c r="A220" s="30" t="s">
        <v>803</v>
      </c>
      <c r="B220" s="13">
        <v>16034</v>
      </c>
      <c r="C220" s="30">
        <v>2</v>
      </c>
      <c r="D220" s="40" t="s">
        <v>921</v>
      </c>
      <c r="E220" s="108" t="s">
        <v>923</v>
      </c>
      <c r="F220" s="92" t="s">
        <v>458</v>
      </c>
      <c r="G220" s="30"/>
      <c r="H220" s="30">
        <v>1</v>
      </c>
      <c r="I220" s="96">
        <v>6</v>
      </c>
      <c r="J220" s="30">
        <v>2</v>
      </c>
      <c r="K220" s="30">
        <v>16033</v>
      </c>
      <c r="L220" s="93">
        <v>40</v>
      </c>
      <c r="M220" s="110">
        <v>20</v>
      </c>
      <c r="N220" s="30"/>
      <c r="O220" s="30"/>
      <c r="P220" s="95">
        <v>32215</v>
      </c>
      <c r="Q220" s="13">
        <v>0</v>
      </c>
      <c r="R220" s="30">
        <v>1</v>
      </c>
    </row>
    <row r="221" spans="1:18" ht="14.25" hidden="1">
      <c r="A221" s="30" t="s">
        <v>803</v>
      </c>
      <c r="B221" s="111">
        <v>22501</v>
      </c>
      <c r="C221" s="30">
        <v>2</v>
      </c>
      <c r="D221" s="40" t="s">
        <v>924</v>
      </c>
      <c r="E221" s="108" t="s">
        <v>377</v>
      </c>
      <c r="F221" s="92" t="s">
        <v>1032</v>
      </c>
      <c r="G221" s="30"/>
      <c r="H221" s="30">
        <v>1</v>
      </c>
      <c r="I221" s="96">
        <v>6</v>
      </c>
      <c r="J221" s="30"/>
      <c r="K221" s="30" t="s">
        <v>818</v>
      </c>
      <c r="L221" s="93" t="s">
        <v>1037</v>
      </c>
      <c r="M221" s="112" t="s">
        <v>1027</v>
      </c>
      <c r="N221" s="30"/>
      <c r="O221" s="30"/>
      <c r="P221" s="95">
        <v>32208</v>
      </c>
      <c r="Q221" s="13">
        <v>0</v>
      </c>
      <c r="R221" s="30">
        <v>1</v>
      </c>
    </row>
    <row r="222" spans="1:18" ht="14.25">
      <c r="A222" s="96"/>
      <c r="B222" s="113">
        <v>22502</v>
      </c>
      <c r="C222" s="96">
        <v>2</v>
      </c>
      <c r="D222" s="34" t="s">
        <v>925</v>
      </c>
      <c r="E222" s="107" t="s">
        <v>378</v>
      </c>
      <c r="F222" s="99" t="s">
        <v>1063</v>
      </c>
      <c r="G222" s="96"/>
      <c r="H222" s="96">
        <v>1</v>
      </c>
      <c r="I222" s="96" t="s">
        <v>1048</v>
      </c>
      <c r="J222" s="96"/>
      <c r="K222" s="96"/>
      <c r="L222" s="93" t="s">
        <v>1037</v>
      </c>
      <c r="M222" s="114" t="s">
        <v>1031</v>
      </c>
      <c r="N222" s="96"/>
      <c r="O222" s="96"/>
      <c r="P222" s="115" t="s">
        <v>532</v>
      </c>
      <c r="Q222" s="34">
        <v>0</v>
      </c>
      <c r="R222" s="96" t="s">
        <v>1060</v>
      </c>
    </row>
    <row r="223" spans="1:18" ht="14.25">
      <c r="A223" s="96"/>
      <c r="B223" s="113">
        <v>22503</v>
      </c>
      <c r="C223" s="96">
        <v>2</v>
      </c>
      <c r="D223" s="34" t="s">
        <v>925</v>
      </c>
      <c r="E223" s="107" t="s">
        <v>379</v>
      </c>
      <c r="F223" s="99" t="s">
        <v>1064</v>
      </c>
      <c r="G223" s="96"/>
      <c r="H223" s="96">
        <v>1</v>
      </c>
      <c r="I223" s="96" t="s">
        <v>1048</v>
      </c>
      <c r="J223" s="96">
        <v>2</v>
      </c>
      <c r="K223" s="113">
        <v>22502</v>
      </c>
      <c r="L223" s="93" t="s">
        <v>1037</v>
      </c>
      <c r="M223" s="114" t="s">
        <v>1030</v>
      </c>
      <c r="N223" s="96"/>
      <c r="O223" s="96"/>
      <c r="P223" s="115" t="s">
        <v>529</v>
      </c>
      <c r="Q223" s="34">
        <v>0</v>
      </c>
      <c r="R223" s="96" t="s">
        <v>1060</v>
      </c>
    </row>
    <row r="224" spans="1:18" ht="14.25">
      <c r="A224" s="96"/>
      <c r="B224" s="113">
        <v>22504</v>
      </c>
      <c r="C224" s="96">
        <v>2</v>
      </c>
      <c r="D224" s="34" t="s">
        <v>925</v>
      </c>
      <c r="E224" s="107" t="s">
        <v>380</v>
      </c>
      <c r="F224" s="99" t="s">
        <v>1065</v>
      </c>
      <c r="G224" s="96"/>
      <c r="H224" s="96">
        <v>1</v>
      </c>
      <c r="I224" s="96" t="s">
        <v>1048</v>
      </c>
      <c r="J224" s="96">
        <v>2</v>
      </c>
      <c r="K224" s="113">
        <v>22503</v>
      </c>
      <c r="L224" s="93" t="s">
        <v>1037</v>
      </c>
      <c r="M224" s="114" t="s">
        <v>1029</v>
      </c>
      <c r="N224" s="96"/>
      <c r="O224" s="96"/>
      <c r="P224" s="115" t="s">
        <v>529</v>
      </c>
      <c r="Q224" s="34">
        <v>0</v>
      </c>
      <c r="R224" s="96" t="s">
        <v>1060</v>
      </c>
    </row>
    <row r="225" spans="1:18" ht="14.25">
      <c r="A225" s="96"/>
      <c r="B225" s="113">
        <v>22505</v>
      </c>
      <c r="C225" s="96">
        <v>2</v>
      </c>
      <c r="D225" s="34" t="s">
        <v>925</v>
      </c>
      <c r="E225" s="107" t="s">
        <v>381</v>
      </c>
      <c r="F225" s="99" t="s">
        <v>1066</v>
      </c>
      <c r="G225" s="96"/>
      <c r="H225" s="96">
        <v>1</v>
      </c>
      <c r="I225" s="96" t="s">
        <v>1048</v>
      </c>
      <c r="J225" s="96">
        <v>2</v>
      </c>
      <c r="K225" s="113">
        <v>22504</v>
      </c>
      <c r="L225" s="93" t="s">
        <v>1037</v>
      </c>
      <c r="M225" s="114" t="s">
        <v>1028</v>
      </c>
      <c r="N225" s="96"/>
      <c r="O225" s="96"/>
      <c r="P225" s="115" t="s">
        <v>533</v>
      </c>
      <c r="Q225" s="34">
        <v>0</v>
      </c>
      <c r="R225" s="96" t="s">
        <v>1060</v>
      </c>
    </row>
    <row r="226" spans="1:18" ht="14.25">
      <c r="A226" s="96"/>
      <c r="B226" s="113">
        <v>22506</v>
      </c>
      <c r="C226" s="96">
        <v>2</v>
      </c>
      <c r="D226" s="34" t="s">
        <v>925</v>
      </c>
      <c r="E226" s="116" t="s">
        <v>381</v>
      </c>
      <c r="F226" s="99" t="s">
        <v>1062</v>
      </c>
      <c r="G226" s="96"/>
      <c r="H226" s="96">
        <v>1</v>
      </c>
      <c r="I226" s="96" t="s">
        <v>1048</v>
      </c>
      <c r="J226" s="96">
        <v>2</v>
      </c>
      <c r="K226" s="113">
        <v>22505</v>
      </c>
      <c r="L226" s="93" t="s">
        <v>1037</v>
      </c>
      <c r="M226" s="114" t="s">
        <v>1028</v>
      </c>
      <c r="N226" s="96" t="s">
        <v>1033</v>
      </c>
      <c r="O226" s="96" t="s">
        <v>1036</v>
      </c>
      <c r="P226" s="115" t="s">
        <v>533</v>
      </c>
      <c r="Q226" s="34">
        <v>0</v>
      </c>
      <c r="R226" s="96">
        <v>1</v>
      </c>
    </row>
    <row r="227" spans="1:18" ht="14.25">
      <c r="A227" s="96"/>
      <c r="B227" s="113">
        <v>22507</v>
      </c>
      <c r="C227" s="96">
        <v>2</v>
      </c>
      <c r="D227" s="34" t="s">
        <v>925</v>
      </c>
      <c r="E227" s="116" t="s">
        <v>381</v>
      </c>
      <c r="F227" s="99" t="s">
        <v>581</v>
      </c>
      <c r="G227" s="96"/>
      <c r="H227" s="96">
        <v>1</v>
      </c>
      <c r="I227" s="96" t="s">
        <v>1048</v>
      </c>
      <c r="J227" s="96">
        <v>2</v>
      </c>
      <c r="K227" s="113">
        <v>22506</v>
      </c>
      <c r="L227" s="93" t="s">
        <v>1037</v>
      </c>
      <c r="M227" s="114" t="s">
        <v>1028</v>
      </c>
      <c r="N227" s="96" t="s">
        <v>1033</v>
      </c>
      <c r="O227" s="96" t="s">
        <v>1035</v>
      </c>
      <c r="P227" s="115" t="s">
        <v>534</v>
      </c>
      <c r="Q227" s="34">
        <v>0</v>
      </c>
      <c r="R227" s="96">
        <v>1</v>
      </c>
    </row>
    <row r="228" spans="1:18" ht="14.25">
      <c r="A228" s="96"/>
      <c r="B228" s="113">
        <v>22508</v>
      </c>
      <c r="C228" s="96">
        <v>2</v>
      </c>
      <c r="D228" s="34" t="s">
        <v>925</v>
      </c>
      <c r="E228" s="116" t="s">
        <v>381</v>
      </c>
      <c r="F228" s="99" t="s">
        <v>582</v>
      </c>
      <c r="G228" s="96"/>
      <c r="H228" s="96">
        <v>1</v>
      </c>
      <c r="I228" s="96" t="s">
        <v>1048</v>
      </c>
      <c r="J228" s="96">
        <v>2</v>
      </c>
      <c r="K228" s="113">
        <v>22507</v>
      </c>
      <c r="L228" s="93" t="s">
        <v>1037</v>
      </c>
      <c r="M228" s="114" t="s">
        <v>1028</v>
      </c>
      <c r="N228" s="96" t="s">
        <v>1033</v>
      </c>
      <c r="O228" s="96" t="s">
        <v>1034</v>
      </c>
      <c r="P228" s="115" t="s">
        <v>557</v>
      </c>
      <c r="Q228" s="34">
        <v>0</v>
      </c>
      <c r="R228" s="96">
        <v>1</v>
      </c>
    </row>
    <row r="229" spans="1:18" ht="14.25">
      <c r="A229" s="96"/>
      <c r="B229" s="117">
        <v>22601</v>
      </c>
      <c r="C229" s="96">
        <v>2</v>
      </c>
      <c r="D229" s="34" t="s">
        <v>925</v>
      </c>
      <c r="E229" s="118" t="s">
        <v>583</v>
      </c>
      <c r="F229" s="99" t="s">
        <v>584</v>
      </c>
      <c r="G229" s="96"/>
      <c r="H229" s="96">
        <v>1</v>
      </c>
      <c r="I229" s="96" t="s">
        <v>1048</v>
      </c>
      <c r="J229" s="96"/>
      <c r="K229" s="113"/>
      <c r="L229" s="100" t="s">
        <v>996</v>
      </c>
      <c r="M229" s="119">
        <v>1</v>
      </c>
      <c r="N229" s="96"/>
      <c r="O229" s="96"/>
      <c r="P229" s="120" t="s">
        <v>536</v>
      </c>
      <c r="Q229" s="34">
        <v>0</v>
      </c>
      <c r="R229" s="96">
        <v>1</v>
      </c>
    </row>
    <row r="230" spans="1:18" ht="14.25">
      <c r="A230" s="96"/>
      <c r="B230" s="117">
        <v>22602</v>
      </c>
      <c r="C230" s="96">
        <v>2</v>
      </c>
      <c r="D230" s="34" t="s">
        <v>925</v>
      </c>
      <c r="E230" s="118" t="s">
        <v>583</v>
      </c>
      <c r="F230" s="99" t="s">
        <v>585</v>
      </c>
      <c r="G230" s="96"/>
      <c r="H230" s="96">
        <v>1</v>
      </c>
      <c r="I230" s="96" t="s">
        <v>1048</v>
      </c>
      <c r="J230" s="96" t="s">
        <v>820</v>
      </c>
      <c r="K230" s="117">
        <v>22601</v>
      </c>
      <c r="L230" s="100" t="s">
        <v>996</v>
      </c>
      <c r="M230" s="119">
        <v>3</v>
      </c>
      <c r="N230" s="96"/>
      <c r="O230" s="96"/>
      <c r="P230" s="120" t="s">
        <v>536</v>
      </c>
      <c r="Q230" s="34">
        <v>0</v>
      </c>
      <c r="R230" s="96">
        <v>1</v>
      </c>
    </row>
    <row r="231" spans="1:18" ht="14.25">
      <c r="A231" s="96"/>
      <c r="B231" s="117">
        <v>22603</v>
      </c>
      <c r="C231" s="96">
        <v>2</v>
      </c>
      <c r="D231" s="34" t="s">
        <v>925</v>
      </c>
      <c r="E231" s="118" t="s">
        <v>583</v>
      </c>
      <c r="F231" s="99" t="s">
        <v>586</v>
      </c>
      <c r="G231" s="96"/>
      <c r="H231" s="96">
        <v>1</v>
      </c>
      <c r="I231" s="96" t="s">
        <v>1048</v>
      </c>
      <c r="J231" s="96" t="s">
        <v>820</v>
      </c>
      <c r="K231" s="117">
        <v>22602</v>
      </c>
      <c r="L231" s="100" t="s">
        <v>996</v>
      </c>
      <c r="M231" s="119">
        <v>6</v>
      </c>
      <c r="N231" s="96"/>
      <c r="O231" s="96"/>
      <c r="P231" s="120" t="s">
        <v>536</v>
      </c>
      <c r="Q231" s="34">
        <v>0</v>
      </c>
      <c r="R231" s="96">
        <v>1</v>
      </c>
    </row>
    <row r="232" spans="1:18" ht="14.25">
      <c r="A232" s="96"/>
      <c r="B232" s="117">
        <v>22604</v>
      </c>
      <c r="C232" s="96">
        <v>2</v>
      </c>
      <c r="D232" s="34" t="s">
        <v>925</v>
      </c>
      <c r="E232" s="107" t="s">
        <v>926</v>
      </c>
      <c r="F232" s="99" t="s">
        <v>587</v>
      </c>
      <c r="G232" s="96"/>
      <c r="H232" s="96">
        <v>1</v>
      </c>
      <c r="I232" s="96" t="s">
        <v>1048</v>
      </c>
      <c r="J232" s="96" t="s">
        <v>820</v>
      </c>
      <c r="K232" s="117">
        <v>22603</v>
      </c>
      <c r="L232" s="100" t="s">
        <v>996</v>
      </c>
      <c r="M232" s="119">
        <v>10</v>
      </c>
      <c r="N232" s="96"/>
      <c r="O232" s="96"/>
      <c r="P232" s="120" t="s">
        <v>551</v>
      </c>
      <c r="Q232" s="34">
        <v>0</v>
      </c>
      <c r="R232" s="96">
        <v>1</v>
      </c>
    </row>
    <row r="233" spans="1:18" ht="14.25">
      <c r="A233" s="96"/>
      <c r="B233" s="117">
        <v>22605</v>
      </c>
      <c r="C233" s="96">
        <v>2</v>
      </c>
      <c r="D233" s="34" t="s">
        <v>925</v>
      </c>
      <c r="E233" s="107" t="s">
        <v>926</v>
      </c>
      <c r="F233" s="99" t="s">
        <v>588</v>
      </c>
      <c r="G233" s="96"/>
      <c r="H233" s="96">
        <v>1</v>
      </c>
      <c r="I233" s="96" t="s">
        <v>1048</v>
      </c>
      <c r="J233" s="96">
        <v>2</v>
      </c>
      <c r="K233" s="117">
        <v>22604</v>
      </c>
      <c r="L233" s="100" t="s">
        <v>996</v>
      </c>
      <c r="M233" s="119">
        <v>30</v>
      </c>
      <c r="N233" s="96"/>
      <c r="O233" s="96"/>
      <c r="P233" s="120" t="s">
        <v>551</v>
      </c>
      <c r="Q233" s="34">
        <v>0</v>
      </c>
      <c r="R233" s="96">
        <v>1</v>
      </c>
    </row>
    <row r="234" spans="1:18" ht="14.25">
      <c r="A234" s="96"/>
      <c r="B234" s="117">
        <v>22606</v>
      </c>
      <c r="C234" s="96">
        <v>2</v>
      </c>
      <c r="D234" s="34" t="s">
        <v>925</v>
      </c>
      <c r="E234" s="107" t="s">
        <v>926</v>
      </c>
      <c r="F234" s="99" t="s">
        <v>589</v>
      </c>
      <c r="G234" s="96"/>
      <c r="H234" s="96">
        <v>1</v>
      </c>
      <c r="I234" s="96" t="s">
        <v>1048</v>
      </c>
      <c r="J234" s="96">
        <v>2</v>
      </c>
      <c r="K234" s="117">
        <v>22605</v>
      </c>
      <c r="L234" s="100" t="s">
        <v>996</v>
      </c>
      <c r="M234" s="119">
        <v>80</v>
      </c>
      <c r="N234" s="96"/>
      <c r="O234" s="96"/>
      <c r="P234" s="120" t="s">
        <v>579</v>
      </c>
      <c r="Q234" s="34">
        <v>0</v>
      </c>
      <c r="R234" s="96">
        <v>1</v>
      </c>
    </row>
    <row r="235" spans="1:18" ht="14.25">
      <c r="A235" s="96"/>
      <c r="B235" s="117">
        <v>22607</v>
      </c>
      <c r="C235" s="96">
        <v>2</v>
      </c>
      <c r="D235" s="34" t="s">
        <v>925</v>
      </c>
      <c r="E235" s="107" t="s">
        <v>926</v>
      </c>
      <c r="F235" s="99" t="s">
        <v>590</v>
      </c>
      <c r="G235" s="96"/>
      <c r="H235" s="96">
        <v>1</v>
      </c>
      <c r="I235" s="96" t="s">
        <v>1048</v>
      </c>
      <c r="J235" s="96">
        <v>2</v>
      </c>
      <c r="K235" s="117">
        <v>22606</v>
      </c>
      <c r="L235" s="100" t="s">
        <v>996</v>
      </c>
      <c r="M235" s="119">
        <v>120</v>
      </c>
      <c r="N235" s="96"/>
      <c r="O235" s="96"/>
      <c r="P235" s="120" t="s">
        <v>579</v>
      </c>
      <c r="Q235" s="34">
        <v>0</v>
      </c>
      <c r="R235" s="96">
        <v>1</v>
      </c>
    </row>
    <row r="236" spans="1:18" ht="14.25">
      <c r="A236" s="96"/>
      <c r="B236" s="117">
        <v>22608</v>
      </c>
      <c r="C236" s="96">
        <v>2</v>
      </c>
      <c r="D236" s="34" t="s">
        <v>925</v>
      </c>
      <c r="E236" s="107" t="s">
        <v>926</v>
      </c>
      <c r="F236" s="99" t="s">
        <v>927</v>
      </c>
      <c r="G236" s="96"/>
      <c r="H236" s="96">
        <v>1</v>
      </c>
      <c r="I236" s="96" t="s">
        <v>1048</v>
      </c>
      <c r="J236" s="96">
        <v>2</v>
      </c>
      <c r="K236" s="117">
        <v>22607</v>
      </c>
      <c r="L236" s="100" t="s">
        <v>996</v>
      </c>
      <c r="M236" s="119">
        <v>400</v>
      </c>
      <c r="N236" s="96"/>
      <c r="O236" s="96"/>
      <c r="P236" s="120" t="s">
        <v>580</v>
      </c>
      <c r="Q236" s="34">
        <v>0</v>
      </c>
      <c r="R236" s="96">
        <v>1</v>
      </c>
    </row>
    <row r="237" spans="1:18" ht="14.25">
      <c r="A237" s="96"/>
      <c r="B237" s="121">
        <v>22101</v>
      </c>
      <c r="C237" s="96">
        <v>2</v>
      </c>
      <c r="D237" s="34" t="s">
        <v>882</v>
      </c>
      <c r="E237" s="122" t="s">
        <v>495</v>
      </c>
      <c r="F237" s="99" t="s">
        <v>591</v>
      </c>
      <c r="G237" s="96"/>
      <c r="H237" s="96" t="s">
        <v>823</v>
      </c>
      <c r="I237" s="96">
        <v>1</v>
      </c>
      <c r="J237" s="96"/>
      <c r="K237" s="117"/>
      <c r="L237" s="123" t="s">
        <v>346</v>
      </c>
      <c r="M237" s="124">
        <v>1</v>
      </c>
      <c r="N237" s="96"/>
      <c r="O237" s="96"/>
      <c r="P237" s="125" t="s">
        <v>536</v>
      </c>
      <c r="Q237" s="34">
        <v>0</v>
      </c>
      <c r="R237" s="96">
        <v>1</v>
      </c>
    </row>
    <row r="238" spans="1:18" ht="14.25">
      <c r="A238" s="96"/>
      <c r="B238" s="121">
        <v>22102</v>
      </c>
      <c r="C238" s="96">
        <v>2</v>
      </c>
      <c r="D238" s="34" t="s">
        <v>882</v>
      </c>
      <c r="E238" s="122" t="s">
        <v>495</v>
      </c>
      <c r="F238" s="99" t="s">
        <v>592</v>
      </c>
      <c r="G238" s="96"/>
      <c r="H238" s="96" t="s">
        <v>823</v>
      </c>
      <c r="I238" s="96">
        <v>1</v>
      </c>
      <c r="J238" s="96" t="s">
        <v>820</v>
      </c>
      <c r="K238" s="121">
        <v>22101</v>
      </c>
      <c r="L238" s="123" t="s">
        <v>346</v>
      </c>
      <c r="M238" s="124">
        <v>3</v>
      </c>
      <c r="N238" s="96"/>
      <c r="O238" s="96"/>
      <c r="P238" s="125" t="s">
        <v>536</v>
      </c>
      <c r="Q238" s="34">
        <v>0</v>
      </c>
      <c r="R238" s="96">
        <v>1</v>
      </c>
    </row>
    <row r="239" spans="1:18" ht="14.25">
      <c r="A239" s="96"/>
      <c r="B239" s="121">
        <v>22103</v>
      </c>
      <c r="C239" s="96">
        <v>2</v>
      </c>
      <c r="D239" s="34" t="s">
        <v>882</v>
      </c>
      <c r="E239" s="122" t="s">
        <v>495</v>
      </c>
      <c r="F239" s="99" t="s">
        <v>593</v>
      </c>
      <c r="G239" s="96"/>
      <c r="H239" s="96" t="s">
        <v>823</v>
      </c>
      <c r="I239" s="96">
        <v>1</v>
      </c>
      <c r="J239" s="96" t="s">
        <v>820</v>
      </c>
      <c r="K239" s="121">
        <v>22102</v>
      </c>
      <c r="L239" s="123" t="s">
        <v>346</v>
      </c>
      <c r="M239" s="124">
        <v>6</v>
      </c>
      <c r="N239" s="96"/>
      <c r="O239" s="96"/>
      <c r="P239" s="125" t="s">
        <v>536</v>
      </c>
      <c r="Q239" s="34">
        <v>0</v>
      </c>
      <c r="R239" s="96">
        <v>1</v>
      </c>
    </row>
    <row r="240" spans="1:18" ht="14.25">
      <c r="A240" s="96"/>
      <c r="B240" s="121">
        <v>22104</v>
      </c>
      <c r="C240" s="96">
        <v>2</v>
      </c>
      <c r="D240" s="34" t="s">
        <v>882</v>
      </c>
      <c r="E240" s="122" t="s">
        <v>495</v>
      </c>
      <c r="F240" s="99" t="s">
        <v>594</v>
      </c>
      <c r="G240" s="96"/>
      <c r="H240" s="96" t="s">
        <v>823</v>
      </c>
      <c r="I240" s="96">
        <v>1</v>
      </c>
      <c r="J240" s="96" t="s">
        <v>820</v>
      </c>
      <c r="K240" s="121">
        <v>22103</v>
      </c>
      <c r="L240" s="123" t="s">
        <v>346</v>
      </c>
      <c r="M240" s="124">
        <v>10</v>
      </c>
      <c r="N240" s="96"/>
      <c r="O240" s="96"/>
      <c r="P240" s="125" t="s">
        <v>532</v>
      </c>
      <c r="Q240" s="34">
        <v>0</v>
      </c>
      <c r="R240" s="96">
        <v>1</v>
      </c>
    </row>
    <row r="241" spans="1:18" ht="14.25">
      <c r="A241" s="96"/>
      <c r="B241" s="121">
        <v>22105</v>
      </c>
      <c r="C241" s="96">
        <v>2</v>
      </c>
      <c r="D241" s="34" t="s">
        <v>882</v>
      </c>
      <c r="E241" s="122" t="s">
        <v>495</v>
      </c>
      <c r="F241" s="99" t="s">
        <v>595</v>
      </c>
      <c r="G241" s="96"/>
      <c r="H241" s="96">
        <v>1</v>
      </c>
      <c r="I241" s="96">
        <v>1</v>
      </c>
      <c r="J241" s="96" t="s">
        <v>820</v>
      </c>
      <c r="K241" s="121">
        <v>22104</v>
      </c>
      <c r="L241" s="123" t="s">
        <v>346</v>
      </c>
      <c r="M241" s="124">
        <v>30</v>
      </c>
      <c r="N241" s="96"/>
      <c r="O241" s="96"/>
      <c r="P241" s="125" t="s">
        <v>532</v>
      </c>
      <c r="Q241" s="34">
        <v>0</v>
      </c>
      <c r="R241" s="96">
        <v>1</v>
      </c>
    </row>
    <row r="242" spans="1:18" ht="14.25">
      <c r="A242" s="96"/>
      <c r="B242" s="121">
        <v>22106</v>
      </c>
      <c r="C242" s="96">
        <v>2</v>
      </c>
      <c r="D242" s="34" t="s">
        <v>882</v>
      </c>
      <c r="E242" s="122" t="s">
        <v>495</v>
      </c>
      <c r="F242" s="99" t="s">
        <v>596</v>
      </c>
      <c r="G242" s="96"/>
      <c r="H242" s="96">
        <v>1</v>
      </c>
      <c r="I242" s="96">
        <v>1</v>
      </c>
      <c r="J242" s="96">
        <v>2</v>
      </c>
      <c r="K242" s="121">
        <v>22105</v>
      </c>
      <c r="L242" s="123" t="s">
        <v>346</v>
      </c>
      <c r="M242" s="124">
        <v>80</v>
      </c>
      <c r="N242" s="96"/>
      <c r="O242" s="96"/>
      <c r="P242" s="125" t="s">
        <v>551</v>
      </c>
      <c r="Q242" s="34">
        <v>0</v>
      </c>
      <c r="R242" s="96">
        <v>1</v>
      </c>
    </row>
    <row r="243" spans="1:18" ht="14.25">
      <c r="A243" s="96"/>
      <c r="B243" s="121">
        <v>22107</v>
      </c>
      <c r="C243" s="96">
        <v>2</v>
      </c>
      <c r="D243" s="34" t="s">
        <v>882</v>
      </c>
      <c r="E243" s="122" t="s">
        <v>495</v>
      </c>
      <c r="F243" s="99" t="s">
        <v>597</v>
      </c>
      <c r="G243" s="96"/>
      <c r="H243" s="96">
        <v>1</v>
      </c>
      <c r="I243" s="96">
        <v>1</v>
      </c>
      <c r="J243" s="96">
        <v>2</v>
      </c>
      <c r="K243" s="121">
        <v>22106</v>
      </c>
      <c r="L243" s="123" t="s">
        <v>346</v>
      </c>
      <c r="M243" s="124">
        <v>120</v>
      </c>
      <c r="N243" s="96"/>
      <c r="O243" s="96"/>
      <c r="P243" s="125" t="s">
        <v>551</v>
      </c>
      <c r="Q243" s="34">
        <v>0</v>
      </c>
      <c r="R243" s="96">
        <v>1</v>
      </c>
    </row>
    <row r="244" spans="1:18" ht="14.25">
      <c r="A244" s="96"/>
      <c r="B244" s="121">
        <v>22108</v>
      </c>
      <c r="C244" s="96">
        <v>2</v>
      </c>
      <c r="D244" s="34" t="s">
        <v>882</v>
      </c>
      <c r="E244" s="122" t="s">
        <v>495</v>
      </c>
      <c r="F244" s="99" t="s">
        <v>598</v>
      </c>
      <c r="G244" s="96"/>
      <c r="H244" s="96">
        <v>1</v>
      </c>
      <c r="I244" s="96">
        <v>1</v>
      </c>
      <c r="J244" s="96">
        <v>2</v>
      </c>
      <c r="K244" s="121">
        <v>22107</v>
      </c>
      <c r="L244" s="123" t="s">
        <v>346</v>
      </c>
      <c r="M244" s="124">
        <v>400</v>
      </c>
      <c r="N244" s="96"/>
      <c r="O244" s="96"/>
      <c r="P244" s="125" t="s">
        <v>579</v>
      </c>
      <c r="Q244" s="34">
        <v>0</v>
      </c>
      <c r="R244" s="96">
        <v>1</v>
      </c>
    </row>
    <row r="245" spans="1:18" ht="14.25">
      <c r="A245" s="96"/>
      <c r="B245" s="126">
        <v>22701</v>
      </c>
      <c r="C245" s="96">
        <v>2</v>
      </c>
      <c r="D245" s="34" t="s">
        <v>928</v>
      </c>
      <c r="E245" s="127" t="s">
        <v>599</v>
      </c>
      <c r="F245" s="128" t="s">
        <v>1017</v>
      </c>
      <c r="G245" s="96"/>
      <c r="H245" s="96">
        <v>1</v>
      </c>
      <c r="I245" s="96">
        <v>6</v>
      </c>
      <c r="J245" s="96"/>
      <c r="K245" s="96"/>
      <c r="L245" s="129" t="s">
        <v>1000</v>
      </c>
      <c r="M245" s="130">
        <v>20</v>
      </c>
      <c r="N245" s="96"/>
      <c r="O245" s="96"/>
      <c r="P245" s="131" t="s">
        <v>536</v>
      </c>
      <c r="Q245" s="34">
        <v>0</v>
      </c>
      <c r="R245" s="96">
        <v>1</v>
      </c>
    </row>
    <row r="246" spans="1:18" ht="14.25">
      <c r="A246" s="96"/>
      <c r="B246" s="126">
        <v>22702</v>
      </c>
      <c r="C246" s="96">
        <v>2</v>
      </c>
      <c r="D246" s="34" t="s">
        <v>928</v>
      </c>
      <c r="E246" s="127" t="s">
        <v>599</v>
      </c>
      <c r="F246" s="132" t="s">
        <v>1018</v>
      </c>
      <c r="G246" s="96"/>
      <c r="H246" s="96">
        <v>1</v>
      </c>
      <c r="I246" s="96">
        <v>6</v>
      </c>
      <c r="J246" s="96" t="s">
        <v>820</v>
      </c>
      <c r="K246" s="126">
        <v>22701</v>
      </c>
      <c r="L246" s="129" t="s">
        <v>1000</v>
      </c>
      <c r="M246" s="130">
        <v>50</v>
      </c>
      <c r="N246" s="96"/>
      <c r="O246" s="96"/>
      <c r="P246" s="131" t="s">
        <v>536</v>
      </c>
      <c r="Q246" s="34">
        <v>0</v>
      </c>
      <c r="R246" s="96">
        <v>1</v>
      </c>
    </row>
    <row r="247" spans="1:18" ht="14.25">
      <c r="A247" s="96"/>
      <c r="B247" s="126">
        <v>22703</v>
      </c>
      <c r="C247" s="96">
        <v>2</v>
      </c>
      <c r="D247" s="34" t="s">
        <v>928</v>
      </c>
      <c r="E247" s="127" t="s">
        <v>599</v>
      </c>
      <c r="F247" s="132" t="s">
        <v>1019</v>
      </c>
      <c r="G247" s="96"/>
      <c r="H247" s="96">
        <v>1</v>
      </c>
      <c r="I247" s="96">
        <v>6</v>
      </c>
      <c r="J247" s="96" t="s">
        <v>820</v>
      </c>
      <c r="K247" s="126">
        <v>22702</v>
      </c>
      <c r="L247" s="129" t="s">
        <v>1000</v>
      </c>
      <c r="M247" s="130">
        <v>70</v>
      </c>
      <c r="N247" s="96"/>
      <c r="O247" s="96"/>
      <c r="P247" s="131" t="s">
        <v>532</v>
      </c>
      <c r="Q247" s="34">
        <v>0</v>
      </c>
      <c r="R247" s="96">
        <v>1</v>
      </c>
    </row>
    <row r="248" spans="1:18" ht="14.25">
      <c r="A248" s="96"/>
      <c r="B248" s="126">
        <v>22704</v>
      </c>
      <c r="C248" s="96">
        <v>2</v>
      </c>
      <c r="D248" s="34" t="s">
        <v>928</v>
      </c>
      <c r="E248" s="127" t="s">
        <v>599</v>
      </c>
      <c r="F248" s="132" t="s">
        <v>1020</v>
      </c>
      <c r="G248" s="96"/>
      <c r="H248" s="96">
        <v>1</v>
      </c>
      <c r="I248" s="96">
        <v>6</v>
      </c>
      <c r="J248" s="96" t="s">
        <v>820</v>
      </c>
      <c r="K248" s="126">
        <v>22703</v>
      </c>
      <c r="L248" s="129" t="s">
        <v>1000</v>
      </c>
      <c r="M248" s="130">
        <v>120</v>
      </c>
      <c r="N248" s="96"/>
      <c r="O248" s="96"/>
      <c r="P248" s="131" t="s">
        <v>532</v>
      </c>
      <c r="Q248" s="34">
        <v>0</v>
      </c>
      <c r="R248" s="96">
        <v>1</v>
      </c>
    </row>
    <row r="249" spans="1:18" ht="14.25">
      <c r="A249" s="96"/>
      <c r="B249" s="126">
        <v>22705</v>
      </c>
      <c r="C249" s="96">
        <v>2</v>
      </c>
      <c r="D249" s="34" t="s">
        <v>928</v>
      </c>
      <c r="E249" s="127" t="s">
        <v>599</v>
      </c>
      <c r="F249" s="132" t="s">
        <v>1021</v>
      </c>
      <c r="G249" s="96"/>
      <c r="H249" s="96">
        <v>1</v>
      </c>
      <c r="I249" s="96">
        <v>6</v>
      </c>
      <c r="J249" s="96" t="s">
        <v>820</v>
      </c>
      <c r="K249" s="126">
        <v>22704</v>
      </c>
      <c r="L249" s="129" t="s">
        <v>1000</v>
      </c>
      <c r="M249" s="130">
        <v>150</v>
      </c>
      <c r="N249" s="96"/>
      <c r="O249" s="96"/>
      <c r="P249" s="131" t="s">
        <v>529</v>
      </c>
      <c r="Q249" s="34">
        <v>0</v>
      </c>
      <c r="R249" s="96">
        <v>1</v>
      </c>
    </row>
    <row r="250" spans="1:18" ht="14.25">
      <c r="A250" s="96"/>
      <c r="B250" s="126">
        <v>22706</v>
      </c>
      <c r="C250" s="96">
        <v>2</v>
      </c>
      <c r="D250" s="34" t="s">
        <v>928</v>
      </c>
      <c r="E250" s="127" t="s">
        <v>599</v>
      </c>
      <c r="F250" s="132" t="s">
        <v>1022</v>
      </c>
      <c r="G250" s="96"/>
      <c r="H250" s="96">
        <v>1</v>
      </c>
      <c r="I250" s="96">
        <v>6</v>
      </c>
      <c r="J250" s="96" t="s">
        <v>820</v>
      </c>
      <c r="K250" s="126">
        <v>22705</v>
      </c>
      <c r="L250" s="129" t="s">
        <v>1000</v>
      </c>
      <c r="M250" s="130">
        <v>200</v>
      </c>
      <c r="N250" s="96"/>
      <c r="O250" s="96"/>
      <c r="P250" s="131" t="s">
        <v>529</v>
      </c>
      <c r="Q250" s="34">
        <v>0</v>
      </c>
      <c r="R250" s="96">
        <v>1</v>
      </c>
    </row>
    <row r="251" spans="1:18" ht="14.25">
      <c r="A251" s="96"/>
      <c r="B251" s="126">
        <v>22707</v>
      </c>
      <c r="C251" s="96">
        <v>2</v>
      </c>
      <c r="D251" s="34" t="s">
        <v>928</v>
      </c>
      <c r="E251" s="127" t="s">
        <v>599</v>
      </c>
      <c r="F251" s="99" t="s">
        <v>1023</v>
      </c>
      <c r="G251" s="96"/>
      <c r="H251" s="96">
        <v>1</v>
      </c>
      <c r="I251" s="96">
        <v>6</v>
      </c>
      <c r="J251" s="96">
        <v>2</v>
      </c>
      <c r="K251" s="126">
        <v>22706</v>
      </c>
      <c r="L251" s="129" t="s">
        <v>1000</v>
      </c>
      <c r="M251" s="130">
        <v>500</v>
      </c>
      <c r="N251" s="96"/>
      <c r="O251" s="96"/>
      <c r="P251" s="131" t="s">
        <v>529</v>
      </c>
      <c r="Q251" s="34">
        <v>0</v>
      </c>
      <c r="R251" s="96">
        <v>1</v>
      </c>
    </row>
    <row r="252" spans="1:18" ht="14.25">
      <c r="A252" s="96"/>
      <c r="B252" s="126">
        <v>22708</v>
      </c>
      <c r="C252" s="96">
        <v>2</v>
      </c>
      <c r="D252" s="34" t="s">
        <v>928</v>
      </c>
      <c r="E252" s="127" t="s">
        <v>599</v>
      </c>
      <c r="F252" s="99" t="s">
        <v>1024</v>
      </c>
      <c r="G252" s="96"/>
      <c r="H252" s="96">
        <v>1</v>
      </c>
      <c r="I252" s="96">
        <v>6</v>
      </c>
      <c r="J252" s="96">
        <v>2</v>
      </c>
      <c r="K252" s="126">
        <v>22707</v>
      </c>
      <c r="L252" s="129" t="s">
        <v>1000</v>
      </c>
      <c r="M252" s="130">
        <v>1200</v>
      </c>
      <c r="N252" s="96"/>
      <c r="O252" s="96"/>
      <c r="P252" s="131" t="s">
        <v>530</v>
      </c>
      <c r="Q252" s="34">
        <v>0</v>
      </c>
      <c r="R252" s="96">
        <v>1</v>
      </c>
    </row>
    <row r="253" spans="1:18" ht="14.25">
      <c r="A253" s="96"/>
      <c r="B253" s="126">
        <v>22709</v>
      </c>
      <c r="C253" s="96">
        <v>2</v>
      </c>
      <c r="D253" s="34" t="s">
        <v>928</v>
      </c>
      <c r="E253" s="127" t="s">
        <v>599</v>
      </c>
      <c r="F253" s="99" t="s">
        <v>1025</v>
      </c>
      <c r="G253" s="96"/>
      <c r="H253" s="96">
        <v>1</v>
      </c>
      <c r="I253" s="96">
        <v>6</v>
      </c>
      <c r="J253" s="96">
        <v>2</v>
      </c>
      <c r="K253" s="126">
        <v>22708</v>
      </c>
      <c r="L253" s="129" t="s">
        <v>1000</v>
      </c>
      <c r="M253" s="130">
        <v>2500</v>
      </c>
      <c r="N253" s="96"/>
      <c r="O253" s="96"/>
      <c r="P253" s="131" t="s">
        <v>530</v>
      </c>
      <c r="Q253" s="34">
        <v>0</v>
      </c>
      <c r="R253" s="96">
        <v>1</v>
      </c>
    </row>
    <row r="254" spans="1:18" ht="14.25">
      <c r="A254" s="96"/>
      <c r="B254" s="126">
        <v>22710</v>
      </c>
      <c r="C254" s="96">
        <v>2</v>
      </c>
      <c r="D254" s="34" t="s">
        <v>928</v>
      </c>
      <c r="E254" s="127" t="s">
        <v>599</v>
      </c>
      <c r="F254" s="99" t="s">
        <v>1026</v>
      </c>
      <c r="G254" s="96"/>
      <c r="H254" s="96">
        <v>1</v>
      </c>
      <c r="I254" s="96">
        <v>6</v>
      </c>
      <c r="J254" s="96">
        <v>2</v>
      </c>
      <c r="K254" s="126">
        <v>22709</v>
      </c>
      <c r="L254" s="129" t="s">
        <v>1000</v>
      </c>
      <c r="M254" s="130">
        <v>5000</v>
      </c>
      <c r="N254" s="96"/>
      <c r="O254" s="96"/>
      <c r="P254" s="131" t="s">
        <v>550</v>
      </c>
      <c r="Q254" s="34">
        <v>0</v>
      </c>
      <c r="R254" s="96">
        <v>1</v>
      </c>
    </row>
    <row r="255" spans="1:18" ht="14.25">
      <c r="A255" s="96"/>
      <c r="B255" s="133">
        <v>22801</v>
      </c>
      <c r="C255" s="96" t="s">
        <v>1050</v>
      </c>
      <c r="D255" s="34" t="s">
        <v>857</v>
      </c>
      <c r="E255" s="134" t="s">
        <v>600</v>
      </c>
      <c r="F255" s="99" t="s">
        <v>601</v>
      </c>
      <c r="G255" s="96"/>
      <c r="H255" s="96">
        <v>1</v>
      </c>
      <c r="I255" s="96">
        <v>6</v>
      </c>
      <c r="J255" s="96"/>
      <c r="K255" s="126"/>
      <c r="L255" s="129" t="s">
        <v>995</v>
      </c>
      <c r="M255" s="135">
        <v>1</v>
      </c>
      <c r="N255" s="96"/>
      <c r="O255" s="96"/>
      <c r="P255" s="136" t="s">
        <v>532</v>
      </c>
      <c r="Q255" s="34">
        <v>0</v>
      </c>
      <c r="R255" s="96">
        <v>1</v>
      </c>
    </row>
    <row r="256" spans="1:18" ht="14.25">
      <c r="A256" s="96"/>
      <c r="B256" s="133">
        <v>22802</v>
      </c>
      <c r="C256" s="96" t="s">
        <v>1050</v>
      </c>
      <c r="D256" s="34" t="s">
        <v>857</v>
      </c>
      <c r="E256" s="134" t="s">
        <v>600</v>
      </c>
      <c r="F256" s="99" t="s">
        <v>602</v>
      </c>
      <c r="G256" s="96"/>
      <c r="H256" s="96">
        <v>1</v>
      </c>
      <c r="I256" s="96">
        <v>6</v>
      </c>
      <c r="J256" s="96" t="s">
        <v>820</v>
      </c>
      <c r="K256" s="133">
        <v>22801</v>
      </c>
      <c r="L256" s="129" t="s">
        <v>995</v>
      </c>
      <c r="M256" s="135">
        <v>3</v>
      </c>
      <c r="N256" s="96"/>
      <c r="O256" s="96"/>
      <c r="P256" s="136" t="s">
        <v>532</v>
      </c>
      <c r="Q256" s="34">
        <v>0</v>
      </c>
      <c r="R256" s="96">
        <v>1</v>
      </c>
    </row>
    <row r="257" spans="1:18" ht="14.25">
      <c r="A257" s="96"/>
      <c r="B257" s="133">
        <v>22803</v>
      </c>
      <c r="C257" s="96">
        <v>2</v>
      </c>
      <c r="D257" s="34" t="s">
        <v>857</v>
      </c>
      <c r="E257" s="137" t="s">
        <v>929</v>
      </c>
      <c r="F257" s="99" t="s">
        <v>603</v>
      </c>
      <c r="G257" s="96"/>
      <c r="H257" s="96">
        <v>1</v>
      </c>
      <c r="I257" s="96">
        <v>6</v>
      </c>
      <c r="J257" s="96" t="s">
        <v>820</v>
      </c>
      <c r="K257" s="133">
        <v>22802</v>
      </c>
      <c r="L257" s="129" t="s">
        <v>995</v>
      </c>
      <c r="M257" s="135">
        <v>6</v>
      </c>
      <c r="N257" s="96"/>
      <c r="O257" s="96"/>
      <c r="P257" s="136" t="s">
        <v>532</v>
      </c>
      <c r="Q257" s="34">
        <v>0</v>
      </c>
      <c r="R257" s="96">
        <v>1</v>
      </c>
    </row>
    <row r="258" spans="1:18" ht="14.25">
      <c r="A258" s="96"/>
      <c r="B258" s="133">
        <v>22804</v>
      </c>
      <c r="C258" s="96">
        <v>2</v>
      </c>
      <c r="D258" s="34" t="s">
        <v>857</v>
      </c>
      <c r="E258" s="137" t="s">
        <v>929</v>
      </c>
      <c r="F258" s="99" t="s">
        <v>604</v>
      </c>
      <c r="G258" s="96"/>
      <c r="H258" s="96">
        <v>1</v>
      </c>
      <c r="I258" s="96">
        <v>6</v>
      </c>
      <c r="J258" s="96">
        <v>2</v>
      </c>
      <c r="K258" s="133">
        <v>22803</v>
      </c>
      <c r="L258" s="129" t="s">
        <v>995</v>
      </c>
      <c r="M258" s="135">
        <v>20</v>
      </c>
      <c r="N258" s="96"/>
      <c r="O258" s="96"/>
      <c r="P258" s="136" t="s">
        <v>529</v>
      </c>
      <c r="Q258" s="34">
        <v>0</v>
      </c>
      <c r="R258" s="96">
        <v>1</v>
      </c>
    </row>
    <row r="259" spans="1:18" ht="14.25">
      <c r="A259" s="96"/>
      <c r="B259" s="133">
        <v>22805</v>
      </c>
      <c r="C259" s="96">
        <v>2</v>
      </c>
      <c r="D259" s="34" t="s">
        <v>857</v>
      </c>
      <c r="E259" s="137" t="s">
        <v>929</v>
      </c>
      <c r="F259" s="99" t="s">
        <v>605</v>
      </c>
      <c r="G259" s="96"/>
      <c r="H259" s="96">
        <v>1</v>
      </c>
      <c r="I259" s="96">
        <v>6</v>
      </c>
      <c r="J259" s="96">
        <v>2</v>
      </c>
      <c r="K259" s="133">
        <v>22804</v>
      </c>
      <c r="L259" s="129" t="s">
        <v>995</v>
      </c>
      <c r="M259" s="135">
        <v>60</v>
      </c>
      <c r="N259" s="96"/>
      <c r="O259" s="96"/>
      <c r="P259" s="136" t="s">
        <v>530</v>
      </c>
      <c r="Q259" s="34">
        <v>0</v>
      </c>
      <c r="R259" s="96">
        <v>1</v>
      </c>
    </row>
    <row r="260" spans="1:18" ht="14.25">
      <c r="A260" s="96"/>
      <c r="B260" s="133">
        <v>22806</v>
      </c>
      <c r="C260" s="96">
        <v>2</v>
      </c>
      <c r="D260" s="34" t="s">
        <v>857</v>
      </c>
      <c r="E260" s="137" t="s">
        <v>929</v>
      </c>
      <c r="F260" s="99" t="s">
        <v>606</v>
      </c>
      <c r="G260" s="96"/>
      <c r="H260" s="96">
        <v>1</v>
      </c>
      <c r="I260" s="96">
        <v>6</v>
      </c>
      <c r="J260" s="96">
        <v>2</v>
      </c>
      <c r="K260" s="133">
        <v>22805</v>
      </c>
      <c r="L260" s="129" t="s">
        <v>995</v>
      </c>
      <c r="M260" s="135">
        <v>120</v>
      </c>
      <c r="N260" s="96"/>
      <c r="O260" s="96"/>
      <c r="P260" s="136" t="s">
        <v>530</v>
      </c>
      <c r="Q260" s="34">
        <v>0</v>
      </c>
      <c r="R260" s="96">
        <v>1</v>
      </c>
    </row>
    <row r="261" spans="1:18" ht="14.25">
      <c r="A261" s="96"/>
      <c r="B261" s="133">
        <v>22807</v>
      </c>
      <c r="C261" s="96">
        <v>2</v>
      </c>
      <c r="D261" s="34" t="s">
        <v>857</v>
      </c>
      <c r="E261" s="137" t="s">
        <v>929</v>
      </c>
      <c r="F261" s="99" t="s">
        <v>607</v>
      </c>
      <c r="G261" s="96"/>
      <c r="H261" s="96">
        <v>1</v>
      </c>
      <c r="I261" s="96">
        <v>6</v>
      </c>
      <c r="J261" s="96">
        <v>2</v>
      </c>
      <c r="K261" s="133">
        <v>22806</v>
      </c>
      <c r="L261" s="129" t="s">
        <v>995</v>
      </c>
      <c r="M261" s="135">
        <v>300</v>
      </c>
      <c r="N261" s="96"/>
      <c r="O261" s="96"/>
      <c r="P261" s="136" t="s">
        <v>550</v>
      </c>
      <c r="Q261" s="34">
        <v>0</v>
      </c>
      <c r="R261" s="96">
        <v>1</v>
      </c>
    </row>
    <row r="262" spans="1:18" ht="14.25">
      <c r="A262" s="96"/>
      <c r="B262" s="138">
        <v>22901</v>
      </c>
      <c r="C262" s="96">
        <v>2</v>
      </c>
      <c r="D262" s="34" t="s">
        <v>928</v>
      </c>
      <c r="E262" s="137" t="s">
        <v>930</v>
      </c>
      <c r="F262" s="99" t="s">
        <v>1001</v>
      </c>
      <c r="G262" s="96"/>
      <c r="H262" s="96">
        <v>1</v>
      </c>
      <c r="I262" s="96" t="s">
        <v>1049</v>
      </c>
      <c r="J262" s="96"/>
      <c r="K262" s="96" t="s">
        <v>818</v>
      </c>
      <c r="L262" s="129" t="s">
        <v>999</v>
      </c>
      <c r="M262" s="139">
        <v>100</v>
      </c>
      <c r="N262" s="96"/>
      <c r="O262" s="96"/>
      <c r="P262" s="140">
        <v>32208</v>
      </c>
      <c r="Q262" s="34">
        <v>0</v>
      </c>
      <c r="R262" s="96">
        <v>1</v>
      </c>
    </row>
    <row r="263" spans="1:18" ht="14.25">
      <c r="A263" s="96"/>
      <c r="B263" s="138">
        <v>22902</v>
      </c>
      <c r="C263" s="96">
        <v>2</v>
      </c>
      <c r="D263" s="34" t="s">
        <v>928</v>
      </c>
      <c r="E263" s="137" t="s">
        <v>930</v>
      </c>
      <c r="F263" s="99" t="s">
        <v>1002</v>
      </c>
      <c r="G263" s="96"/>
      <c r="H263" s="96">
        <v>1</v>
      </c>
      <c r="I263" s="96" t="s">
        <v>1049</v>
      </c>
      <c r="J263" s="96">
        <v>2</v>
      </c>
      <c r="K263" s="138">
        <v>22901</v>
      </c>
      <c r="L263" s="129" t="s">
        <v>999</v>
      </c>
      <c r="M263" s="139">
        <v>800</v>
      </c>
      <c r="N263" s="96"/>
      <c r="O263" s="96"/>
      <c r="P263" s="140">
        <v>32208</v>
      </c>
      <c r="Q263" s="34">
        <v>0</v>
      </c>
      <c r="R263" s="96">
        <v>1</v>
      </c>
    </row>
    <row r="264" spans="1:18" ht="14.25">
      <c r="A264" s="96"/>
      <c r="B264" s="138">
        <v>22903</v>
      </c>
      <c r="C264" s="96">
        <v>2</v>
      </c>
      <c r="D264" s="34" t="s">
        <v>928</v>
      </c>
      <c r="E264" s="137" t="s">
        <v>930</v>
      </c>
      <c r="F264" s="99" t="s">
        <v>1003</v>
      </c>
      <c r="G264" s="96"/>
      <c r="H264" s="96">
        <v>1</v>
      </c>
      <c r="I264" s="96" t="s">
        <v>1049</v>
      </c>
      <c r="J264" s="96">
        <v>2</v>
      </c>
      <c r="K264" s="138">
        <v>22902</v>
      </c>
      <c r="L264" s="129" t="s">
        <v>999</v>
      </c>
      <c r="M264" s="139">
        <v>3000</v>
      </c>
      <c r="N264" s="96"/>
      <c r="O264" s="96"/>
      <c r="P264" s="140">
        <v>32213</v>
      </c>
      <c r="Q264" s="34">
        <v>0</v>
      </c>
      <c r="R264" s="96">
        <v>1</v>
      </c>
    </row>
    <row r="265" spans="1:18" ht="14.25">
      <c r="A265" s="96"/>
      <c r="B265" s="138">
        <v>22904</v>
      </c>
      <c r="C265" s="96">
        <v>2</v>
      </c>
      <c r="D265" s="34" t="s">
        <v>928</v>
      </c>
      <c r="E265" s="137" t="s">
        <v>930</v>
      </c>
      <c r="F265" s="99" t="s">
        <v>1004</v>
      </c>
      <c r="G265" s="96"/>
      <c r="H265" s="96">
        <v>1</v>
      </c>
      <c r="I265" s="96" t="s">
        <v>1049</v>
      </c>
      <c r="J265" s="96">
        <v>2</v>
      </c>
      <c r="K265" s="138">
        <v>22903</v>
      </c>
      <c r="L265" s="129" t="s">
        <v>999</v>
      </c>
      <c r="M265" s="139">
        <v>6000</v>
      </c>
      <c r="N265" s="96"/>
      <c r="O265" s="96"/>
      <c r="P265" s="140">
        <v>32213</v>
      </c>
      <c r="Q265" s="34">
        <v>0</v>
      </c>
      <c r="R265" s="96">
        <v>1</v>
      </c>
    </row>
    <row r="266" spans="1:18" ht="14.25">
      <c r="A266" s="96"/>
      <c r="B266" s="138">
        <v>22905</v>
      </c>
      <c r="C266" s="96">
        <v>2</v>
      </c>
      <c r="D266" s="34" t="s">
        <v>928</v>
      </c>
      <c r="E266" s="137" t="s">
        <v>930</v>
      </c>
      <c r="F266" s="99" t="s">
        <v>1005</v>
      </c>
      <c r="G266" s="96"/>
      <c r="H266" s="96">
        <v>1</v>
      </c>
      <c r="I266" s="96" t="s">
        <v>1049</v>
      </c>
      <c r="J266" s="96">
        <v>2</v>
      </c>
      <c r="K266" s="138">
        <v>22904</v>
      </c>
      <c r="L266" s="129" t="s">
        <v>999</v>
      </c>
      <c r="M266" s="139">
        <v>10000</v>
      </c>
      <c r="N266" s="96"/>
      <c r="O266" s="96"/>
      <c r="P266" s="140">
        <v>32216</v>
      </c>
      <c r="Q266" s="34">
        <v>0</v>
      </c>
      <c r="R266" s="96">
        <v>1</v>
      </c>
    </row>
    <row r="267" spans="1:18" ht="14.25">
      <c r="A267" s="96"/>
      <c r="B267" s="141">
        <v>23001</v>
      </c>
      <c r="C267" s="96">
        <v>2</v>
      </c>
      <c r="D267" s="34" t="s">
        <v>928</v>
      </c>
      <c r="E267" s="142" t="s">
        <v>608</v>
      </c>
      <c r="F267" s="99" t="s">
        <v>1006</v>
      </c>
      <c r="G267" s="96"/>
      <c r="H267" s="96">
        <v>1</v>
      </c>
      <c r="I267" s="96">
        <v>1</v>
      </c>
      <c r="J267" s="96"/>
      <c r="K267" s="96" t="s">
        <v>818</v>
      </c>
      <c r="L267" s="143" t="s">
        <v>347</v>
      </c>
      <c r="M267" s="144">
        <v>20</v>
      </c>
      <c r="N267" s="96"/>
      <c r="O267" s="96"/>
      <c r="P267" s="145" t="s">
        <v>536</v>
      </c>
      <c r="Q267" s="34">
        <v>0</v>
      </c>
      <c r="R267" s="96">
        <v>1</v>
      </c>
    </row>
    <row r="268" spans="1:18" ht="14.25">
      <c r="A268" s="96"/>
      <c r="B268" s="141">
        <v>23002</v>
      </c>
      <c r="C268" s="96">
        <v>2</v>
      </c>
      <c r="D268" s="34" t="s">
        <v>928</v>
      </c>
      <c r="E268" s="142" t="s">
        <v>608</v>
      </c>
      <c r="F268" s="99" t="s">
        <v>1007</v>
      </c>
      <c r="G268" s="96"/>
      <c r="H268" s="96">
        <v>1</v>
      </c>
      <c r="I268" s="96">
        <v>1</v>
      </c>
      <c r="J268" s="96">
        <v>2</v>
      </c>
      <c r="K268" s="141">
        <v>23001</v>
      </c>
      <c r="L268" s="143" t="s">
        <v>347</v>
      </c>
      <c r="M268" s="144">
        <v>50</v>
      </c>
      <c r="N268" s="96"/>
      <c r="O268" s="96"/>
      <c r="P268" s="145" t="s">
        <v>536</v>
      </c>
      <c r="Q268" s="34">
        <v>0</v>
      </c>
      <c r="R268" s="96">
        <v>1</v>
      </c>
    </row>
    <row r="269" spans="1:18" ht="14.25">
      <c r="A269" s="96"/>
      <c r="B269" s="141">
        <v>23003</v>
      </c>
      <c r="C269" s="96">
        <v>2</v>
      </c>
      <c r="D269" s="34" t="s">
        <v>928</v>
      </c>
      <c r="E269" s="142" t="s">
        <v>608</v>
      </c>
      <c r="F269" s="99" t="s">
        <v>1008</v>
      </c>
      <c r="G269" s="96"/>
      <c r="H269" s="96">
        <v>1</v>
      </c>
      <c r="I269" s="96">
        <v>1</v>
      </c>
      <c r="J269" s="96">
        <v>2</v>
      </c>
      <c r="K269" s="141">
        <v>23002</v>
      </c>
      <c r="L269" s="143" t="s">
        <v>347</v>
      </c>
      <c r="M269" s="144">
        <v>70</v>
      </c>
      <c r="N269" s="96"/>
      <c r="O269" s="96"/>
      <c r="P269" s="145" t="s">
        <v>536</v>
      </c>
      <c r="Q269" s="34">
        <v>0</v>
      </c>
      <c r="R269" s="96">
        <v>1</v>
      </c>
    </row>
    <row r="270" spans="1:18" ht="14.25">
      <c r="A270" s="96"/>
      <c r="B270" s="141">
        <v>23004</v>
      </c>
      <c r="C270" s="96">
        <v>2</v>
      </c>
      <c r="D270" s="34" t="s">
        <v>928</v>
      </c>
      <c r="E270" s="142" t="s">
        <v>608</v>
      </c>
      <c r="F270" s="99" t="s">
        <v>1009</v>
      </c>
      <c r="G270" s="96"/>
      <c r="H270" s="96">
        <v>1</v>
      </c>
      <c r="I270" s="96">
        <v>1</v>
      </c>
      <c r="J270" s="96">
        <v>2</v>
      </c>
      <c r="K270" s="141">
        <v>23003</v>
      </c>
      <c r="L270" s="143" t="s">
        <v>347</v>
      </c>
      <c r="M270" s="144">
        <v>120</v>
      </c>
      <c r="N270" s="96"/>
      <c r="O270" s="96"/>
      <c r="P270" s="145" t="s">
        <v>536</v>
      </c>
      <c r="Q270" s="34">
        <v>0</v>
      </c>
      <c r="R270" s="96">
        <v>1</v>
      </c>
    </row>
    <row r="271" spans="1:18" ht="14.25">
      <c r="A271" s="96"/>
      <c r="B271" s="141">
        <v>23005</v>
      </c>
      <c r="C271" s="96">
        <v>2</v>
      </c>
      <c r="D271" s="34" t="s">
        <v>928</v>
      </c>
      <c r="E271" s="142" t="s">
        <v>608</v>
      </c>
      <c r="F271" s="99" t="s">
        <v>1010</v>
      </c>
      <c r="G271" s="96"/>
      <c r="H271" s="96">
        <v>1</v>
      </c>
      <c r="I271" s="96">
        <v>1</v>
      </c>
      <c r="J271" s="96">
        <v>2</v>
      </c>
      <c r="K271" s="141">
        <v>23004</v>
      </c>
      <c r="L271" s="143" t="s">
        <v>347</v>
      </c>
      <c r="M271" s="144">
        <v>150</v>
      </c>
      <c r="N271" s="96"/>
      <c r="O271" s="96"/>
      <c r="P271" s="145" t="s">
        <v>532</v>
      </c>
      <c r="Q271" s="34">
        <v>0</v>
      </c>
      <c r="R271" s="96">
        <v>1</v>
      </c>
    </row>
    <row r="272" spans="1:18" ht="14.25">
      <c r="A272" s="96"/>
      <c r="B272" s="141">
        <v>23006</v>
      </c>
      <c r="C272" s="96">
        <v>2</v>
      </c>
      <c r="D272" s="34" t="s">
        <v>928</v>
      </c>
      <c r="E272" s="142" t="s">
        <v>608</v>
      </c>
      <c r="F272" s="99" t="s">
        <v>1011</v>
      </c>
      <c r="G272" s="96"/>
      <c r="H272" s="96">
        <v>1</v>
      </c>
      <c r="I272" s="96">
        <v>1</v>
      </c>
      <c r="J272" s="96">
        <v>2</v>
      </c>
      <c r="K272" s="141">
        <v>23005</v>
      </c>
      <c r="L272" s="143" t="s">
        <v>347</v>
      </c>
      <c r="M272" s="144">
        <v>200</v>
      </c>
      <c r="N272" s="96"/>
      <c r="O272" s="96"/>
      <c r="P272" s="145" t="s">
        <v>532</v>
      </c>
      <c r="Q272" s="34">
        <v>0</v>
      </c>
      <c r="R272" s="96">
        <v>1</v>
      </c>
    </row>
    <row r="273" spans="1:18" ht="14.25">
      <c r="A273" s="96"/>
      <c r="B273" s="141">
        <v>23007</v>
      </c>
      <c r="C273" s="96">
        <v>2</v>
      </c>
      <c r="D273" s="34" t="s">
        <v>928</v>
      </c>
      <c r="E273" s="142" t="s">
        <v>608</v>
      </c>
      <c r="F273" s="99" t="s">
        <v>1012</v>
      </c>
      <c r="G273" s="96"/>
      <c r="H273" s="96">
        <v>1</v>
      </c>
      <c r="I273" s="96">
        <v>1</v>
      </c>
      <c r="J273" s="96">
        <v>2</v>
      </c>
      <c r="K273" s="141">
        <v>23006</v>
      </c>
      <c r="L273" s="143" t="s">
        <v>347</v>
      </c>
      <c r="M273" s="144">
        <v>500</v>
      </c>
      <c r="N273" s="96"/>
      <c r="O273" s="96"/>
      <c r="P273" s="145" t="s">
        <v>532</v>
      </c>
      <c r="Q273" s="34">
        <v>0</v>
      </c>
      <c r="R273" s="96">
        <v>1</v>
      </c>
    </row>
    <row r="274" spans="1:18" ht="14.25">
      <c r="A274" s="96"/>
      <c r="B274" s="141">
        <v>23008</v>
      </c>
      <c r="C274" s="96">
        <v>2</v>
      </c>
      <c r="D274" s="34" t="s">
        <v>928</v>
      </c>
      <c r="E274" s="142" t="s">
        <v>608</v>
      </c>
      <c r="F274" s="99" t="s">
        <v>1013</v>
      </c>
      <c r="G274" s="96"/>
      <c r="H274" s="96">
        <v>1</v>
      </c>
      <c r="I274" s="96">
        <v>1</v>
      </c>
      <c r="J274" s="96">
        <v>2</v>
      </c>
      <c r="K274" s="141">
        <v>23007</v>
      </c>
      <c r="L274" s="143" t="s">
        <v>347</v>
      </c>
      <c r="M274" s="144">
        <v>800</v>
      </c>
      <c r="N274" s="96"/>
      <c r="O274" s="96"/>
      <c r="P274" s="145" t="s">
        <v>532</v>
      </c>
      <c r="Q274" s="34">
        <v>0</v>
      </c>
      <c r="R274" s="96">
        <v>1</v>
      </c>
    </row>
    <row r="275" spans="1:18" ht="14.25">
      <c r="A275" s="96"/>
      <c r="B275" s="141">
        <v>23009</v>
      </c>
      <c r="C275" s="96">
        <v>2</v>
      </c>
      <c r="D275" s="34" t="s">
        <v>928</v>
      </c>
      <c r="E275" s="142" t="s">
        <v>608</v>
      </c>
      <c r="F275" s="99" t="s">
        <v>1014</v>
      </c>
      <c r="G275" s="96"/>
      <c r="H275" s="96">
        <v>1</v>
      </c>
      <c r="I275" s="96">
        <v>1</v>
      </c>
      <c r="J275" s="96">
        <v>2</v>
      </c>
      <c r="K275" s="141">
        <v>23008</v>
      </c>
      <c r="L275" s="143" t="s">
        <v>347</v>
      </c>
      <c r="M275" s="144">
        <v>3000</v>
      </c>
      <c r="N275" s="96"/>
      <c r="O275" s="96"/>
      <c r="P275" s="145" t="s">
        <v>551</v>
      </c>
      <c r="Q275" s="34">
        <v>0</v>
      </c>
      <c r="R275" s="96">
        <v>1</v>
      </c>
    </row>
    <row r="276" spans="1:18" ht="14.25">
      <c r="A276" s="96"/>
      <c r="B276" s="141">
        <v>23010</v>
      </c>
      <c r="C276" s="96">
        <v>2</v>
      </c>
      <c r="D276" s="34" t="s">
        <v>928</v>
      </c>
      <c r="E276" s="142" t="s">
        <v>608</v>
      </c>
      <c r="F276" s="99" t="s">
        <v>1015</v>
      </c>
      <c r="G276" s="96"/>
      <c r="H276" s="96">
        <v>1</v>
      </c>
      <c r="I276" s="96">
        <v>1</v>
      </c>
      <c r="J276" s="96">
        <v>2</v>
      </c>
      <c r="K276" s="141">
        <v>23009</v>
      </c>
      <c r="L276" s="143" t="s">
        <v>347</v>
      </c>
      <c r="M276" s="144">
        <v>6000</v>
      </c>
      <c r="N276" s="96"/>
      <c r="O276" s="96"/>
      <c r="P276" s="145" t="s">
        <v>551</v>
      </c>
      <c r="Q276" s="34">
        <v>0</v>
      </c>
      <c r="R276" s="96">
        <v>1</v>
      </c>
    </row>
    <row r="277" spans="1:18" ht="14.25">
      <c r="A277" s="96"/>
      <c r="B277" s="141">
        <v>23011</v>
      </c>
      <c r="C277" s="96">
        <v>2</v>
      </c>
      <c r="D277" s="34" t="s">
        <v>928</v>
      </c>
      <c r="E277" s="142" t="s">
        <v>608</v>
      </c>
      <c r="F277" s="99" t="s">
        <v>1016</v>
      </c>
      <c r="G277" s="96"/>
      <c r="H277" s="96">
        <v>1</v>
      </c>
      <c r="I277" s="96">
        <v>1</v>
      </c>
      <c r="J277" s="96">
        <v>2</v>
      </c>
      <c r="K277" s="141">
        <v>23010</v>
      </c>
      <c r="L277" s="143" t="s">
        <v>347</v>
      </c>
      <c r="M277" s="144">
        <v>10000</v>
      </c>
      <c r="N277" s="96"/>
      <c r="O277" s="96"/>
      <c r="P277" s="145" t="s">
        <v>579</v>
      </c>
      <c r="Q277" s="34">
        <v>0</v>
      </c>
      <c r="R277" s="96">
        <v>1</v>
      </c>
    </row>
    <row r="278" spans="1:18" ht="14.25">
      <c r="A278" s="146"/>
      <c r="B278" s="147">
        <v>6041</v>
      </c>
      <c r="C278" s="148" t="s">
        <v>824</v>
      </c>
      <c r="D278" s="148" t="s">
        <v>931</v>
      </c>
      <c r="E278" s="149" t="s">
        <v>932</v>
      </c>
      <c r="F278" s="150" t="s">
        <v>933</v>
      </c>
      <c r="G278" s="148"/>
      <c r="H278" s="148" t="s">
        <v>823</v>
      </c>
      <c r="I278" s="151">
        <v>4</v>
      </c>
      <c r="J278" s="148"/>
      <c r="K278" s="148"/>
      <c r="L278" s="152">
        <v>47</v>
      </c>
      <c r="M278" s="152">
        <v>3</v>
      </c>
      <c r="N278" s="152"/>
      <c r="O278" s="152"/>
      <c r="P278" s="153">
        <v>32302</v>
      </c>
      <c r="Q278" s="154" t="s">
        <v>827</v>
      </c>
      <c r="R278" s="148" t="s">
        <v>823</v>
      </c>
    </row>
    <row r="279" spans="1:18" ht="14.25">
      <c r="A279" s="155"/>
      <c r="B279" s="147">
        <v>6051</v>
      </c>
      <c r="C279" s="148" t="s">
        <v>824</v>
      </c>
      <c r="D279" s="34" t="s">
        <v>934</v>
      </c>
      <c r="E279" s="149" t="s">
        <v>935</v>
      </c>
      <c r="F279" s="150" t="s">
        <v>1086</v>
      </c>
      <c r="G279" s="156"/>
      <c r="H279" s="148" t="s">
        <v>823</v>
      </c>
      <c r="I279" s="151">
        <v>5</v>
      </c>
      <c r="J279" s="156"/>
      <c r="K279" s="156"/>
      <c r="L279" s="152">
        <v>49</v>
      </c>
      <c r="M279" s="181" t="s">
        <v>1087</v>
      </c>
      <c r="N279" s="152"/>
      <c r="O279" s="152"/>
      <c r="P279" s="153">
        <v>32302</v>
      </c>
      <c r="Q279" s="158" t="s">
        <v>1067</v>
      </c>
      <c r="R279" s="34" t="s">
        <v>827</v>
      </c>
    </row>
    <row r="280" spans="1:18" ht="14.25">
      <c r="A280" s="159"/>
      <c r="B280" s="147">
        <v>6061</v>
      </c>
      <c r="C280" s="148" t="s">
        <v>824</v>
      </c>
      <c r="D280" s="34" t="s">
        <v>921</v>
      </c>
      <c r="E280" s="149" t="s">
        <v>936</v>
      </c>
      <c r="F280" s="150" t="s">
        <v>937</v>
      </c>
      <c r="G280" s="156"/>
      <c r="H280" s="148" t="s">
        <v>823</v>
      </c>
      <c r="I280" s="151">
        <v>6</v>
      </c>
      <c r="J280" s="156"/>
      <c r="K280" s="156"/>
      <c r="L280" s="160" t="s">
        <v>993</v>
      </c>
      <c r="M280" s="160">
        <v>3</v>
      </c>
      <c r="N280" s="152"/>
      <c r="O280" s="152"/>
      <c r="P280" s="153">
        <v>32302</v>
      </c>
      <c r="Q280" s="154">
        <v>30</v>
      </c>
      <c r="R280" s="148" t="s">
        <v>823</v>
      </c>
    </row>
    <row r="281" spans="1:18" ht="14.25">
      <c r="A281" s="159"/>
      <c r="B281" s="147">
        <v>6071</v>
      </c>
      <c r="C281" s="148" t="s">
        <v>824</v>
      </c>
      <c r="D281" s="34" t="s">
        <v>938</v>
      </c>
      <c r="E281" s="149" t="s">
        <v>939</v>
      </c>
      <c r="F281" s="150" t="s">
        <v>940</v>
      </c>
      <c r="G281" s="156"/>
      <c r="H281" s="148" t="s">
        <v>823</v>
      </c>
      <c r="I281" s="151">
        <v>7</v>
      </c>
      <c r="J281" s="156"/>
      <c r="K281" s="156"/>
      <c r="L281" s="152" t="s">
        <v>876</v>
      </c>
      <c r="M281" s="152">
        <v>1</v>
      </c>
      <c r="N281" s="152" t="s">
        <v>941</v>
      </c>
      <c r="O281" s="152">
        <v>3</v>
      </c>
      <c r="P281" s="153">
        <v>32302</v>
      </c>
      <c r="Q281" s="158" t="s">
        <v>609</v>
      </c>
      <c r="R281" s="148" t="s">
        <v>823</v>
      </c>
    </row>
    <row r="282" spans="1:18" ht="14.25">
      <c r="A282" s="149"/>
      <c r="B282" s="147">
        <v>6081</v>
      </c>
      <c r="C282" s="148" t="s">
        <v>824</v>
      </c>
      <c r="D282" s="34" t="s">
        <v>942</v>
      </c>
      <c r="E282" s="149" t="s">
        <v>943</v>
      </c>
      <c r="F282" s="150" t="s">
        <v>944</v>
      </c>
      <c r="G282" s="156"/>
      <c r="H282" s="148" t="s">
        <v>823</v>
      </c>
      <c r="I282" s="151">
        <v>8</v>
      </c>
      <c r="J282" s="156" t="s">
        <v>1058</v>
      </c>
      <c r="K282" s="156" t="s">
        <v>1059</v>
      </c>
      <c r="L282" s="152" t="s">
        <v>885</v>
      </c>
      <c r="M282" s="152" t="s">
        <v>175</v>
      </c>
      <c r="N282" s="152"/>
      <c r="O282" s="152"/>
      <c r="P282" s="153">
        <v>32302</v>
      </c>
      <c r="Q282" s="158" t="s">
        <v>509</v>
      </c>
      <c r="R282" s="148" t="s">
        <v>823</v>
      </c>
    </row>
    <row r="283" spans="1:18" ht="14.25">
      <c r="A283" s="149"/>
      <c r="B283" s="147">
        <v>6091</v>
      </c>
      <c r="C283" s="148" t="s">
        <v>824</v>
      </c>
      <c r="D283" s="34" t="s">
        <v>945</v>
      </c>
      <c r="E283" s="149" t="s">
        <v>946</v>
      </c>
      <c r="F283" s="150" t="s">
        <v>947</v>
      </c>
      <c r="G283" s="156"/>
      <c r="H283" s="148" t="s">
        <v>823</v>
      </c>
      <c r="I283" s="151">
        <v>9</v>
      </c>
      <c r="J283" s="156"/>
      <c r="K283" s="156"/>
      <c r="L283" s="160" t="s">
        <v>994</v>
      </c>
      <c r="M283" s="160">
        <v>1</v>
      </c>
      <c r="N283" s="152"/>
      <c r="O283" s="152"/>
      <c r="P283" s="153">
        <v>32302</v>
      </c>
      <c r="Q283" s="154">
        <v>30</v>
      </c>
      <c r="R283" s="148" t="s">
        <v>823</v>
      </c>
    </row>
    <row r="284" spans="1:18" ht="14.25">
      <c r="A284" s="149"/>
      <c r="B284" s="34" t="s">
        <v>948</v>
      </c>
      <c r="C284" s="148" t="s">
        <v>824</v>
      </c>
      <c r="D284" s="34" t="s">
        <v>949</v>
      </c>
      <c r="E284" s="149" t="s">
        <v>950</v>
      </c>
      <c r="F284" s="150" t="s">
        <v>951</v>
      </c>
      <c r="G284" s="156"/>
      <c r="H284" s="148" t="s">
        <v>823</v>
      </c>
      <c r="I284" s="151">
        <v>10</v>
      </c>
      <c r="J284" s="156"/>
      <c r="K284" s="156"/>
      <c r="L284" s="152" t="s">
        <v>995</v>
      </c>
      <c r="M284" s="152">
        <v>1</v>
      </c>
      <c r="N284" s="152"/>
      <c r="O284" s="152"/>
      <c r="P284" s="153">
        <v>32303</v>
      </c>
      <c r="Q284" s="161">
        <v>30</v>
      </c>
      <c r="R284" s="148" t="s">
        <v>823</v>
      </c>
    </row>
    <row r="285" spans="1:18" ht="14.25">
      <c r="A285" s="149"/>
      <c r="B285" s="34" t="s">
        <v>952</v>
      </c>
      <c r="C285" s="148" t="s">
        <v>824</v>
      </c>
      <c r="D285" s="34" t="s">
        <v>934</v>
      </c>
      <c r="E285" s="149" t="s">
        <v>935</v>
      </c>
      <c r="F285" s="150" t="s">
        <v>1089</v>
      </c>
      <c r="G285" s="156"/>
      <c r="H285" s="148" t="s">
        <v>823</v>
      </c>
      <c r="I285" s="151">
        <v>10</v>
      </c>
      <c r="J285" s="156"/>
      <c r="K285" s="156"/>
      <c r="L285" s="152">
        <v>49</v>
      </c>
      <c r="M285" s="181" t="s">
        <v>1088</v>
      </c>
      <c r="N285" s="152"/>
      <c r="O285" s="152"/>
      <c r="P285" s="153">
        <v>32303</v>
      </c>
      <c r="Q285" s="154" t="s">
        <v>1068</v>
      </c>
      <c r="R285" s="34" t="s">
        <v>827</v>
      </c>
    </row>
    <row r="286" spans="1:18" ht="14.25">
      <c r="A286" s="149"/>
      <c r="B286" s="162">
        <v>6111</v>
      </c>
      <c r="C286" s="148" t="s">
        <v>824</v>
      </c>
      <c r="D286" s="34" t="s">
        <v>942</v>
      </c>
      <c r="E286" s="149" t="s">
        <v>943</v>
      </c>
      <c r="F286" s="150" t="s">
        <v>953</v>
      </c>
      <c r="G286" s="156"/>
      <c r="H286" s="148" t="s">
        <v>823</v>
      </c>
      <c r="I286" s="151">
        <v>11</v>
      </c>
      <c r="J286" s="156"/>
      <c r="K286" s="156"/>
      <c r="L286" s="152" t="s">
        <v>885</v>
      </c>
      <c r="M286" s="152" t="s">
        <v>192</v>
      </c>
      <c r="N286" s="152" t="s">
        <v>954</v>
      </c>
      <c r="O286" s="152" t="s">
        <v>479</v>
      </c>
      <c r="P286" s="153">
        <v>32303</v>
      </c>
      <c r="Q286" s="158" t="s">
        <v>509</v>
      </c>
      <c r="R286" s="148" t="s">
        <v>823</v>
      </c>
    </row>
    <row r="287" spans="1:18" ht="14.25">
      <c r="A287" s="149"/>
      <c r="B287" s="162">
        <v>6121</v>
      </c>
      <c r="C287" s="148" t="s">
        <v>824</v>
      </c>
      <c r="D287" s="34" t="s">
        <v>921</v>
      </c>
      <c r="E287" s="149" t="s">
        <v>936</v>
      </c>
      <c r="F287" s="150" t="s">
        <v>955</v>
      </c>
      <c r="G287" s="156"/>
      <c r="H287" s="148" t="s">
        <v>823</v>
      </c>
      <c r="I287" s="151">
        <v>12</v>
      </c>
      <c r="J287" s="156"/>
      <c r="K287" s="156"/>
      <c r="L287" s="160" t="s">
        <v>993</v>
      </c>
      <c r="M287" s="160" t="s">
        <v>508</v>
      </c>
      <c r="N287" s="152"/>
      <c r="O287" s="152"/>
      <c r="P287" s="153">
        <v>32303</v>
      </c>
      <c r="Q287" s="154" t="s">
        <v>1073</v>
      </c>
      <c r="R287" s="148" t="s">
        <v>823</v>
      </c>
    </row>
    <row r="288" spans="1:18" ht="14.25">
      <c r="A288" s="149"/>
      <c r="B288" s="163">
        <v>6131</v>
      </c>
      <c r="C288" s="148" t="s">
        <v>824</v>
      </c>
      <c r="D288" s="34" t="s">
        <v>934</v>
      </c>
      <c r="E288" s="149" t="s">
        <v>935</v>
      </c>
      <c r="F288" s="150" t="s">
        <v>1104</v>
      </c>
      <c r="G288" s="156"/>
      <c r="H288" s="148" t="s">
        <v>823</v>
      </c>
      <c r="I288" s="151">
        <v>13</v>
      </c>
      <c r="J288" s="156"/>
      <c r="K288" s="156"/>
      <c r="L288" s="157">
        <v>5</v>
      </c>
      <c r="M288" s="181" t="s">
        <v>1090</v>
      </c>
      <c r="N288" s="152"/>
      <c r="O288" s="152"/>
      <c r="P288" s="153">
        <v>32303</v>
      </c>
      <c r="Q288" s="158" t="s">
        <v>1070</v>
      </c>
      <c r="R288" s="34" t="s">
        <v>827</v>
      </c>
    </row>
    <row r="289" spans="1:18" ht="14.25">
      <c r="A289" s="149"/>
      <c r="B289" s="164">
        <v>6141</v>
      </c>
      <c r="C289" s="148" t="s">
        <v>824</v>
      </c>
      <c r="D289" s="34" t="s">
        <v>924</v>
      </c>
      <c r="E289" s="149" t="s">
        <v>956</v>
      </c>
      <c r="F289" s="150" t="s">
        <v>957</v>
      </c>
      <c r="G289" s="156"/>
      <c r="H289" s="148" t="s">
        <v>823</v>
      </c>
      <c r="I289" s="151">
        <v>14</v>
      </c>
      <c r="J289" s="156"/>
      <c r="K289" s="156"/>
      <c r="L289" s="160" t="s">
        <v>996</v>
      </c>
      <c r="M289" s="165" t="s">
        <v>508</v>
      </c>
      <c r="N289" s="152"/>
      <c r="O289" s="152"/>
      <c r="P289" s="153">
        <v>32303</v>
      </c>
      <c r="Q289" s="154">
        <v>31</v>
      </c>
      <c r="R289" s="148" t="s">
        <v>823</v>
      </c>
    </row>
    <row r="290" spans="1:18" ht="14.25">
      <c r="A290" s="149"/>
      <c r="B290" s="164">
        <v>6151</v>
      </c>
      <c r="C290" s="148" t="s">
        <v>824</v>
      </c>
      <c r="D290" s="34" t="s">
        <v>934</v>
      </c>
      <c r="E290" s="149" t="s">
        <v>935</v>
      </c>
      <c r="F290" s="150" t="s">
        <v>1103</v>
      </c>
      <c r="G290" s="156"/>
      <c r="H290" s="148" t="s">
        <v>823</v>
      </c>
      <c r="I290" s="151">
        <v>15</v>
      </c>
      <c r="J290" s="156"/>
      <c r="K290" s="156"/>
      <c r="L290" s="152">
        <v>49</v>
      </c>
      <c r="M290" s="181" t="s">
        <v>1093</v>
      </c>
      <c r="N290" s="152"/>
      <c r="O290" s="152"/>
      <c r="P290" s="153">
        <v>32303</v>
      </c>
      <c r="Q290" s="158" t="s">
        <v>1069</v>
      </c>
      <c r="R290" s="34" t="s">
        <v>827</v>
      </c>
    </row>
    <row r="291" spans="1:18" ht="14.25">
      <c r="A291" s="149"/>
      <c r="B291" s="164">
        <v>6161</v>
      </c>
      <c r="C291" s="148" t="s">
        <v>824</v>
      </c>
      <c r="D291" s="34" t="s">
        <v>938</v>
      </c>
      <c r="E291" s="149" t="s">
        <v>939</v>
      </c>
      <c r="F291" s="150" t="s">
        <v>958</v>
      </c>
      <c r="G291" s="156"/>
      <c r="H291" s="148" t="s">
        <v>823</v>
      </c>
      <c r="I291" s="151">
        <v>16</v>
      </c>
      <c r="J291" s="156"/>
      <c r="K291" s="156"/>
      <c r="L291" s="152" t="s">
        <v>876</v>
      </c>
      <c r="M291" s="152">
        <v>2</v>
      </c>
      <c r="N291" s="152" t="s">
        <v>941</v>
      </c>
      <c r="O291" s="152">
        <v>4</v>
      </c>
      <c r="P291" s="153">
        <v>32303</v>
      </c>
      <c r="Q291" s="158" t="s">
        <v>609</v>
      </c>
      <c r="R291" s="148" t="s">
        <v>823</v>
      </c>
    </row>
    <row r="292" spans="1:18" ht="14.25">
      <c r="A292" s="149"/>
      <c r="B292" s="164">
        <v>6171</v>
      </c>
      <c r="C292" s="148" t="s">
        <v>824</v>
      </c>
      <c r="D292" s="34" t="s">
        <v>942</v>
      </c>
      <c r="E292" s="149" t="s">
        <v>943</v>
      </c>
      <c r="F292" s="150" t="s">
        <v>959</v>
      </c>
      <c r="G292" s="156"/>
      <c r="H292" s="148" t="s">
        <v>823</v>
      </c>
      <c r="I292" s="151">
        <v>17</v>
      </c>
      <c r="J292" s="156"/>
      <c r="K292" s="156"/>
      <c r="L292" s="152" t="s">
        <v>885</v>
      </c>
      <c r="M292" s="152" t="s">
        <v>364</v>
      </c>
      <c r="N292" s="152" t="s">
        <v>954</v>
      </c>
      <c r="O292" s="152" t="s">
        <v>479</v>
      </c>
      <c r="P292" s="153">
        <v>32303</v>
      </c>
      <c r="Q292" s="158" t="s">
        <v>509</v>
      </c>
      <c r="R292" s="148" t="s">
        <v>823</v>
      </c>
    </row>
    <row r="293" spans="1:18" ht="14.25">
      <c r="A293" s="149"/>
      <c r="B293" s="166">
        <v>6181</v>
      </c>
      <c r="C293" s="148" t="s">
        <v>824</v>
      </c>
      <c r="D293" s="34" t="s">
        <v>934</v>
      </c>
      <c r="E293" s="149" t="s">
        <v>935</v>
      </c>
      <c r="F293" s="150" t="s">
        <v>1102</v>
      </c>
      <c r="G293" s="156"/>
      <c r="H293" s="148" t="s">
        <v>823</v>
      </c>
      <c r="I293" s="151">
        <v>18</v>
      </c>
      <c r="J293" s="156"/>
      <c r="K293" s="156"/>
      <c r="L293" s="157">
        <v>5</v>
      </c>
      <c r="M293" s="181" t="s">
        <v>1091</v>
      </c>
      <c r="N293" s="152"/>
      <c r="O293" s="152"/>
      <c r="P293" s="153">
        <v>32303</v>
      </c>
      <c r="Q293" s="158" t="s">
        <v>1071</v>
      </c>
      <c r="R293" s="34" t="s">
        <v>827</v>
      </c>
    </row>
    <row r="294" spans="1:18" ht="14.25">
      <c r="A294" s="167"/>
      <c r="B294" s="166">
        <v>6191</v>
      </c>
      <c r="C294" s="148" t="s">
        <v>824</v>
      </c>
      <c r="D294" s="34" t="s">
        <v>960</v>
      </c>
      <c r="E294" s="149" t="s">
        <v>946</v>
      </c>
      <c r="F294" s="150" t="s">
        <v>961</v>
      </c>
      <c r="G294" s="167"/>
      <c r="H294" s="148" t="s">
        <v>823</v>
      </c>
      <c r="I294" s="151">
        <v>19</v>
      </c>
      <c r="J294" s="167"/>
      <c r="K294" s="167"/>
      <c r="L294" s="160" t="s">
        <v>994</v>
      </c>
      <c r="M294" s="160" t="s">
        <v>364</v>
      </c>
      <c r="N294" s="152"/>
      <c r="O294" s="152"/>
      <c r="P294" s="153">
        <v>32303</v>
      </c>
      <c r="Q294" s="154">
        <v>30</v>
      </c>
      <c r="R294" s="148" t="s">
        <v>823</v>
      </c>
    </row>
    <row r="295" spans="1:18" ht="14.25">
      <c r="A295" s="167"/>
      <c r="B295" s="168">
        <v>6201</v>
      </c>
      <c r="C295" s="148" t="s">
        <v>824</v>
      </c>
      <c r="D295" s="34" t="s">
        <v>949</v>
      </c>
      <c r="E295" s="149" t="s">
        <v>950</v>
      </c>
      <c r="F295" s="150" t="s">
        <v>962</v>
      </c>
      <c r="G295" s="167"/>
      <c r="H295" s="148" t="s">
        <v>823</v>
      </c>
      <c r="I295" s="151">
        <v>20</v>
      </c>
      <c r="J295" s="167"/>
      <c r="K295" s="167"/>
      <c r="L295" s="152" t="s">
        <v>995</v>
      </c>
      <c r="M295" s="152">
        <v>3</v>
      </c>
      <c r="N295" s="152"/>
      <c r="O295" s="152"/>
      <c r="P295" s="153">
        <v>32304</v>
      </c>
      <c r="Q295" s="161">
        <v>30</v>
      </c>
      <c r="R295" s="148" t="s">
        <v>823</v>
      </c>
    </row>
    <row r="296" spans="1:18" ht="14.25">
      <c r="A296" s="167"/>
      <c r="B296" s="34" t="s">
        <v>963</v>
      </c>
      <c r="C296" s="148" t="s">
        <v>824</v>
      </c>
      <c r="D296" s="34" t="s">
        <v>934</v>
      </c>
      <c r="E296" s="149" t="s">
        <v>935</v>
      </c>
      <c r="F296" s="150" t="s">
        <v>1101</v>
      </c>
      <c r="G296" s="169"/>
      <c r="H296" s="148" t="s">
        <v>823</v>
      </c>
      <c r="I296" s="151">
        <v>20</v>
      </c>
      <c r="J296" s="167"/>
      <c r="K296" s="167"/>
      <c r="L296" s="152">
        <v>49</v>
      </c>
      <c r="M296" s="181" t="s">
        <v>1091</v>
      </c>
      <c r="N296" s="152"/>
      <c r="O296" s="152"/>
      <c r="P296" s="153">
        <v>32304</v>
      </c>
      <c r="Q296" s="158" t="s">
        <v>1071</v>
      </c>
      <c r="R296" s="34" t="s">
        <v>827</v>
      </c>
    </row>
    <row r="297" spans="1:18" ht="14.25">
      <c r="A297" s="167"/>
      <c r="B297" s="170">
        <v>6211</v>
      </c>
      <c r="C297" s="148" t="s">
        <v>824</v>
      </c>
      <c r="D297" s="34" t="s">
        <v>942</v>
      </c>
      <c r="E297" s="149" t="s">
        <v>943</v>
      </c>
      <c r="F297" s="150" t="s">
        <v>964</v>
      </c>
      <c r="G297" s="169"/>
      <c r="H297" s="148" t="s">
        <v>823</v>
      </c>
      <c r="I297" s="151">
        <v>21</v>
      </c>
      <c r="J297" s="167"/>
      <c r="K297" s="167"/>
      <c r="L297" s="152" t="s">
        <v>885</v>
      </c>
      <c r="M297" s="152" t="s">
        <v>192</v>
      </c>
      <c r="N297" s="152" t="s">
        <v>954</v>
      </c>
      <c r="O297" s="152" t="s">
        <v>490</v>
      </c>
      <c r="P297" s="153">
        <v>32304</v>
      </c>
      <c r="Q297" s="158" t="s">
        <v>509</v>
      </c>
      <c r="R297" s="148" t="s">
        <v>823</v>
      </c>
    </row>
    <row r="298" spans="1:18" ht="14.25">
      <c r="A298" s="167"/>
      <c r="B298" s="170">
        <v>6221</v>
      </c>
      <c r="C298" s="148" t="s">
        <v>824</v>
      </c>
      <c r="D298" s="34" t="s">
        <v>921</v>
      </c>
      <c r="E298" s="149" t="s">
        <v>936</v>
      </c>
      <c r="F298" s="150" t="s">
        <v>965</v>
      </c>
      <c r="G298" s="171"/>
      <c r="H298" s="148" t="s">
        <v>823</v>
      </c>
      <c r="I298" s="151">
        <v>22</v>
      </c>
      <c r="J298" s="167"/>
      <c r="K298" s="167"/>
      <c r="L298" s="160" t="s">
        <v>993</v>
      </c>
      <c r="M298" s="160" t="s">
        <v>531</v>
      </c>
      <c r="N298" s="152"/>
      <c r="O298" s="152"/>
      <c r="P298" s="153">
        <v>32304</v>
      </c>
      <c r="Q298" s="154">
        <v>30</v>
      </c>
      <c r="R298" s="148" t="s">
        <v>823</v>
      </c>
    </row>
    <row r="299" spans="1:18" ht="14.25">
      <c r="A299" s="167"/>
      <c r="B299" s="170">
        <v>6231</v>
      </c>
      <c r="C299" s="148" t="s">
        <v>824</v>
      </c>
      <c r="D299" s="34" t="s">
        <v>934</v>
      </c>
      <c r="E299" s="149" t="s">
        <v>935</v>
      </c>
      <c r="F299" s="150" t="s">
        <v>1100</v>
      </c>
      <c r="G299" s="169"/>
      <c r="H299" s="148" t="s">
        <v>823</v>
      </c>
      <c r="I299" s="151">
        <v>23</v>
      </c>
      <c r="J299" s="167"/>
      <c r="K299" s="167"/>
      <c r="L299" s="157">
        <v>5</v>
      </c>
      <c r="M299" s="181" t="s">
        <v>1092</v>
      </c>
      <c r="N299" s="152"/>
      <c r="O299" s="152"/>
      <c r="P299" s="153">
        <v>32304</v>
      </c>
      <c r="Q299" s="158" t="s">
        <v>1072</v>
      </c>
      <c r="R299" s="34" t="s">
        <v>827</v>
      </c>
    </row>
    <row r="300" spans="1:18" ht="14.25">
      <c r="A300" s="167"/>
      <c r="B300" s="170">
        <v>6241</v>
      </c>
      <c r="C300" s="148" t="s">
        <v>824</v>
      </c>
      <c r="D300" s="34" t="s">
        <v>938</v>
      </c>
      <c r="E300" s="149" t="s">
        <v>939</v>
      </c>
      <c r="F300" s="150" t="s">
        <v>966</v>
      </c>
      <c r="G300" s="167"/>
      <c r="H300" s="148" t="s">
        <v>823</v>
      </c>
      <c r="I300" s="151">
        <v>24</v>
      </c>
      <c r="J300" s="167"/>
      <c r="K300" s="167"/>
      <c r="L300" s="152" t="s">
        <v>876</v>
      </c>
      <c r="M300" s="152" t="s">
        <v>477</v>
      </c>
      <c r="N300" s="152" t="s">
        <v>941</v>
      </c>
      <c r="O300" s="152" t="s">
        <v>508</v>
      </c>
      <c r="P300" s="153">
        <v>32304</v>
      </c>
      <c r="Q300" s="158" t="s">
        <v>609</v>
      </c>
      <c r="R300" s="148" t="s">
        <v>823</v>
      </c>
    </row>
    <row r="301" spans="1:18" ht="14.25">
      <c r="A301" s="167"/>
      <c r="B301" s="170">
        <v>6251</v>
      </c>
      <c r="C301" s="148" t="s">
        <v>824</v>
      </c>
      <c r="D301" s="34" t="s">
        <v>934</v>
      </c>
      <c r="E301" s="149" t="s">
        <v>935</v>
      </c>
      <c r="F301" s="150" t="s">
        <v>1099</v>
      </c>
      <c r="G301" s="167"/>
      <c r="H301" s="148" t="s">
        <v>823</v>
      </c>
      <c r="I301" s="151">
        <v>25</v>
      </c>
      <c r="J301" s="167"/>
      <c r="K301" s="167"/>
      <c r="L301" s="152">
        <v>49</v>
      </c>
      <c r="M301" s="181" t="s">
        <v>1098</v>
      </c>
      <c r="N301" s="152"/>
      <c r="O301" s="152"/>
      <c r="P301" s="153">
        <v>32304</v>
      </c>
      <c r="Q301" s="158" t="s">
        <v>1107</v>
      </c>
      <c r="R301" s="34" t="s">
        <v>827</v>
      </c>
    </row>
    <row r="302" spans="1:18" ht="14.25">
      <c r="A302" s="167"/>
      <c r="B302" s="170">
        <v>6261</v>
      </c>
      <c r="C302" s="148" t="s">
        <v>824</v>
      </c>
      <c r="D302" s="34" t="s">
        <v>942</v>
      </c>
      <c r="E302" s="149" t="s">
        <v>943</v>
      </c>
      <c r="F302" s="150" t="s">
        <v>967</v>
      </c>
      <c r="G302" s="167"/>
      <c r="H302" s="148" t="s">
        <v>823</v>
      </c>
      <c r="I302" s="151">
        <v>26</v>
      </c>
      <c r="J302" s="167"/>
      <c r="K302" s="167"/>
      <c r="L302" s="152" t="s">
        <v>885</v>
      </c>
      <c r="M302" s="152" t="s">
        <v>364</v>
      </c>
      <c r="N302" s="152" t="s">
        <v>954</v>
      </c>
      <c r="O302" s="152" t="s">
        <v>490</v>
      </c>
      <c r="P302" s="153">
        <v>32304</v>
      </c>
      <c r="Q302" s="158" t="s">
        <v>509</v>
      </c>
      <c r="R302" s="148" t="s">
        <v>823</v>
      </c>
    </row>
    <row r="303" spans="1:18" ht="14.25">
      <c r="A303" s="167"/>
      <c r="B303" s="170">
        <v>6271</v>
      </c>
      <c r="C303" s="148" t="s">
        <v>824</v>
      </c>
      <c r="D303" s="34" t="s">
        <v>934</v>
      </c>
      <c r="E303" s="149" t="s">
        <v>935</v>
      </c>
      <c r="F303" s="150" t="s">
        <v>1097</v>
      </c>
      <c r="G303" s="167"/>
      <c r="H303" s="148" t="s">
        <v>823</v>
      </c>
      <c r="I303" s="151">
        <v>27</v>
      </c>
      <c r="J303" s="167"/>
      <c r="K303" s="167"/>
      <c r="L303" s="157">
        <v>5</v>
      </c>
      <c r="M303" s="181" t="s">
        <v>1096</v>
      </c>
      <c r="N303" s="152"/>
      <c r="O303" s="152"/>
      <c r="P303" s="153">
        <v>32304</v>
      </c>
      <c r="Q303" s="158" t="s">
        <v>1106</v>
      </c>
      <c r="R303" s="34" t="s">
        <v>827</v>
      </c>
    </row>
    <row r="304" spans="1:18" ht="14.25">
      <c r="A304" s="167"/>
      <c r="B304" s="170">
        <v>6281</v>
      </c>
      <c r="C304" s="148" t="s">
        <v>824</v>
      </c>
      <c r="D304" s="34" t="s">
        <v>949</v>
      </c>
      <c r="E304" s="149" t="s">
        <v>950</v>
      </c>
      <c r="F304" s="150" t="s">
        <v>968</v>
      </c>
      <c r="G304" s="167"/>
      <c r="H304" s="148" t="s">
        <v>823</v>
      </c>
      <c r="I304" s="151">
        <v>28</v>
      </c>
      <c r="J304" s="167"/>
      <c r="K304" s="167"/>
      <c r="L304" s="152" t="s">
        <v>995</v>
      </c>
      <c r="M304" s="152">
        <v>5</v>
      </c>
      <c r="N304" s="152"/>
      <c r="O304" s="152"/>
      <c r="P304" s="153">
        <v>32304</v>
      </c>
      <c r="Q304" s="154">
        <v>30</v>
      </c>
      <c r="R304" s="148" t="s">
        <v>823</v>
      </c>
    </row>
    <row r="305" spans="1:18" ht="14.25">
      <c r="A305" s="167"/>
      <c r="B305" s="170">
        <v>6291</v>
      </c>
      <c r="C305" s="148" t="s">
        <v>824</v>
      </c>
      <c r="D305" s="34" t="s">
        <v>924</v>
      </c>
      <c r="E305" s="149" t="s">
        <v>956</v>
      </c>
      <c r="F305" s="150" t="s">
        <v>969</v>
      </c>
      <c r="G305" s="167"/>
      <c r="H305" s="148" t="s">
        <v>823</v>
      </c>
      <c r="I305" s="151">
        <v>29</v>
      </c>
      <c r="J305" s="167"/>
      <c r="K305" s="167"/>
      <c r="L305" s="160" t="s">
        <v>996</v>
      </c>
      <c r="M305" s="165">
        <v>10</v>
      </c>
      <c r="N305" s="152"/>
      <c r="O305" s="152"/>
      <c r="P305" s="153">
        <v>32304</v>
      </c>
      <c r="Q305" s="154">
        <v>31</v>
      </c>
      <c r="R305" s="148" t="s">
        <v>823</v>
      </c>
    </row>
    <row r="306" spans="1:18" ht="14.25">
      <c r="A306" s="167"/>
      <c r="B306" s="172">
        <v>6301</v>
      </c>
      <c r="C306" s="148" t="s">
        <v>824</v>
      </c>
      <c r="D306" s="34" t="s">
        <v>942</v>
      </c>
      <c r="E306" s="149" t="s">
        <v>943</v>
      </c>
      <c r="F306" s="150" t="s">
        <v>970</v>
      </c>
      <c r="G306" s="167"/>
      <c r="H306" s="148" t="s">
        <v>823</v>
      </c>
      <c r="I306" s="151">
        <v>30</v>
      </c>
      <c r="J306" s="167"/>
      <c r="K306" s="167"/>
      <c r="L306" s="152" t="s">
        <v>885</v>
      </c>
      <c r="M306" s="152" t="s">
        <v>823</v>
      </c>
      <c r="N306" s="152" t="s">
        <v>954</v>
      </c>
      <c r="O306" s="152" t="s">
        <v>504</v>
      </c>
      <c r="P306" s="153">
        <v>32304</v>
      </c>
      <c r="Q306" s="158" t="s">
        <v>971</v>
      </c>
      <c r="R306" s="148" t="s">
        <v>823</v>
      </c>
    </row>
    <row r="307" spans="1:18" ht="14.25">
      <c r="A307" s="167"/>
      <c r="B307" s="172">
        <v>6302</v>
      </c>
      <c r="C307" s="148" t="s">
        <v>824</v>
      </c>
      <c r="D307" s="34" t="s">
        <v>934</v>
      </c>
      <c r="E307" s="149" t="s">
        <v>935</v>
      </c>
      <c r="F307" s="150" t="s">
        <v>1094</v>
      </c>
      <c r="G307" s="167"/>
      <c r="H307" s="148" t="s">
        <v>823</v>
      </c>
      <c r="I307" s="151">
        <v>30</v>
      </c>
      <c r="J307" s="167"/>
      <c r="K307" s="167"/>
      <c r="L307" s="152">
        <v>49</v>
      </c>
      <c r="M307" s="181" t="s">
        <v>1095</v>
      </c>
      <c r="N307" s="152"/>
      <c r="O307" s="152"/>
      <c r="P307" s="153">
        <v>32304</v>
      </c>
      <c r="Q307" s="158" t="s">
        <v>1105</v>
      </c>
      <c r="R307" s="34" t="s">
        <v>827</v>
      </c>
    </row>
  </sheetData>
  <autoFilter ref="A1:A307">
    <filterColumn colId="0">
      <filters blank="1"/>
    </filterColumn>
  </autoFilter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25"/>
  <sheetViews>
    <sheetView topLeftCell="F1" zoomScale="130" zoomScaleNormal="130" workbookViewId="0">
      <selection activeCell="Q23" sqref="Q23"/>
    </sheetView>
  </sheetViews>
  <sheetFormatPr defaultRowHeight="13.5"/>
  <cols>
    <col min="1" max="1" width="7.5" bestFit="1" customWidth="1"/>
    <col min="2" max="2" width="6.375" customWidth="1"/>
    <col min="3" max="3" width="9" bestFit="1" customWidth="1"/>
    <col min="4" max="4" width="15" bestFit="1" customWidth="1"/>
    <col min="5" max="5" width="22.75" customWidth="1"/>
    <col min="6" max="6" width="41.625" customWidth="1"/>
    <col min="7" max="7" width="11.625" hidden="1" customWidth="1"/>
    <col min="8" max="8" width="18.375" hidden="1" customWidth="1"/>
    <col min="9" max="11" width="21.625" hidden="1" customWidth="1"/>
    <col min="12" max="12" width="14.875" hidden="1" customWidth="1"/>
    <col min="13" max="13" width="18.25" hidden="1" customWidth="1"/>
    <col min="14" max="14" width="14.875" hidden="1" customWidth="1"/>
    <col min="15" max="15" width="18.25" hidden="1" customWidth="1"/>
    <col min="16" max="16" width="14.875" hidden="1" customWidth="1"/>
    <col min="17" max="17" width="14.875" customWidth="1"/>
    <col min="18" max="18" width="13.75" customWidth="1"/>
  </cols>
  <sheetData>
    <row r="1" spans="1:24" ht="15" customHeight="1">
      <c r="A1" s="15" t="s">
        <v>54</v>
      </c>
      <c r="B1" s="15" t="s">
        <v>34</v>
      </c>
      <c r="C1" s="15" t="s">
        <v>35</v>
      </c>
      <c r="D1" s="15" t="s">
        <v>36</v>
      </c>
      <c r="E1" s="15" t="s">
        <v>133</v>
      </c>
      <c r="F1" s="15" t="s">
        <v>38</v>
      </c>
      <c r="G1" s="15" t="s">
        <v>39</v>
      </c>
      <c r="H1" s="15" t="s">
        <v>62</v>
      </c>
      <c r="I1" s="15" t="s">
        <v>180</v>
      </c>
      <c r="J1" s="15" t="s">
        <v>63</v>
      </c>
      <c r="K1" s="15" t="s">
        <v>64</v>
      </c>
      <c r="L1" s="15" t="s">
        <v>61</v>
      </c>
      <c r="M1" s="15" t="s">
        <v>40</v>
      </c>
      <c r="N1" s="15" t="s">
        <v>41</v>
      </c>
      <c r="O1" s="15" t="s">
        <v>42</v>
      </c>
      <c r="P1" s="15" t="s">
        <v>43</v>
      </c>
      <c r="Q1" s="15" t="s">
        <v>80</v>
      </c>
      <c r="R1" s="15" t="s">
        <v>81</v>
      </c>
      <c r="S1" s="15" t="s">
        <v>361</v>
      </c>
      <c r="T1" s="15"/>
    </row>
    <row r="2" spans="1:24">
      <c r="A2" s="15" t="s">
        <v>103</v>
      </c>
      <c r="B2" s="15" t="s">
        <v>82</v>
      </c>
      <c r="C2" s="15" t="s">
        <v>83</v>
      </c>
      <c r="D2" s="15" t="s">
        <v>84</v>
      </c>
      <c r="E2" s="15" t="s">
        <v>85</v>
      </c>
      <c r="F2" s="15" t="s">
        <v>86</v>
      </c>
      <c r="G2" s="15" t="s">
        <v>87</v>
      </c>
      <c r="H2" s="15" t="s">
        <v>88</v>
      </c>
      <c r="I2" s="15" t="s">
        <v>89</v>
      </c>
      <c r="J2" s="15" t="s">
        <v>88</v>
      </c>
      <c r="K2" s="15" t="s">
        <v>89</v>
      </c>
      <c r="L2" s="15" t="s">
        <v>90</v>
      </c>
      <c r="M2" s="15" t="s">
        <v>91</v>
      </c>
      <c r="N2" s="15" t="s">
        <v>90</v>
      </c>
      <c r="O2" s="15" t="s">
        <v>91</v>
      </c>
      <c r="P2" s="15" t="s">
        <v>92</v>
      </c>
      <c r="Q2" s="15" t="s">
        <v>93</v>
      </c>
      <c r="R2" s="15" t="s">
        <v>94</v>
      </c>
      <c r="S2" s="15" t="s">
        <v>362</v>
      </c>
      <c r="T2" s="15"/>
    </row>
    <row r="3" spans="1:24" ht="15" customHeight="1">
      <c r="A3" s="15" t="s">
        <v>369</v>
      </c>
      <c r="B3" s="15" t="s">
        <v>207</v>
      </c>
      <c r="C3" s="15">
        <v>3</v>
      </c>
      <c r="D3" s="15" t="s">
        <v>221</v>
      </c>
      <c r="E3" s="15" t="s">
        <v>134</v>
      </c>
      <c r="F3" s="15" t="s">
        <v>459</v>
      </c>
      <c r="G3" s="15"/>
      <c r="H3" s="15">
        <v>1</v>
      </c>
      <c r="I3" s="15">
        <v>1</v>
      </c>
      <c r="J3" s="15"/>
      <c r="K3" s="15"/>
      <c r="L3" s="15">
        <v>6</v>
      </c>
      <c r="M3" s="15" t="s">
        <v>184</v>
      </c>
      <c r="N3" s="15"/>
      <c r="O3" s="15"/>
      <c r="P3" s="15" t="s">
        <v>212</v>
      </c>
      <c r="Q3" s="15" t="s">
        <v>175</v>
      </c>
      <c r="R3" s="15">
        <v>1</v>
      </c>
      <c r="S3" s="15" t="s">
        <v>332</v>
      </c>
      <c r="T3" s="15" t="str">
        <f>CONCATENATE("optional uint32 ",LOWER(INDEX(B:Q,CEILING((ROW()-1)/30,1),MOD(ROW()-2,30)+1)))</f>
        <v>optional uint32 type</v>
      </c>
      <c r="X3" t="e">
        <f ca="1">CONCATENATE("= ",ROW()-1,"; // ",GetComment(INDEX(B:Q,CEILING((ROW()-1)/30,1),MOD(ROW()-2,30)+1)))</f>
        <v>#NAME?</v>
      </c>
    </row>
    <row r="4" spans="1:24">
      <c r="A4" s="15" t="s">
        <v>369</v>
      </c>
      <c r="B4" s="15" t="s">
        <v>208</v>
      </c>
      <c r="C4" s="15">
        <v>3</v>
      </c>
      <c r="D4" s="15" t="s">
        <v>222</v>
      </c>
      <c r="E4" s="15" t="s">
        <v>135</v>
      </c>
      <c r="F4" s="15" t="s">
        <v>460</v>
      </c>
      <c r="G4" s="15"/>
      <c r="H4" s="15">
        <v>1</v>
      </c>
      <c r="I4" s="15">
        <v>2</v>
      </c>
      <c r="J4" s="15"/>
      <c r="K4" s="15"/>
      <c r="L4" s="15">
        <v>7</v>
      </c>
      <c r="M4" s="15">
        <v>3</v>
      </c>
      <c r="N4" s="15"/>
      <c r="O4" s="15"/>
      <c r="P4" s="15">
        <v>30001</v>
      </c>
      <c r="Q4" s="15" t="s">
        <v>175</v>
      </c>
      <c r="R4" s="15">
        <v>1</v>
      </c>
      <c r="S4" s="15" t="s">
        <v>368</v>
      </c>
      <c r="T4" s="15" t="str">
        <f>CONCATENATE("optional uint32 ",LOWER(INDEX(B:Q,CEILING((ROW()-1)/30,1),MOD(ROW()-2,30)+1)))</f>
        <v>optional uint32 icon</v>
      </c>
      <c r="X4" t="e">
        <f ca="1">CONCATENATE("= ",ROW()-1,"; // ",GetComment(INDEX(B:Q,CEILING((ROW()-1)/30,1),MOD(ROW()-2,30)+1)))</f>
        <v>#NAME?</v>
      </c>
    </row>
    <row r="5" spans="1:24">
      <c r="A5" s="15" t="s">
        <v>369</v>
      </c>
      <c r="B5" s="15" t="s">
        <v>199</v>
      </c>
      <c r="C5" s="15">
        <v>3</v>
      </c>
      <c r="D5" s="15" t="s">
        <v>223</v>
      </c>
      <c r="E5" s="15" t="s">
        <v>136</v>
      </c>
      <c r="F5" s="15" t="s">
        <v>461</v>
      </c>
      <c r="G5" s="15"/>
      <c r="H5" s="15">
        <v>1</v>
      </c>
      <c r="I5" s="15">
        <v>14</v>
      </c>
      <c r="J5" s="15"/>
      <c r="K5" s="15"/>
      <c r="L5" s="15">
        <v>10</v>
      </c>
      <c r="M5" s="15">
        <v>5</v>
      </c>
      <c r="N5" s="15"/>
      <c r="O5" s="15"/>
      <c r="P5" s="15">
        <v>30002</v>
      </c>
      <c r="Q5" s="15" t="s">
        <v>177</v>
      </c>
      <c r="R5" s="15">
        <v>1</v>
      </c>
      <c r="S5" s="15" t="s">
        <v>332</v>
      </c>
      <c r="T5" s="15" t="str">
        <f>CONCATENATE("optional uint32 ",LOWER(INDEX(B:Q,CEILING((ROW()-1)/30,1),MOD(ROW()-2,30)+1)))</f>
        <v>optional uint32 title</v>
      </c>
      <c r="X5" t="e">
        <f ca="1">CONCATENATE("= ",ROW()-1,"; // ",GetComment(INDEX(B:Q,CEILING((ROW()-1)/30,1),MOD(ROW()-2,30)+1)))</f>
        <v>#NAME?</v>
      </c>
    </row>
    <row r="6" spans="1:24">
      <c r="A6" s="15" t="s">
        <v>369</v>
      </c>
      <c r="B6" s="15" t="s">
        <v>200</v>
      </c>
      <c r="C6" s="15">
        <v>3</v>
      </c>
      <c r="D6" s="15" t="s">
        <v>224</v>
      </c>
      <c r="E6" s="15" t="s">
        <v>182</v>
      </c>
      <c r="F6" s="15" t="s">
        <v>462</v>
      </c>
      <c r="G6" s="15"/>
      <c r="H6" s="15">
        <v>1</v>
      </c>
      <c r="I6" s="15">
        <v>5</v>
      </c>
      <c r="J6" s="15"/>
      <c r="K6" s="15"/>
      <c r="L6" s="15" t="s">
        <v>189</v>
      </c>
      <c r="M6" s="15">
        <v>1</v>
      </c>
      <c r="N6" s="15"/>
      <c r="O6" s="15"/>
      <c r="P6" s="15">
        <v>30003</v>
      </c>
      <c r="Q6" s="15" t="s">
        <v>218</v>
      </c>
      <c r="R6" s="15" t="s">
        <v>185</v>
      </c>
      <c r="S6" s="15" t="s">
        <v>332</v>
      </c>
      <c r="T6" s="15" t="str">
        <f>CONCATENATE("optional uint32 ",LOWER(INDEX(B:Q,CEILING((ROW()-1)/30,1),MOD(ROW()-2,30)+1)))</f>
        <v>optional uint32 desc</v>
      </c>
      <c r="X6" t="e">
        <f ca="1">CONCATENATE("= ",ROW()-1,"; // ",GetComment(INDEX(B:Q,CEILING((ROW()-1)/30,1),MOD(ROW()-2,30)+1)))</f>
        <v>#NAME?</v>
      </c>
    </row>
    <row r="7" spans="1:24">
      <c r="A7" s="15" t="s">
        <v>369</v>
      </c>
      <c r="B7" s="15" t="s">
        <v>201</v>
      </c>
      <c r="C7" s="15">
        <v>3</v>
      </c>
      <c r="D7" s="15" t="s">
        <v>220</v>
      </c>
      <c r="E7" s="15" t="s">
        <v>183</v>
      </c>
      <c r="F7" s="15" t="s">
        <v>463</v>
      </c>
      <c r="G7" s="15"/>
      <c r="H7" s="15">
        <v>1</v>
      </c>
      <c r="I7" s="15" t="s">
        <v>186</v>
      </c>
      <c r="J7" s="15"/>
      <c r="K7" s="15"/>
      <c r="L7" s="15" t="s">
        <v>211</v>
      </c>
      <c r="M7" s="15" t="s">
        <v>190</v>
      </c>
      <c r="N7" s="15"/>
      <c r="O7" s="15"/>
      <c r="P7" s="15">
        <v>30004</v>
      </c>
      <c r="Q7" s="15" t="s">
        <v>178</v>
      </c>
      <c r="R7" s="15">
        <v>1</v>
      </c>
      <c r="S7" s="15" t="s">
        <v>332</v>
      </c>
      <c r="T7" s="15"/>
    </row>
    <row r="8" spans="1:24">
      <c r="A8" s="15" t="s">
        <v>369</v>
      </c>
      <c r="B8" s="15" t="s">
        <v>202</v>
      </c>
      <c r="C8" s="15">
        <v>3</v>
      </c>
      <c r="D8" s="15" t="s">
        <v>225</v>
      </c>
      <c r="E8" s="15" t="s">
        <v>137</v>
      </c>
      <c r="F8" s="15" t="s">
        <v>464</v>
      </c>
      <c r="G8" s="15"/>
      <c r="H8" s="15">
        <v>1</v>
      </c>
      <c r="I8" s="15" t="s">
        <v>181</v>
      </c>
      <c r="J8" s="15"/>
      <c r="K8" s="15"/>
      <c r="L8" s="15">
        <v>11</v>
      </c>
      <c r="M8" s="15" t="s">
        <v>313</v>
      </c>
      <c r="N8" s="15"/>
      <c r="O8" s="15"/>
      <c r="P8" s="15">
        <v>30005</v>
      </c>
      <c r="Q8" s="15" t="s">
        <v>176</v>
      </c>
      <c r="R8" s="15">
        <v>1</v>
      </c>
      <c r="S8" s="15" t="s">
        <v>211</v>
      </c>
      <c r="T8" s="15"/>
    </row>
    <row r="9" spans="1:24">
      <c r="A9" s="15" t="s">
        <v>369</v>
      </c>
      <c r="B9" s="15" t="s">
        <v>203</v>
      </c>
      <c r="C9" s="15">
        <v>3</v>
      </c>
      <c r="D9" s="15" t="s">
        <v>226</v>
      </c>
      <c r="E9" s="15" t="s">
        <v>139</v>
      </c>
      <c r="F9" s="15" t="s">
        <v>465</v>
      </c>
      <c r="G9" s="15"/>
      <c r="H9" s="15">
        <v>1</v>
      </c>
      <c r="I9" s="15" t="s">
        <v>213</v>
      </c>
      <c r="J9" s="15"/>
      <c r="K9" s="15"/>
      <c r="L9" s="15">
        <v>14</v>
      </c>
      <c r="M9" s="15">
        <v>1</v>
      </c>
      <c r="N9" s="15"/>
      <c r="O9" s="15"/>
      <c r="P9" s="15">
        <v>30006</v>
      </c>
      <c r="Q9" s="15" t="s">
        <v>219</v>
      </c>
      <c r="R9" s="15" t="s">
        <v>185</v>
      </c>
      <c r="S9" s="15" t="s">
        <v>187</v>
      </c>
      <c r="T9" s="15"/>
    </row>
    <row r="10" spans="1:24">
      <c r="A10" s="15" t="s">
        <v>475</v>
      </c>
      <c r="B10" s="15" t="s">
        <v>204</v>
      </c>
      <c r="C10" s="15">
        <v>3</v>
      </c>
      <c r="D10" s="15" t="s">
        <v>476</v>
      </c>
      <c r="E10" s="15" t="s">
        <v>138</v>
      </c>
      <c r="F10" s="15" t="s">
        <v>466</v>
      </c>
      <c r="G10" s="15"/>
      <c r="H10" s="15">
        <v>1</v>
      </c>
      <c r="I10" s="15">
        <v>5</v>
      </c>
      <c r="J10" s="15"/>
      <c r="K10" s="15"/>
      <c r="L10" s="15">
        <v>15</v>
      </c>
      <c r="M10" s="15" t="s">
        <v>477</v>
      </c>
      <c r="N10" s="15"/>
      <c r="O10" s="15"/>
      <c r="P10" s="15" t="s">
        <v>478</v>
      </c>
      <c r="Q10" s="15" t="s">
        <v>179</v>
      </c>
      <c r="R10" s="15">
        <v>1</v>
      </c>
      <c r="S10" s="15" t="s">
        <v>479</v>
      </c>
      <c r="T10" s="15"/>
    </row>
    <row r="11" spans="1:24" ht="15" customHeight="1">
      <c r="A11" s="15" t="s">
        <v>475</v>
      </c>
      <c r="B11" s="15" t="s">
        <v>205</v>
      </c>
      <c r="C11" s="15">
        <v>3</v>
      </c>
      <c r="D11" s="15" t="s">
        <v>480</v>
      </c>
      <c r="E11" s="15" t="s">
        <v>65</v>
      </c>
      <c r="F11" s="15" t="s">
        <v>467</v>
      </c>
      <c r="G11" s="15"/>
      <c r="H11" s="15">
        <v>1</v>
      </c>
      <c r="I11" s="15" t="s">
        <v>481</v>
      </c>
      <c r="J11" s="15"/>
      <c r="K11" s="15"/>
      <c r="L11" s="15">
        <v>1</v>
      </c>
      <c r="M11" s="15">
        <v>1</v>
      </c>
      <c r="N11" s="15"/>
      <c r="O11" s="15"/>
      <c r="P11" s="15">
        <v>30008</v>
      </c>
      <c r="Q11" s="15" t="s">
        <v>482</v>
      </c>
      <c r="R11" s="15">
        <v>0</v>
      </c>
      <c r="S11" s="15" t="s">
        <v>483</v>
      </c>
      <c r="T11" s="15"/>
    </row>
    <row r="12" spans="1:24" ht="15" customHeight="1">
      <c r="A12" s="15" t="s">
        <v>475</v>
      </c>
      <c r="B12" s="15" t="s">
        <v>206</v>
      </c>
      <c r="C12" s="15">
        <v>3</v>
      </c>
      <c r="D12" s="15" t="s">
        <v>484</v>
      </c>
      <c r="E12" s="15" t="s">
        <v>66</v>
      </c>
      <c r="F12" s="15" t="s">
        <v>468</v>
      </c>
      <c r="G12" s="15"/>
      <c r="H12" s="15">
        <v>1</v>
      </c>
      <c r="I12" s="15" t="s">
        <v>175</v>
      </c>
      <c r="J12" s="15"/>
      <c r="K12" s="15"/>
      <c r="L12" s="15">
        <v>2</v>
      </c>
      <c r="M12" s="15">
        <v>1</v>
      </c>
      <c r="N12" s="15"/>
      <c r="O12" s="15"/>
      <c r="P12" s="15">
        <v>30009</v>
      </c>
      <c r="Q12" s="15" t="s">
        <v>485</v>
      </c>
      <c r="R12" s="15">
        <v>0</v>
      </c>
      <c r="S12" s="15" t="s">
        <v>483</v>
      </c>
      <c r="T12" s="15"/>
    </row>
    <row r="13" spans="1:24">
      <c r="A13" s="15" t="s">
        <v>475</v>
      </c>
      <c r="B13" s="15" t="s">
        <v>486</v>
      </c>
      <c r="C13" s="15">
        <v>3</v>
      </c>
      <c r="D13" s="15" t="s">
        <v>487</v>
      </c>
      <c r="E13" s="15" t="s">
        <v>488</v>
      </c>
      <c r="F13" s="15" t="s">
        <v>469</v>
      </c>
      <c r="G13" s="15"/>
      <c r="H13" s="15">
        <v>1</v>
      </c>
      <c r="I13" s="15" t="s">
        <v>192</v>
      </c>
      <c r="J13" s="15"/>
      <c r="K13" s="15"/>
      <c r="L13" s="15" t="s">
        <v>489</v>
      </c>
      <c r="M13" s="15" t="s">
        <v>175</v>
      </c>
      <c r="N13" s="15"/>
      <c r="O13" s="15"/>
      <c r="P13" s="15">
        <v>30010</v>
      </c>
      <c r="Q13" s="15" t="s">
        <v>490</v>
      </c>
      <c r="R13" s="15" t="s">
        <v>192</v>
      </c>
      <c r="S13" s="15" t="s">
        <v>483</v>
      </c>
      <c r="T13" s="15"/>
    </row>
    <row r="14" spans="1:24">
      <c r="A14" s="15"/>
      <c r="B14" s="15" t="s">
        <v>363</v>
      </c>
      <c r="C14" s="15" t="s">
        <v>364</v>
      </c>
      <c r="D14" s="15" t="s">
        <v>491</v>
      </c>
      <c r="E14" s="15" t="s">
        <v>492</v>
      </c>
      <c r="F14" s="15" t="s">
        <v>376</v>
      </c>
      <c r="G14" s="15"/>
      <c r="H14" s="15" t="s">
        <v>192</v>
      </c>
      <c r="I14" s="15" t="s">
        <v>192</v>
      </c>
      <c r="J14" s="15"/>
      <c r="K14" s="15"/>
      <c r="L14" s="15" t="s">
        <v>179</v>
      </c>
      <c r="M14" s="15" t="s">
        <v>192</v>
      </c>
      <c r="N14" s="15"/>
      <c r="O14" s="15"/>
      <c r="P14" s="15" t="s">
        <v>478</v>
      </c>
      <c r="Q14" s="15" t="s">
        <v>493</v>
      </c>
      <c r="R14" s="15" t="s">
        <v>192</v>
      </c>
      <c r="S14" s="15">
        <v>5</v>
      </c>
      <c r="T14" s="15"/>
    </row>
    <row r="15" spans="1:24">
      <c r="A15" s="15"/>
      <c r="B15" s="15" t="s">
        <v>494</v>
      </c>
      <c r="C15" s="15" t="s">
        <v>364</v>
      </c>
      <c r="D15" s="15" t="s">
        <v>360</v>
      </c>
      <c r="E15" s="15" t="s">
        <v>972</v>
      </c>
      <c r="F15" s="15" t="s">
        <v>496</v>
      </c>
      <c r="G15" s="15"/>
      <c r="H15" s="15" t="s">
        <v>192</v>
      </c>
      <c r="I15" s="15" t="s">
        <v>192</v>
      </c>
      <c r="J15" s="15"/>
      <c r="K15" s="15"/>
      <c r="L15" s="15" t="s">
        <v>490</v>
      </c>
      <c r="M15" s="15" t="s">
        <v>192</v>
      </c>
      <c r="N15" s="15"/>
      <c r="O15" s="15"/>
      <c r="P15" s="15" t="s">
        <v>497</v>
      </c>
      <c r="Q15" s="15" t="s">
        <v>493</v>
      </c>
      <c r="R15" s="15" t="s">
        <v>192</v>
      </c>
      <c r="S15" s="15">
        <v>10</v>
      </c>
      <c r="T15" s="15"/>
    </row>
    <row r="16" spans="1:24">
      <c r="A16" s="15"/>
      <c r="B16" s="15" t="s">
        <v>498</v>
      </c>
      <c r="C16" s="15">
        <v>3</v>
      </c>
      <c r="D16" s="15" t="s">
        <v>476</v>
      </c>
      <c r="E16" s="15" t="s">
        <v>138</v>
      </c>
      <c r="F16" s="15" t="s">
        <v>499</v>
      </c>
      <c r="G16" s="15"/>
      <c r="H16" s="15">
        <v>1</v>
      </c>
      <c r="I16" s="15">
        <v>5</v>
      </c>
      <c r="J16" s="15"/>
      <c r="K16" s="15"/>
      <c r="L16" s="15">
        <v>15</v>
      </c>
      <c r="M16" s="15" t="s">
        <v>477</v>
      </c>
      <c r="N16" s="15"/>
      <c r="O16" s="15"/>
      <c r="P16" s="15" t="s">
        <v>497</v>
      </c>
      <c r="Q16" s="15" t="s">
        <v>179</v>
      </c>
      <c r="R16" s="15">
        <v>1</v>
      </c>
      <c r="S16" s="15">
        <v>10</v>
      </c>
      <c r="T16" s="15"/>
    </row>
    <row r="17" spans="1:20">
      <c r="A17" s="15"/>
      <c r="B17" s="15" t="s">
        <v>500</v>
      </c>
      <c r="C17" s="15" t="s">
        <v>364</v>
      </c>
      <c r="D17" s="15" t="s">
        <v>350</v>
      </c>
      <c r="E17" s="15" t="s">
        <v>501</v>
      </c>
      <c r="F17" s="15" t="s">
        <v>502</v>
      </c>
      <c r="G17" s="15"/>
      <c r="H17" s="15" t="s">
        <v>192</v>
      </c>
      <c r="I17" s="15" t="s">
        <v>503</v>
      </c>
      <c r="J17" s="15"/>
      <c r="K17" s="15"/>
      <c r="L17" s="15" t="s">
        <v>504</v>
      </c>
      <c r="M17" s="15" t="s">
        <v>192</v>
      </c>
      <c r="N17" s="15"/>
      <c r="O17" s="15"/>
      <c r="P17" s="15" t="s">
        <v>478</v>
      </c>
      <c r="Q17" s="15" t="s">
        <v>979</v>
      </c>
      <c r="R17" s="15" t="s">
        <v>192</v>
      </c>
      <c r="S17" s="15">
        <v>5</v>
      </c>
      <c r="T17" s="15"/>
    </row>
    <row r="18" spans="1:20">
      <c r="A18" s="15"/>
      <c r="B18" s="15" t="s">
        <v>505</v>
      </c>
      <c r="C18" s="15" t="s">
        <v>364</v>
      </c>
      <c r="D18" s="15" t="s">
        <v>506</v>
      </c>
      <c r="E18" s="15" t="s">
        <v>507</v>
      </c>
      <c r="F18" s="15" t="s">
        <v>473</v>
      </c>
      <c r="G18" s="15"/>
      <c r="H18" s="15" t="s">
        <v>192</v>
      </c>
      <c r="I18" s="15" t="s">
        <v>192</v>
      </c>
      <c r="J18" s="15"/>
      <c r="K18" s="15"/>
      <c r="L18" s="15" t="s">
        <v>508</v>
      </c>
      <c r="M18" s="15" t="s">
        <v>192</v>
      </c>
      <c r="N18" s="15"/>
      <c r="O18" s="15"/>
      <c r="P18" s="15" t="s">
        <v>497</v>
      </c>
      <c r="Q18" s="15" t="s">
        <v>509</v>
      </c>
      <c r="R18" s="15" t="s">
        <v>192</v>
      </c>
      <c r="S18" s="15">
        <v>10</v>
      </c>
      <c r="T18" s="15"/>
    </row>
    <row r="19" spans="1:20">
      <c r="A19" s="15"/>
      <c r="B19" s="15" t="s">
        <v>510</v>
      </c>
      <c r="C19" s="15" t="s">
        <v>364</v>
      </c>
      <c r="D19" s="15" t="s">
        <v>360</v>
      </c>
      <c r="E19" s="15" t="s">
        <v>495</v>
      </c>
      <c r="F19" s="15" t="s">
        <v>470</v>
      </c>
      <c r="G19" s="15"/>
      <c r="H19" s="15" t="s">
        <v>192</v>
      </c>
      <c r="I19" s="15" t="s">
        <v>192</v>
      </c>
      <c r="J19" s="15"/>
      <c r="K19" s="15"/>
      <c r="L19" s="15" t="s">
        <v>490</v>
      </c>
      <c r="M19" s="15" t="s">
        <v>364</v>
      </c>
      <c r="N19" s="15"/>
      <c r="O19" s="15"/>
      <c r="P19" s="15" t="s">
        <v>511</v>
      </c>
      <c r="Q19" s="15" t="s">
        <v>493</v>
      </c>
      <c r="R19" s="15" t="s">
        <v>192</v>
      </c>
      <c r="S19" s="15">
        <v>15</v>
      </c>
      <c r="T19" s="15"/>
    </row>
    <row r="20" spans="1:20">
      <c r="A20" s="15"/>
      <c r="B20" s="15" t="s">
        <v>512</v>
      </c>
      <c r="C20" s="15" t="s">
        <v>364</v>
      </c>
      <c r="D20" s="15" t="s">
        <v>513</v>
      </c>
      <c r="E20" s="15" t="s">
        <v>514</v>
      </c>
      <c r="F20" s="15" t="s">
        <v>515</v>
      </c>
      <c r="G20" s="15"/>
      <c r="H20" s="15" t="s">
        <v>192</v>
      </c>
      <c r="I20" s="15" t="s">
        <v>503</v>
      </c>
      <c r="J20" s="15"/>
      <c r="K20" s="15"/>
      <c r="L20" s="15" t="s">
        <v>516</v>
      </c>
      <c r="M20" s="15" t="s">
        <v>477</v>
      </c>
      <c r="N20" s="15"/>
      <c r="O20" s="15"/>
      <c r="P20" s="15" t="s">
        <v>511</v>
      </c>
      <c r="Q20" s="15" t="s">
        <v>979</v>
      </c>
      <c r="R20" s="15" t="s">
        <v>192</v>
      </c>
      <c r="S20" s="15">
        <v>15</v>
      </c>
      <c r="T20" s="15"/>
    </row>
    <row r="21" spans="1:20">
      <c r="A21" s="15"/>
      <c r="B21" s="15" t="s">
        <v>382</v>
      </c>
      <c r="C21" s="15" t="s">
        <v>364</v>
      </c>
      <c r="D21" s="15" t="s">
        <v>517</v>
      </c>
      <c r="E21" s="15" t="s">
        <v>974</v>
      </c>
      <c r="F21" s="15" t="s">
        <v>518</v>
      </c>
      <c r="G21" s="15"/>
      <c r="H21" s="15" t="s">
        <v>192</v>
      </c>
      <c r="I21" s="15" t="s">
        <v>192</v>
      </c>
      <c r="J21" s="15"/>
      <c r="K21" s="15"/>
      <c r="L21" s="15" t="s">
        <v>519</v>
      </c>
      <c r="M21" s="15" t="s">
        <v>520</v>
      </c>
      <c r="N21" s="15"/>
      <c r="O21" s="15"/>
      <c r="P21" s="15" t="s">
        <v>511</v>
      </c>
      <c r="Q21" s="15" t="s">
        <v>493</v>
      </c>
      <c r="R21" s="15" t="s">
        <v>192</v>
      </c>
      <c r="S21" s="15">
        <v>15</v>
      </c>
      <c r="T21" s="15"/>
    </row>
    <row r="22" spans="1:20">
      <c r="A22" s="15"/>
      <c r="B22" s="15" t="s">
        <v>383</v>
      </c>
      <c r="C22" s="15" t="s">
        <v>364</v>
      </c>
      <c r="D22" s="15" t="s">
        <v>480</v>
      </c>
      <c r="E22" s="15" t="s">
        <v>65</v>
      </c>
      <c r="F22" s="15" t="s">
        <v>474</v>
      </c>
      <c r="G22" s="15"/>
      <c r="H22" s="15" t="s">
        <v>192</v>
      </c>
      <c r="I22" s="15" t="s">
        <v>192</v>
      </c>
      <c r="J22" s="15"/>
      <c r="K22" s="15"/>
      <c r="L22" s="15" t="s">
        <v>192</v>
      </c>
      <c r="M22" s="15" t="s">
        <v>192</v>
      </c>
      <c r="N22" s="15"/>
      <c r="O22" s="15"/>
      <c r="P22" s="15" t="s">
        <v>497</v>
      </c>
      <c r="Q22" s="15" t="s">
        <v>482</v>
      </c>
      <c r="R22" s="15" t="s">
        <v>192</v>
      </c>
      <c r="S22" s="15">
        <v>10</v>
      </c>
      <c r="T22" s="15"/>
    </row>
    <row r="23" spans="1:20">
      <c r="A23" s="15"/>
      <c r="B23" s="15" t="s">
        <v>384</v>
      </c>
      <c r="C23" s="15" t="s">
        <v>364</v>
      </c>
      <c r="D23" s="15" t="s">
        <v>360</v>
      </c>
      <c r="E23" s="15" t="s">
        <v>975</v>
      </c>
      <c r="F23" s="15" t="s">
        <v>521</v>
      </c>
      <c r="G23" s="15"/>
      <c r="H23" s="15" t="s">
        <v>192</v>
      </c>
      <c r="I23" s="15" t="s">
        <v>192</v>
      </c>
      <c r="J23" s="15"/>
      <c r="K23" s="15"/>
      <c r="L23" s="15" t="s">
        <v>490</v>
      </c>
      <c r="M23" s="15" t="s">
        <v>503</v>
      </c>
      <c r="N23" s="15"/>
      <c r="O23" s="15"/>
      <c r="P23" s="15" t="s">
        <v>522</v>
      </c>
      <c r="Q23" s="15" t="s">
        <v>493</v>
      </c>
      <c r="R23" s="15" t="s">
        <v>192</v>
      </c>
      <c r="S23" s="15">
        <v>20</v>
      </c>
      <c r="T23" s="15"/>
    </row>
    <row r="24" spans="1:20">
      <c r="A24" s="15"/>
      <c r="B24" s="15" t="s">
        <v>385</v>
      </c>
      <c r="C24" s="15" t="s">
        <v>364</v>
      </c>
      <c r="D24" s="15" t="s">
        <v>480</v>
      </c>
      <c r="E24" s="15" t="s">
        <v>523</v>
      </c>
      <c r="F24" s="15" t="s">
        <v>472</v>
      </c>
      <c r="G24" s="15"/>
      <c r="H24" s="15" t="s">
        <v>192</v>
      </c>
      <c r="I24" s="15" t="s">
        <v>192</v>
      </c>
      <c r="J24" s="15"/>
      <c r="K24" s="15"/>
      <c r="L24" s="15" t="s">
        <v>524</v>
      </c>
      <c r="M24" s="15" t="s">
        <v>525</v>
      </c>
      <c r="N24" s="15"/>
      <c r="O24" s="15"/>
      <c r="P24" s="15" t="s">
        <v>511</v>
      </c>
      <c r="Q24" s="15" t="s">
        <v>493</v>
      </c>
      <c r="R24" s="15" t="s">
        <v>192</v>
      </c>
      <c r="S24" s="15">
        <v>15</v>
      </c>
      <c r="T24" s="15"/>
    </row>
    <row r="25" spans="1:20">
      <c r="A25" s="15"/>
      <c r="B25" s="15" t="s">
        <v>526</v>
      </c>
      <c r="C25" s="15" t="s">
        <v>364</v>
      </c>
      <c r="D25" s="15" t="s">
        <v>517</v>
      </c>
      <c r="E25" s="15" t="s">
        <v>973</v>
      </c>
      <c r="F25" s="15" t="s">
        <v>471</v>
      </c>
      <c r="G25" s="15"/>
      <c r="H25" s="15" t="s">
        <v>192</v>
      </c>
      <c r="I25" s="15" t="s">
        <v>192</v>
      </c>
      <c r="J25" s="15"/>
      <c r="K25" s="15"/>
      <c r="L25" s="15" t="s">
        <v>519</v>
      </c>
      <c r="M25" s="15" t="s">
        <v>527</v>
      </c>
      <c r="N25" s="15"/>
      <c r="O25" s="15"/>
      <c r="P25" s="15" t="s">
        <v>528</v>
      </c>
      <c r="Q25" s="15" t="s">
        <v>493</v>
      </c>
      <c r="R25" s="15" t="s">
        <v>192</v>
      </c>
      <c r="S25" s="15">
        <v>30</v>
      </c>
      <c r="T25" s="15"/>
    </row>
  </sheetData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C5"/>
  <sheetViews>
    <sheetView workbookViewId="0">
      <selection activeCell="C16" sqref="C16"/>
    </sheetView>
  </sheetViews>
  <sheetFormatPr defaultColWidth="9" defaultRowHeight="13.5"/>
  <cols>
    <col min="1" max="1" width="13.75" customWidth="1"/>
    <col min="2" max="2" width="19.375" customWidth="1"/>
    <col min="3" max="3" width="17.125" customWidth="1"/>
  </cols>
  <sheetData>
    <row r="1" spans="1:3" ht="24.95" customHeight="1">
      <c r="A1" t="s">
        <v>44</v>
      </c>
      <c r="B1" t="s">
        <v>45</v>
      </c>
      <c r="C1" t="s">
        <v>46</v>
      </c>
    </row>
    <row r="2" spans="1:3" ht="15" customHeight="1">
      <c r="A2" t="s">
        <v>47</v>
      </c>
      <c r="B2" t="s">
        <v>48</v>
      </c>
      <c r="C2">
        <v>1</v>
      </c>
    </row>
    <row r="3" spans="1:3" ht="15" customHeight="1">
      <c r="A3" t="s">
        <v>49</v>
      </c>
      <c r="B3" t="s">
        <v>50</v>
      </c>
      <c r="C3">
        <v>2</v>
      </c>
    </row>
    <row r="5" spans="1:3" ht="15" customHeight="1"/>
  </sheetData>
  <phoneticPr fontId="7" type="noConversion"/>
  <pageMargins left="0.75" right="0.75" top="1" bottom="1" header="0.51180555555555596" footer="0.51180555555555596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BI96"/>
  <sheetViews>
    <sheetView topLeftCell="A22" workbookViewId="0">
      <selection activeCell="D50" sqref="D50"/>
    </sheetView>
  </sheetViews>
  <sheetFormatPr defaultRowHeight="13.5"/>
  <cols>
    <col min="1" max="1" width="5.125" customWidth="1"/>
    <col min="2" max="2" width="44.5" bestFit="1" customWidth="1"/>
    <col min="3" max="3" width="31.625" customWidth="1"/>
    <col min="4" max="4" width="13.75" customWidth="1"/>
    <col min="5" max="5" width="10.375" customWidth="1"/>
    <col min="7" max="7" width="1.25" customWidth="1"/>
    <col min="8" max="8" width="50.5" bestFit="1" customWidth="1"/>
    <col min="9" max="9" width="1" customWidth="1"/>
    <col min="10" max="10" width="39.625" bestFit="1" customWidth="1"/>
    <col min="12" max="12" width="1.125" customWidth="1"/>
    <col min="13" max="13" width="114.75" bestFit="1" customWidth="1"/>
    <col min="15" max="15" width="1.5" customWidth="1"/>
    <col min="16" max="16" width="124.625" bestFit="1" customWidth="1"/>
    <col min="18" max="18" width="1.375" customWidth="1"/>
    <col min="19" max="19" width="71.75" bestFit="1" customWidth="1"/>
    <col min="60" max="16384" width="9" style="4"/>
  </cols>
  <sheetData>
    <row r="1" spans="1:61" ht="15" customHeight="1">
      <c r="A1" s="7" t="s">
        <v>51</v>
      </c>
      <c r="B1" s="7" t="s">
        <v>0</v>
      </c>
      <c r="C1" s="7" t="s">
        <v>631</v>
      </c>
      <c r="D1" s="7" t="s">
        <v>1</v>
      </c>
      <c r="E1" s="11"/>
    </row>
    <row r="2" spans="1:61" ht="15" customHeight="1">
      <c r="A2" s="182" t="s">
        <v>632</v>
      </c>
      <c r="B2" s="8" t="s">
        <v>633</v>
      </c>
      <c r="C2" s="9" t="s">
        <v>634</v>
      </c>
      <c r="D2" s="10">
        <v>1</v>
      </c>
      <c r="G2" s="14"/>
      <c r="H2" s="14" t="str">
        <f>CONCATENATE("optional uint32 ",LOWER(C2))</f>
        <v>optional uint32 gold_reach</v>
      </c>
      <c r="I2" s="14"/>
      <c r="J2" s="14" t="e">
        <f>CONCATENATE("= ",#REF!,"; //",B2)</f>
        <v>#REF!</v>
      </c>
      <c r="L2" s="14"/>
      <c r="M2" s="14" t="e">
        <f>CONCATENATE(C2," = {ID = ",#REF!,", NAME = """,LOWER(C2),"""}, --",B2)</f>
        <v>#REF!</v>
      </c>
      <c r="O2" s="14"/>
      <c r="P2" s="14" t="str">
        <f>CONCATENATE("[MainTaskCondition.",C2,"] = mainInfo.",LOWER(C2),", --",B2)</f>
        <v>[MainTaskCondition.GOLD_REACH] = mainInfo.gold_reach, --金币总量达到</v>
      </c>
      <c r="R2" s="14"/>
      <c r="S2" s="14" t="str">
        <f>CONCATENATE(LOWER(C2)," = 0, --",B2)</f>
        <v>gold_reach = 0, --金币总量达到</v>
      </c>
    </row>
    <row r="3" spans="1:61" ht="15" customHeight="1">
      <c r="A3" s="183"/>
      <c r="B3" s="8" t="s">
        <v>635</v>
      </c>
      <c r="C3" s="9" t="s">
        <v>636</v>
      </c>
      <c r="D3" s="10">
        <v>2</v>
      </c>
      <c r="G3" s="14"/>
      <c r="H3" s="14" t="str">
        <f t="shared" ref="H3:H31" si="0">CONCATENATE("optional uint32 ",LOWER(C3))</f>
        <v>optional uint32 honor_reach</v>
      </c>
      <c r="I3" s="14"/>
      <c r="J3" s="14" t="e">
        <f>CONCATENATE("= ",#REF!,"; //",B3)</f>
        <v>#REF!</v>
      </c>
      <c r="L3" s="14"/>
      <c r="M3" s="14" t="e">
        <f>CONCATENATE(C3," = {ID = ",#REF!,", NAME = """,LOWER(C3),"""}, --",B3)</f>
        <v>#REF!</v>
      </c>
      <c r="O3" s="14"/>
      <c r="P3" s="14" t="str">
        <f t="shared" ref="P3:P31" si="1">CONCATENATE("[MainTaskCondition.",C3,"] = mainInfo.",LOWER(C3),", --",B3)</f>
        <v>[MainTaskCondition.HONOR_REACH] = mainInfo.honor_reach, --荣誉总量达到</v>
      </c>
      <c r="R3" s="14"/>
      <c r="S3" s="14" t="str">
        <f t="shared" ref="S3:S31" si="2">CONCATENATE(LOWER(C3)," = 0, --",B3)</f>
        <v>honor_reach = 0, --荣誉总量达到</v>
      </c>
    </row>
    <row r="4" spans="1:61" ht="15" customHeight="1">
      <c r="A4" s="183"/>
      <c r="B4" s="8" t="s">
        <v>637</v>
      </c>
      <c r="C4" s="9" t="s">
        <v>638</v>
      </c>
      <c r="D4" s="10">
        <v>3</v>
      </c>
      <c r="G4" s="14"/>
      <c r="H4" s="14" t="str">
        <f t="shared" si="0"/>
        <v>optional uint32 diamond_earned_reach</v>
      </c>
      <c r="I4" s="14"/>
      <c r="J4" s="14" t="e">
        <f>CONCATENATE("= ",#REF!,"; //",B4)</f>
        <v>#REF!</v>
      </c>
      <c r="L4" s="14"/>
      <c r="M4" s="14" t="e">
        <f>CONCATENATE(C4," = {ID = ",#REF!,", NAME = """,LOWER(C4),"""}, --",B4)</f>
        <v>#REF!</v>
      </c>
      <c r="O4" s="14"/>
      <c r="P4" s="14" t="str">
        <f t="shared" si="1"/>
        <v>[MainTaskCondition.DIAMOND_EARNED_REACH] = mainInfo.diamond_earned_reach, --游戏中获得的钻石总量达到</v>
      </c>
      <c r="R4" s="14"/>
      <c r="S4" s="14" t="str">
        <f t="shared" si="2"/>
        <v>diamond_earned_reach = 0, --游戏中获得的钻石总量达到</v>
      </c>
    </row>
    <row r="5" spans="1:61" ht="15" customHeight="1">
      <c r="A5" s="183"/>
      <c r="B5" s="8" t="s">
        <v>639</v>
      </c>
      <c r="C5" s="9" t="s">
        <v>640</v>
      </c>
      <c r="D5" s="10">
        <v>4</v>
      </c>
      <c r="G5" s="14"/>
      <c r="H5" s="14" t="str">
        <f t="shared" si="0"/>
        <v>optional uint32 regular_winning_streak</v>
      </c>
      <c r="I5" s="14"/>
      <c r="J5" s="14" t="e">
        <f>CONCATENATE("= ",#REF!,"; //",B5)</f>
        <v>#REF!</v>
      </c>
      <c r="L5" s="14"/>
      <c r="M5" s="14" t="e">
        <f>CONCATENATE(C5," = {ID = ",#REF!,", NAME = """,LOWER(C5),"""}, --",B5)</f>
        <v>#REF!</v>
      </c>
      <c r="O5" s="14"/>
      <c r="P5" s="14" t="str">
        <f t="shared" si="1"/>
        <v>[MainTaskCondition.REGULAR_WINNING_STREAK] = mainInfo.regular_winning_streak, --荣誉争霸赛中获得X连胜</v>
      </c>
      <c r="R5" s="14"/>
      <c r="S5" s="14" t="str">
        <f t="shared" si="2"/>
        <v>regular_winning_streak = 0, --荣誉争霸赛中获得X连胜</v>
      </c>
    </row>
    <row r="6" spans="1:61" ht="15" customHeight="1">
      <c r="A6" s="183"/>
      <c r="B6" s="8" t="s">
        <v>641</v>
      </c>
      <c r="C6" s="9" t="s">
        <v>642</v>
      </c>
      <c r="D6" s="10">
        <v>5</v>
      </c>
      <c r="G6" s="14"/>
      <c r="H6" s="14" t="str">
        <f t="shared" si="0"/>
        <v>optional uint32 complete_section</v>
      </c>
      <c r="I6" s="14"/>
      <c r="J6" s="14" t="e">
        <f>CONCATENATE("= ",#REF!,"; //",B6)</f>
        <v>#REF!</v>
      </c>
      <c r="L6" s="14"/>
      <c r="M6" s="14" t="e">
        <f>CONCATENATE(C6," = {ID = ",#REF!,", NAME = """,LOWER(C6),"""}, --",B6)</f>
        <v>#REF!</v>
      </c>
      <c r="O6" s="14"/>
      <c r="P6" s="14" t="str">
        <f t="shared" si="1"/>
        <v>[MainTaskCondition.COMPLETE_SECTION] = mainInfo.complete_section, --通关生涯模式X关卡</v>
      </c>
      <c r="R6" s="14"/>
      <c r="S6" s="14" t="str">
        <f t="shared" si="2"/>
        <v>complete_section = 0, --通关生涯模式X关卡</v>
      </c>
    </row>
    <row r="7" spans="1:61" ht="15" customHeight="1">
      <c r="A7" s="183"/>
      <c r="B7" s="8" t="s">
        <v>643</v>
      </c>
      <c r="C7" s="9" t="s">
        <v>644</v>
      </c>
      <c r="D7" s="10">
        <v>6</v>
      </c>
      <c r="G7" s="14"/>
      <c r="H7" s="14" t="str">
        <f t="shared" si="0"/>
        <v>optional uint32 team_level_reach</v>
      </c>
      <c r="I7" s="14"/>
      <c r="J7" s="14" t="e">
        <f>CONCATENATE("= ",#REF!,"; //",B7)</f>
        <v>#REF!</v>
      </c>
      <c r="L7" s="14"/>
      <c r="M7" s="14" t="e">
        <f>CONCATENATE(C7," = {ID = ",#REF!,", NAME = """,LOWER(C7),"""}, --",B7)</f>
        <v>#REF!</v>
      </c>
      <c r="O7" s="14"/>
      <c r="P7" s="14" t="str">
        <f t="shared" si="1"/>
        <v>[MainTaskCondition.TEAM_LEVEL_REACH] = mainInfo.team_level_reach, --队伍等级达到X级</v>
      </c>
      <c r="R7" s="14"/>
      <c r="S7" s="14" t="str">
        <f t="shared" si="2"/>
        <v>team_level_reach = 0, --队伍等级达到X级</v>
      </c>
    </row>
    <row r="8" spans="1:61" ht="15" customHeight="1">
      <c r="A8" s="183"/>
      <c r="B8" s="8" t="s">
        <v>645</v>
      </c>
      <c r="C8" s="9" t="s">
        <v>646</v>
      </c>
      <c r="D8" s="10">
        <v>7</v>
      </c>
      <c r="G8" s="14"/>
      <c r="H8" s="14" t="str">
        <f t="shared" si="0"/>
        <v>optional uint32 role_num_reach</v>
      </c>
      <c r="I8" s="14"/>
      <c r="J8" s="14" t="e">
        <f>CONCATENATE("= ",#REF!,"; //",B8)</f>
        <v>#REF!</v>
      </c>
      <c r="L8" s="14"/>
      <c r="M8" s="14" t="e">
        <f>CONCATENATE(C8," = {ID = ",#REF!,", NAME = """,LOWER(C8),"""}, --",B8)</f>
        <v>#REF!</v>
      </c>
      <c r="O8" s="14"/>
      <c r="P8" s="14" t="str">
        <f t="shared" si="1"/>
        <v>[MainTaskCondition.ROLE_NUM_REACH] = mainInfo.role_num_reach, --球员数量达到</v>
      </c>
      <c r="R8" s="14"/>
      <c r="S8" s="14" t="str">
        <f t="shared" si="2"/>
        <v>role_num_reach = 0, --球员数量达到</v>
      </c>
    </row>
    <row r="9" spans="1:61" ht="15" customHeight="1">
      <c r="A9" s="183"/>
      <c r="B9" s="8" t="s">
        <v>647</v>
      </c>
      <c r="C9" s="9" t="s">
        <v>648</v>
      </c>
      <c r="D9" s="10">
        <v>8</v>
      </c>
      <c r="G9" s="14"/>
      <c r="H9" s="14" t="str">
        <f t="shared" si="0"/>
        <v>optional uint32 role_level_reach</v>
      </c>
      <c r="I9" s="14"/>
      <c r="J9" s="14" t="e">
        <f>CONCATENATE("= ",#REF!,"; //",B9)</f>
        <v>#REF!</v>
      </c>
      <c r="L9" s="14"/>
      <c r="M9" s="14" t="e">
        <f>CONCATENATE(C9," = {ID = ",#REF!,", NAME = """,LOWER(C9),"""}, --",B9)</f>
        <v>#REF!</v>
      </c>
      <c r="O9" s="14"/>
      <c r="P9" s="14" t="str">
        <f t="shared" si="1"/>
        <v>[MainTaskCondition.ROLE_LEVEL_REACH] = mainInfo.role_level_reach, --球员的等级达到</v>
      </c>
      <c r="R9" s="14"/>
      <c r="S9" s="14" t="str">
        <f t="shared" si="2"/>
        <v>role_level_reach = 0, --球员的等级达到</v>
      </c>
      <c r="BH9"/>
      <c r="BI9"/>
    </row>
    <row r="10" spans="1:61" ht="15" customHeight="1">
      <c r="A10" s="183"/>
      <c r="B10" s="8" t="s">
        <v>649</v>
      </c>
      <c r="C10" s="9" t="s">
        <v>650</v>
      </c>
      <c r="D10" s="10">
        <v>9</v>
      </c>
      <c r="G10" s="14"/>
      <c r="H10" s="14" t="str">
        <f t="shared" si="0"/>
        <v>optional uint32 role_star_reach</v>
      </c>
      <c r="I10" s="14"/>
      <c r="J10" s="14" t="e">
        <f>CONCATENATE("= ",#REF!,"; //",B10)</f>
        <v>#REF!</v>
      </c>
      <c r="L10" s="14"/>
      <c r="M10" s="14" t="e">
        <f>CONCATENATE(C10," = {ID = ",#REF!,", NAME = """,LOWER(C10),"""}, --",B10)</f>
        <v>#REF!</v>
      </c>
      <c r="O10" s="14"/>
      <c r="P10" s="14" t="str">
        <f t="shared" si="1"/>
        <v>[MainTaskCondition.ROLE_STAR_REACH] = mainInfo.role_star_reach, --球员的强化达到</v>
      </c>
      <c r="R10" s="14"/>
      <c r="S10" s="14" t="str">
        <f t="shared" si="2"/>
        <v>role_star_reach = 0, --球员的强化达到</v>
      </c>
      <c r="BH10"/>
      <c r="BI10"/>
    </row>
    <row r="11" spans="1:61" ht="15" customHeight="1">
      <c r="A11" s="183"/>
      <c r="B11" s="8" t="s">
        <v>651</v>
      </c>
      <c r="C11" s="9" t="s">
        <v>652</v>
      </c>
      <c r="D11" s="10">
        <v>10</v>
      </c>
      <c r="G11" s="14"/>
      <c r="H11" s="14" t="str">
        <f t="shared" si="0"/>
        <v>optional uint32 role_quality_reach</v>
      </c>
      <c r="I11" s="14"/>
      <c r="J11" s="14" t="e">
        <f>CONCATENATE("= ",#REF!,"; //",B11)</f>
        <v>#REF!</v>
      </c>
      <c r="L11" s="14"/>
      <c r="M11" s="14" t="e">
        <f>CONCATENATE(C11," = {ID = ",#REF!,", NAME = """,LOWER(C11),"""}, --",B11)</f>
        <v>#REF!</v>
      </c>
      <c r="O11" s="14"/>
      <c r="P11" s="14" t="str">
        <f t="shared" si="1"/>
        <v>[MainTaskCondition.ROLE_QUALITY_REACH] = mainInfo.role_quality_reach, --球员的品质达到</v>
      </c>
      <c r="R11" s="14"/>
      <c r="S11" s="14" t="str">
        <f t="shared" si="2"/>
        <v>role_quality_reach = 0, --球员的品质达到</v>
      </c>
      <c r="BH11"/>
      <c r="BI11"/>
    </row>
    <row r="12" spans="1:61" ht="15" customHeight="1">
      <c r="A12" s="183"/>
      <c r="B12" s="8" t="s">
        <v>653</v>
      </c>
      <c r="C12" s="9" t="s">
        <v>654</v>
      </c>
      <c r="D12" s="10">
        <v>11</v>
      </c>
      <c r="G12" s="14"/>
      <c r="H12" s="14" t="str">
        <f t="shared" si="0"/>
        <v>optional uint32 role_talent_reach</v>
      </c>
      <c r="I12" s="14"/>
      <c r="J12" s="14" t="e">
        <f>CONCATENATE("= ",#REF!,"; //",B12)</f>
        <v>#REF!</v>
      </c>
      <c r="L12" s="14"/>
      <c r="M12" s="14" t="e">
        <f>CONCATENATE(C12," = {ID = ",#REF!,", NAME = """,LOWER(C12),"""}, --",B12)</f>
        <v>#REF!</v>
      </c>
      <c r="O12" s="14"/>
      <c r="P12" s="14" t="str">
        <f t="shared" si="1"/>
        <v>[MainTaskCondition.ROLE_TALENT_REACH] = mainInfo.role_talent_reach, --球员的天资达到</v>
      </c>
      <c r="R12" s="14"/>
      <c r="S12" s="14" t="str">
        <f t="shared" si="2"/>
        <v>role_talent_reach = 0, --球员的天资达到</v>
      </c>
      <c r="BH12"/>
      <c r="BI12"/>
    </row>
    <row r="13" spans="1:61" ht="15" customHeight="1">
      <c r="A13" s="183"/>
      <c r="B13" s="8" t="s">
        <v>655</v>
      </c>
      <c r="C13" s="9" t="s">
        <v>656</v>
      </c>
      <c r="D13" s="10">
        <v>12</v>
      </c>
      <c r="G13" s="14"/>
      <c r="H13" s="14" t="str">
        <f t="shared" si="0"/>
        <v>optional uint32 role_exercise_reach</v>
      </c>
      <c r="I13" s="14"/>
      <c r="J13" s="14" t="e">
        <f>CONCATENATE("= ",#REF!,"; //",B13)</f>
        <v>#REF!</v>
      </c>
      <c r="L13" s="14"/>
      <c r="M13" s="14" t="e">
        <f>CONCATENATE(C13," = {ID = ",#REF!,", NAME = """,LOWER(C13),"""}, --",B13)</f>
        <v>#REF!</v>
      </c>
      <c r="O13" s="14"/>
      <c r="P13" s="14" t="str">
        <f t="shared" si="1"/>
        <v>[MainTaskCondition.ROLE_EXERCISE_REACH] = mainInfo.role_exercise_reach, --球员的任意训练项达到</v>
      </c>
      <c r="R13" s="14"/>
      <c r="S13" s="14" t="str">
        <f t="shared" si="2"/>
        <v>role_exercise_reach = 0, --球员的任意训练项达到</v>
      </c>
      <c r="BH13"/>
      <c r="BI13"/>
    </row>
    <row r="14" spans="1:61">
      <c r="A14" s="183"/>
      <c r="B14" s="3" t="s">
        <v>657</v>
      </c>
      <c r="C14" s="9" t="s">
        <v>658</v>
      </c>
      <c r="D14" s="10">
        <v>13</v>
      </c>
      <c r="G14" s="14"/>
      <c r="H14" s="14" t="str">
        <f t="shared" si="0"/>
        <v>optional uint32 freestyle_level_reach</v>
      </c>
      <c r="I14" s="14"/>
      <c r="J14" s="14" t="e">
        <f>CONCATENATE("= ",#REF!,"; //",B14)</f>
        <v>#REF!</v>
      </c>
      <c r="L14" s="14"/>
      <c r="M14" s="14" t="e">
        <f>CONCATENATE(C14," = {ID = ",#REF!,", NAME = """,LOWER(C14),"""}, --",B14)</f>
        <v>#REF!</v>
      </c>
      <c r="O14" s="14"/>
      <c r="P14" s="14" t="str">
        <f t="shared" si="1"/>
        <v>[MainTaskCondition.FREESTYLE_LEVEL_REACH] = mainInfo.freestyle_level_reach, --花式技能升级到X级</v>
      </c>
      <c r="R14" s="14"/>
      <c r="S14" s="14" t="str">
        <f t="shared" si="2"/>
        <v>freestyle_level_reach = 0, --花式技能升级到X级</v>
      </c>
    </row>
    <row r="15" spans="1:61">
      <c r="A15" s="183"/>
      <c r="B15" s="3" t="s">
        <v>659</v>
      </c>
      <c r="C15" s="9" t="s">
        <v>660</v>
      </c>
      <c r="D15" s="10">
        <v>14</v>
      </c>
      <c r="G15" s="14"/>
      <c r="H15" s="14" t="str">
        <f t="shared" si="0"/>
        <v>optional uint32 skill_level_reach</v>
      </c>
      <c r="I15" s="14"/>
      <c r="J15" s="14" t="e">
        <f>CONCATENATE("= ",#REF!,"; //",B15)</f>
        <v>#REF!</v>
      </c>
      <c r="L15" s="14"/>
      <c r="M15" s="14" t="e">
        <f>CONCATENATE(C15," = {ID = ",#REF!,", NAME = """,LOWER(C15),"""}, --",B15)</f>
        <v>#REF!</v>
      </c>
      <c r="O15" s="14"/>
      <c r="P15" s="14" t="str">
        <f t="shared" si="1"/>
        <v>[MainTaskCondition.SKILL_LEVEL_REACH] = mainInfo.skill_level_reach, --技能升级到X级</v>
      </c>
      <c r="R15" s="14"/>
      <c r="S15" s="14" t="str">
        <f t="shared" si="2"/>
        <v>skill_level_reach = 0, --技能升级到X级</v>
      </c>
    </row>
    <row r="16" spans="1:61">
      <c r="A16" s="183"/>
      <c r="B16" s="8" t="s">
        <v>661</v>
      </c>
      <c r="C16" s="9" t="s">
        <v>662</v>
      </c>
      <c r="D16" s="10">
        <v>15</v>
      </c>
      <c r="G16" s="14"/>
      <c r="H16" s="14" t="str">
        <f t="shared" si="0"/>
        <v>optional uint32 role_opened_skill_slot_reach</v>
      </c>
      <c r="I16" s="14"/>
      <c r="J16" s="14" t="e">
        <f>CONCATENATE("= ",#REF!,"; //",B16)</f>
        <v>#REF!</v>
      </c>
      <c r="L16" s="14"/>
      <c r="M16" s="14" t="e">
        <f>CONCATENATE(C16," = {ID = ",#REF!,", NAME = """,LOWER(C16),"""}, --",B16)</f>
        <v>#REF!</v>
      </c>
      <c r="O16" s="14"/>
      <c r="P16" s="14" t="str">
        <f t="shared" si="1"/>
        <v>[MainTaskCondition.ROLE_OPENED_SKILL_SLOT_REACH] = mainInfo.role_opened_skill_slot_reach, --开启技能槽X个</v>
      </c>
      <c r="R16" s="14"/>
      <c r="S16" s="14" t="str">
        <f t="shared" si="2"/>
        <v>role_opened_skill_slot_reach = 0, --开启技能槽X个</v>
      </c>
    </row>
    <row r="17" spans="1:19">
      <c r="A17" s="183"/>
      <c r="B17" s="8" t="s">
        <v>663</v>
      </c>
      <c r="C17" s="9" t="s">
        <v>664</v>
      </c>
      <c r="D17" s="10">
        <v>16</v>
      </c>
      <c r="G17" s="14"/>
      <c r="H17" s="14" t="str">
        <f t="shared" si="0"/>
        <v>optional uint32 regular_win_times_reach</v>
      </c>
      <c r="I17" s="14"/>
      <c r="J17" s="14" t="e">
        <f>CONCATENATE("= ",#REF!,"; //",B17)</f>
        <v>#REF!</v>
      </c>
      <c r="L17" s="14"/>
      <c r="M17" s="14" t="e">
        <f>CONCATENATE(C17," = {ID = ",#REF!,", NAME = """,LOWER(C17),"""}, --",B17)</f>
        <v>#REF!</v>
      </c>
      <c r="O17" s="14"/>
      <c r="P17" s="14" t="str">
        <f t="shared" si="1"/>
        <v>[MainTaskCondition.REGULAR_WIN_TIMES_REACH] = mainInfo.regular_win_times_reach, --荣誉争霸赛中胜利总次数达到</v>
      </c>
      <c r="R17" s="14"/>
      <c r="S17" s="14" t="str">
        <f t="shared" si="2"/>
        <v>regular_win_times_reach = 0, --荣誉争霸赛中胜利总次数达到</v>
      </c>
    </row>
    <row r="18" spans="1:19">
      <c r="A18" s="183"/>
      <c r="B18" s="8" t="s">
        <v>665</v>
      </c>
      <c r="C18" s="9" t="s">
        <v>666</v>
      </c>
      <c r="D18" s="10">
        <v>17</v>
      </c>
      <c r="G18" s="14"/>
      <c r="H18" s="14" t="str">
        <f t="shared" si="0"/>
        <v>optional uint32 captain_num_reach</v>
      </c>
      <c r="I18" s="14"/>
      <c r="J18" s="14" t="e">
        <f>CONCATENATE("= ",#REF!,"; //",B18)</f>
        <v>#REF!</v>
      </c>
      <c r="L18" s="14"/>
      <c r="M18" s="14" t="e">
        <f>CONCATENATE(C18," = {ID = ",#REF!,", NAME = """,LOWER(C18),"""}, --",B18)</f>
        <v>#REF!</v>
      </c>
      <c r="O18" s="14"/>
      <c r="P18" s="14" t="str">
        <f t="shared" si="1"/>
        <v>[MainTaskCondition.CAPTAIN_NUM_REACH] = mainInfo.captain_num_reach, --队长数量达到</v>
      </c>
      <c r="R18" s="14"/>
      <c r="S18" s="14" t="str">
        <f t="shared" si="2"/>
        <v>captain_num_reach = 0, --队长数量达到</v>
      </c>
    </row>
    <row r="19" spans="1:19">
      <c r="A19" s="183"/>
      <c r="B19" s="8" t="s">
        <v>667</v>
      </c>
      <c r="C19" s="9" t="s">
        <v>668</v>
      </c>
      <c r="D19" s="10">
        <v>18</v>
      </c>
      <c r="G19" s="14"/>
      <c r="H19" s="14" t="str">
        <f t="shared" si="0"/>
        <v>optional uint32 tattoo_num_reach</v>
      </c>
      <c r="I19" s="14"/>
      <c r="J19" s="14" t="e">
        <f>CONCATENATE("= ",#REF!,"; //",B19)</f>
        <v>#REF!</v>
      </c>
      <c r="L19" s="14"/>
      <c r="M19" s="14" t="e">
        <f>CONCATENATE(C19," = {ID = ",#REF!,", NAME = """,LOWER(C19),"""}, --",B19)</f>
        <v>#REF!</v>
      </c>
      <c r="O19" s="14"/>
      <c r="P19" s="14" t="str">
        <f t="shared" si="1"/>
        <v>[MainTaskCondition.TATTOO_NUM_REACH] = mainInfo.tattoo_num_reach, --纹身数量达到</v>
      </c>
      <c r="R19" s="14"/>
      <c r="S19" s="14" t="str">
        <f t="shared" si="2"/>
        <v>tattoo_num_reach = 0, --纹身数量达到</v>
      </c>
    </row>
    <row r="20" spans="1:19">
      <c r="A20" s="183"/>
      <c r="B20" s="8" t="s">
        <v>669</v>
      </c>
      <c r="C20" s="9" t="s">
        <v>670</v>
      </c>
      <c r="D20" s="10">
        <v>19</v>
      </c>
      <c r="G20" s="14"/>
      <c r="H20" s="14" t="str">
        <f t="shared" si="0"/>
        <v>optional uint32 tattoo_level_reach</v>
      </c>
      <c r="I20" s="14"/>
      <c r="J20" s="14" t="e">
        <f>CONCATENATE("= ",#REF!,"; //",B20)</f>
        <v>#REF!</v>
      </c>
      <c r="L20" s="14"/>
      <c r="M20" s="14" t="e">
        <f>CONCATENATE(C20," = {ID = ",#REF!,", NAME = """,LOWER(C20),"""}, --",B20)</f>
        <v>#REF!</v>
      </c>
      <c r="O20" s="14"/>
      <c r="P20" s="14" t="str">
        <f t="shared" si="1"/>
        <v>[MainTaskCondition.TATTOO_LEVEL_REACH] = mainInfo.tattoo_level_reach, --纹身的等级达到</v>
      </c>
      <c r="R20" s="14"/>
      <c r="S20" s="14" t="str">
        <f t="shared" si="2"/>
        <v>tattoo_level_reach = 0, --纹身的等级达到</v>
      </c>
    </row>
    <row r="21" spans="1:19">
      <c r="A21" s="183"/>
      <c r="B21" s="8" t="s">
        <v>671</v>
      </c>
      <c r="C21" s="9" t="s">
        <v>672</v>
      </c>
      <c r="D21" s="10">
        <v>20</v>
      </c>
      <c r="G21" s="14"/>
      <c r="H21" s="14" t="str">
        <f t="shared" si="0"/>
        <v>optional uint32 decompose_tattoo_num_reach</v>
      </c>
      <c r="I21" s="14"/>
      <c r="J21" s="14" t="e">
        <f>CONCATENATE("= ",#REF!,"; //",B21)</f>
        <v>#REF!</v>
      </c>
      <c r="L21" s="14"/>
      <c r="M21" s="14" t="e">
        <f>CONCATENATE(C21," = {ID = ",#REF!,", NAME = """,LOWER(C21),"""}, --",B21)</f>
        <v>#REF!</v>
      </c>
      <c r="O21" s="14"/>
      <c r="P21" s="14" t="str">
        <f t="shared" si="1"/>
        <v>[MainTaskCondition.DECOMPOSE_TATTOO_NUM_REACH] = mainInfo.decompose_tattoo_num_reach, --分解的纹身数量达到</v>
      </c>
      <c r="R21" s="14"/>
      <c r="S21" s="14" t="str">
        <f t="shared" si="2"/>
        <v>decompose_tattoo_num_reach = 0, --分解的纹身数量达到</v>
      </c>
    </row>
    <row r="22" spans="1:19">
      <c r="A22" s="183"/>
      <c r="B22" s="6" t="s">
        <v>673</v>
      </c>
      <c r="C22" s="9" t="s">
        <v>674</v>
      </c>
      <c r="D22" s="10">
        <v>21</v>
      </c>
      <c r="G22" s="14"/>
      <c r="H22" s="14" t="str">
        <f t="shared" si="0"/>
        <v>optional uint32 training_ph_levle_reach</v>
      </c>
      <c r="I22" s="14"/>
      <c r="J22" s="14" t="e">
        <f>CONCATENATE("= ",#REF!,"; //",B22)</f>
        <v>#REF!</v>
      </c>
      <c r="L22" s="14"/>
      <c r="M22" s="14" t="e">
        <f>CONCATENATE(C22," = {ID = ",#REF!,", NAME = """,LOWER(C22),"""}, --",B22)</f>
        <v>#REF!</v>
      </c>
      <c r="O22" s="14"/>
      <c r="P22" s="14" t="str">
        <f t="shared" si="1"/>
        <v>[MainTaskCondition.TRAINING_PH_LEVLE_REACH] = mainInfo.training_ph_levle_reach, --体能训练项目达到X级</v>
      </c>
      <c r="R22" s="14"/>
      <c r="S22" s="14" t="str">
        <f t="shared" si="2"/>
        <v>training_ph_levle_reach = 0, --体能训练项目达到X级</v>
      </c>
    </row>
    <row r="23" spans="1:19">
      <c r="A23" s="183"/>
      <c r="B23" s="6" t="s">
        <v>675</v>
      </c>
      <c r="C23" s="9" t="s">
        <v>676</v>
      </c>
      <c r="D23" s="10">
        <v>22</v>
      </c>
      <c r="G23" s="14"/>
      <c r="H23" s="14" t="str">
        <f t="shared" si="0"/>
        <v>optional uint32 training_strength_levle_reach</v>
      </c>
      <c r="I23" s="14"/>
      <c r="J23" s="14" t="e">
        <f>CONCATENATE("= ",#REF!,"; //",B23)</f>
        <v>#REF!</v>
      </c>
      <c r="L23" s="14"/>
      <c r="M23" s="14" t="e">
        <f>CONCATENATE(C23," = {ID = ",#REF!,", NAME = """,LOWER(C23),"""}, --",B23)</f>
        <v>#REF!</v>
      </c>
      <c r="O23" s="14"/>
      <c r="P23" s="14" t="str">
        <f t="shared" si="1"/>
        <v>[MainTaskCondition.TRAINING_STRENGTH_LEVLE_REACH] = mainInfo.training_strength_levle_reach, --力量训练项目达到X级</v>
      </c>
      <c r="R23" s="14"/>
      <c r="S23" s="14" t="str">
        <f t="shared" si="2"/>
        <v>training_strength_levle_reach = 0, --力量训练项目达到X级</v>
      </c>
    </row>
    <row r="24" spans="1:19">
      <c r="A24" s="183"/>
      <c r="B24" s="6" t="s">
        <v>677</v>
      </c>
      <c r="C24" s="9" t="s">
        <v>678</v>
      </c>
      <c r="D24" s="10">
        <v>23</v>
      </c>
      <c r="G24" s="14"/>
      <c r="H24" s="14" t="str">
        <f t="shared" si="0"/>
        <v>optional uint32 training_dunk_levle_reach</v>
      </c>
      <c r="I24" s="14"/>
      <c r="J24" s="14" t="e">
        <f>CONCATENATE("= ",#REF!,"; //",B24)</f>
        <v>#REF!</v>
      </c>
      <c r="L24" s="14"/>
      <c r="M24" s="14" t="e">
        <f>CONCATENATE(C24," = {ID = ",#REF!,", NAME = """,LOWER(C24),"""}, --",B24)</f>
        <v>#REF!</v>
      </c>
      <c r="O24" s="14"/>
      <c r="P24" s="14" t="str">
        <f t="shared" si="1"/>
        <v>[MainTaskCondition.TRAINING_DUNK_LEVLE_REACH] = mainInfo.training_dunk_levle_reach, --扣篮训练项目达到X级</v>
      </c>
      <c r="R24" s="14"/>
      <c r="S24" s="14" t="str">
        <f t="shared" si="2"/>
        <v>training_dunk_levle_reach = 0, --扣篮训练项目达到X级</v>
      </c>
    </row>
    <row r="25" spans="1:19">
      <c r="A25" s="183"/>
      <c r="B25" s="6" t="s">
        <v>679</v>
      </c>
      <c r="C25" s="9" t="s">
        <v>680</v>
      </c>
      <c r="D25" s="10">
        <v>24</v>
      </c>
      <c r="G25" s="14"/>
      <c r="H25" s="14" t="str">
        <f t="shared" si="0"/>
        <v>optional uint32 training_layup_levle_reach</v>
      </c>
      <c r="I25" s="14"/>
      <c r="J25" s="14" t="e">
        <f>CONCATENATE("= ",#REF!,"; //",B25)</f>
        <v>#REF!</v>
      </c>
      <c r="L25" s="14"/>
      <c r="M25" s="14" t="e">
        <f>CONCATENATE(C25," = {ID = ",#REF!,", NAME = """,LOWER(C25),"""}, --",B25)</f>
        <v>#REF!</v>
      </c>
      <c r="O25" s="14"/>
      <c r="P25" s="14" t="str">
        <f t="shared" si="1"/>
        <v>[MainTaskCondition.TRAINING_LAYUP_LEVLE_REACH] = mainInfo.training_layup_levle_reach, --上篮训练项目达到X级</v>
      </c>
      <c r="R25" s="14"/>
      <c r="S25" s="14" t="str">
        <f t="shared" si="2"/>
        <v>training_layup_levle_reach = 0, --上篮训练项目达到X级</v>
      </c>
    </row>
    <row r="26" spans="1:19">
      <c r="A26" s="183"/>
      <c r="B26" s="6" t="s">
        <v>681</v>
      </c>
      <c r="C26" s="9" t="s">
        <v>682</v>
      </c>
      <c r="D26" s="10">
        <v>25</v>
      </c>
      <c r="G26" s="14"/>
      <c r="H26" s="14" t="str">
        <f t="shared" si="0"/>
        <v>optional uint32 training_shoot_levle_reach</v>
      </c>
      <c r="I26" s="14"/>
      <c r="J26" s="14" t="e">
        <f>CONCATENATE("= ",#REF!,"; //",B26)</f>
        <v>#REF!</v>
      </c>
      <c r="L26" s="14"/>
      <c r="M26" s="14" t="e">
        <f>CONCATENATE(C26," = {ID = ",#REF!,", NAME = """,LOWER(C26),"""}, --",B26)</f>
        <v>#REF!</v>
      </c>
      <c r="O26" s="14"/>
      <c r="P26" s="14" t="str">
        <f t="shared" si="1"/>
        <v>[MainTaskCondition.TRAINING_SHOOT_LEVLE_REACH] = mainInfo.training_shoot_levle_reach, --投篮训练项目达到X级</v>
      </c>
      <c r="R26" s="14"/>
      <c r="S26" s="14" t="str">
        <f t="shared" si="2"/>
        <v>training_shoot_levle_reach = 0, --投篮训练项目达到X级</v>
      </c>
    </row>
    <row r="27" spans="1:19">
      <c r="A27" s="183"/>
      <c r="B27" s="6" t="s">
        <v>683</v>
      </c>
      <c r="C27" s="9" t="s">
        <v>684</v>
      </c>
      <c r="D27" s="10">
        <v>26</v>
      </c>
      <c r="G27" s="14"/>
      <c r="H27" s="14" t="str">
        <f t="shared" si="0"/>
        <v>optional uint32 training_defense_levle_reach</v>
      </c>
      <c r="I27" s="14"/>
      <c r="J27" s="14" t="e">
        <f>CONCATENATE("= ",#REF!,"; //",B27)</f>
        <v>#REF!</v>
      </c>
      <c r="L27" s="14"/>
      <c r="M27" s="14" t="e">
        <f>CONCATENATE(C27," = {ID = ",#REF!,", NAME = """,LOWER(C27),"""}, --",B27)</f>
        <v>#REF!</v>
      </c>
      <c r="O27" s="14"/>
      <c r="P27" s="14" t="str">
        <f t="shared" si="1"/>
        <v>[MainTaskCondition.TRAINING_DEFENSE_LEVLE_REACH] = mainInfo.training_defense_levle_reach, --防守训练项目达到X级</v>
      </c>
      <c r="R27" s="14"/>
      <c r="S27" s="14" t="str">
        <f t="shared" si="2"/>
        <v>training_defense_levle_reach = 0, --防守训练项目达到X级</v>
      </c>
    </row>
    <row r="28" spans="1:19">
      <c r="A28" s="183"/>
      <c r="B28" s="6" t="s">
        <v>685</v>
      </c>
      <c r="C28" s="9" t="s">
        <v>686</v>
      </c>
      <c r="D28" s="10">
        <v>27</v>
      </c>
      <c r="G28" s="14"/>
      <c r="H28" s="14" t="str">
        <f t="shared" si="0"/>
        <v>optional uint32 training_skill_levle_reach</v>
      </c>
      <c r="I28" s="14"/>
      <c r="J28" s="14" t="e">
        <f>CONCATENATE("= ",#REF!,"; //",B28)</f>
        <v>#REF!</v>
      </c>
      <c r="L28" s="14"/>
      <c r="M28" s="14" t="e">
        <f>CONCATENATE(C28," = {ID = ",#REF!,", NAME = """,LOWER(C28),"""}, --",B28)</f>
        <v>#REF!</v>
      </c>
      <c r="O28" s="14"/>
      <c r="P28" s="14" t="str">
        <f t="shared" si="1"/>
        <v>[MainTaskCondition.TRAINING_SKILL_LEVLE_REACH] = mainInfo.training_skill_levle_reach, --技巧训练项目达到X级</v>
      </c>
      <c r="R28" s="14"/>
      <c r="S28" s="14" t="str">
        <f t="shared" si="2"/>
        <v>training_skill_levle_reach = 0, --技巧训练项目达到X级</v>
      </c>
    </row>
    <row r="29" spans="1:19">
      <c r="A29" s="183"/>
      <c r="B29" s="6" t="s">
        <v>687</v>
      </c>
      <c r="C29" s="9" t="s">
        <v>688</v>
      </c>
      <c r="D29" s="10">
        <v>28</v>
      </c>
      <c r="G29" s="14"/>
      <c r="H29" s="14" t="str">
        <f t="shared" si="0"/>
        <v>optional uint32 training_vigour_levle_reach</v>
      </c>
      <c r="I29" s="14"/>
      <c r="J29" s="14" t="e">
        <f>CONCATENATE("= ",#REF!,"; //",B29)</f>
        <v>#REF!</v>
      </c>
      <c r="L29" s="14"/>
      <c r="M29" s="14" t="e">
        <f>CONCATENATE(C29," = {ID = ",#REF!,", NAME = """,LOWER(C29),"""}, --",B29)</f>
        <v>#REF!</v>
      </c>
      <c r="O29" s="14"/>
      <c r="P29" s="14" t="str">
        <f t="shared" si="1"/>
        <v>[MainTaskCondition.TRAINING_VIGOUR_LEVLE_REACH] = mainInfo.training_vigour_levle_reach, --气势训练项目达到X级</v>
      </c>
      <c r="R29" s="14"/>
      <c r="S29" s="14" t="str">
        <f t="shared" si="2"/>
        <v>training_vigour_levle_reach = 0, --气势训练项目达到X级</v>
      </c>
    </row>
    <row r="30" spans="1:19">
      <c r="A30" s="183"/>
      <c r="B30" s="6" t="s">
        <v>689</v>
      </c>
      <c r="C30" s="9" t="s">
        <v>690</v>
      </c>
      <c r="D30" s="10">
        <v>29</v>
      </c>
      <c r="G30" s="14"/>
      <c r="H30" s="14" t="str">
        <f t="shared" si="0"/>
        <v>optional uint32 qualifying_rank_reach</v>
      </c>
      <c r="I30" s="14"/>
      <c r="J30" s="14" t="e">
        <f>CONCATENATE("= ",#REF!,"; //",B30)</f>
        <v>#REF!</v>
      </c>
      <c r="L30" s="14"/>
      <c r="M30" s="14" t="e">
        <f>CONCATENATE(C30," = {ID = ",#REF!,", NAME = """,LOWER(C30),"""}, --",B30)</f>
        <v>#REF!</v>
      </c>
      <c r="O30" s="14"/>
      <c r="P30" s="14" t="str">
        <f t="shared" si="1"/>
        <v>[MainTaskCondition.QUALIFYING_RANK_REACH] = mainInfo.qualifying_rank_reach, --排位赛排名进入X名</v>
      </c>
      <c r="R30" s="14"/>
      <c r="S30" s="14" t="str">
        <f t="shared" si="2"/>
        <v>qualifying_rank_reach = 0, --排位赛排名进入X名</v>
      </c>
    </row>
    <row r="31" spans="1:19">
      <c r="A31" s="183"/>
      <c r="B31" s="6" t="s">
        <v>691</v>
      </c>
      <c r="C31" s="9" t="s">
        <v>692</v>
      </c>
      <c r="D31" s="10">
        <v>30</v>
      </c>
      <c r="G31" s="14"/>
      <c r="H31" s="14" t="str">
        <f t="shared" si="0"/>
        <v>optional uint32 qualifying_win_times</v>
      </c>
      <c r="I31" s="14"/>
      <c r="J31" s="14" t="e">
        <f>CONCATENATE("= ",#REF!,"; //",B31)</f>
        <v>#REF!</v>
      </c>
      <c r="L31" s="14"/>
      <c r="M31" s="14" t="e">
        <f>CONCATENATE(C31," = {ID = ",#REF!,", NAME = """,LOWER(C31),"""}, --",B31)</f>
        <v>#REF!</v>
      </c>
      <c r="O31" s="14"/>
      <c r="P31" s="14" t="str">
        <f t="shared" si="1"/>
        <v>[MainTaskCondition.QUALIFYING_WIN_TIMES] = mainInfo.qualifying_win_times, --累计获得排位赛胜利X次</v>
      </c>
      <c r="R31" s="14"/>
      <c r="S31" s="14" t="str">
        <f t="shared" si="2"/>
        <v>qualifying_win_times = 0, --累计获得排位赛胜利X次</v>
      </c>
    </row>
    <row r="32" spans="1:19">
      <c r="A32" s="183"/>
      <c r="B32" s="6" t="s">
        <v>198</v>
      </c>
      <c r="C32" s="9" t="s">
        <v>693</v>
      </c>
      <c r="D32" s="13" t="s">
        <v>694</v>
      </c>
      <c r="G32" s="14"/>
      <c r="H32" s="14"/>
      <c r="I32" s="14"/>
      <c r="J32" s="14"/>
      <c r="L32" s="14"/>
      <c r="M32" s="14"/>
      <c r="O32" s="14"/>
      <c r="P32" s="14"/>
      <c r="R32" s="14"/>
      <c r="S32" s="14"/>
    </row>
    <row r="33" spans="1:19">
      <c r="A33" s="183"/>
      <c r="B33" s="6" t="s">
        <v>194</v>
      </c>
      <c r="C33" s="9" t="s">
        <v>695</v>
      </c>
      <c r="D33" s="13" t="s">
        <v>696</v>
      </c>
      <c r="G33" s="14"/>
      <c r="H33" s="14"/>
      <c r="I33" s="14"/>
      <c r="J33" s="14"/>
      <c r="L33" s="14"/>
      <c r="M33" s="14"/>
      <c r="O33" s="14"/>
      <c r="P33" s="14"/>
      <c r="R33" s="14"/>
      <c r="S33" s="14"/>
    </row>
    <row r="34" spans="1:19">
      <c r="A34" s="183"/>
      <c r="B34" s="6" t="s">
        <v>195</v>
      </c>
      <c r="C34" s="9" t="s">
        <v>697</v>
      </c>
      <c r="D34" s="13" t="s">
        <v>193</v>
      </c>
      <c r="G34" s="14"/>
      <c r="H34" s="14"/>
      <c r="I34" s="14"/>
      <c r="J34" s="14"/>
      <c r="L34" s="14"/>
      <c r="M34" s="14"/>
      <c r="O34" s="14"/>
      <c r="P34" s="14"/>
      <c r="R34" s="14"/>
      <c r="S34" s="14"/>
    </row>
    <row r="35" spans="1:19">
      <c r="A35" s="183"/>
      <c r="B35" s="6" t="s">
        <v>197</v>
      </c>
      <c r="C35" s="9" t="s">
        <v>698</v>
      </c>
      <c r="D35" s="13" t="s">
        <v>209</v>
      </c>
      <c r="G35" s="14"/>
      <c r="H35" s="14"/>
      <c r="I35" s="14"/>
      <c r="J35" s="14"/>
      <c r="L35" s="14"/>
      <c r="M35" s="14"/>
      <c r="O35" s="14"/>
      <c r="P35" s="14"/>
      <c r="R35" s="14"/>
      <c r="S35" s="14"/>
    </row>
    <row r="36" spans="1:19">
      <c r="A36" s="183"/>
      <c r="B36" s="6" t="s">
        <v>196</v>
      </c>
      <c r="C36" s="9" t="s">
        <v>699</v>
      </c>
      <c r="D36" s="13" t="s">
        <v>210</v>
      </c>
      <c r="G36" s="14"/>
      <c r="H36" s="14"/>
      <c r="I36" s="14"/>
      <c r="J36" s="14"/>
      <c r="L36" s="14"/>
      <c r="M36" s="14"/>
      <c r="O36" s="14"/>
      <c r="P36" s="14"/>
      <c r="R36" s="14"/>
      <c r="S36" s="14"/>
    </row>
    <row r="37" spans="1:19">
      <c r="A37" s="183"/>
      <c r="B37" s="6" t="s">
        <v>700</v>
      </c>
      <c r="C37" s="9" t="s">
        <v>701</v>
      </c>
      <c r="D37" s="13" t="s">
        <v>702</v>
      </c>
      <c r="G37" s="14"/>
      <c r="H37" s="14"/>
      <c r="I37" s="14"/>
      <c r="J37" s="14"/>
      <c r="L37" s="14"/>
      <c r="M37" s="14"/>
      <c r="O37" s="14"/>
      <c r="P37" s="14"/>
      <c r="R37" s="14"/>
      <c r="S37" s="14"/>
    </row>
    <row r="38" spans="1:19">
      <c r="A38" s="183"/>
      <c r="B38" s="6" t="s">
        <v>703</v>
      </c>
      <c r="C38" s="9" t="s">
        <v>704</v>
      </c>
      <c r="D38" s="13" t="s">
        <v>705</v>
      </c>
      <c r="G38" s="14"/>
      <c r="H38" s="14"/>
      <c r="I38" s="14"/>
      <c r="J38" s="14"/>
      <c r="L38" s="14"/>
      <c r="M38" s="14"/>
      <c r="O38" s="14"/>
      <c r="P38" s="14"/>
      <c r="R38" s="14"/>
      <c r="S38" s="14"/>
    </row>
    <row r="39" spans="1:19">
      <c r="A39" s="183"/>
      <c r="B39" s="6" t="s">
        <v>706</v>
      </c>
      <c r="C39" s="9" t="s">
        <v>707</v>
      </c>
      <c r="D39" s="13" t="s">
        <v>708</v>
      </c>
      <c r="G39" s="14"/>
      <c r="H39" s="14"/>
      <c r="I39" s="14"/>
      <c r="J39" s="14"/>
      <c r="L39" s="14"/>
      <c r="M39" s="14"/>
      <c r="O39" s="14"/>
      <c r="P39" s="14"/>
      <c r="R39" s="14"/>
      <c r="S39" s="14"/>
    </row>
    <row r="40" spans="1:19">
      <c r="A40" s="183"/>
      <c r="B40" s="6" t="s">
        <v>709</v>
      </c>
      <c r="C40" s="9" t="s">
        <v>710</v>
      </c>
      <c r="D40" s="13" t="s">
        <v>711</v>
      </c>
      <c r="G40" s="14"/>
      <c r="H40" s="14"/>
      <c r="I40" s="14"/>
      <c r="J40" s="14"/>
      <c r="L40" s="14"/>
      <c r="M40" s="14"/>
      <c r="O40" s="14"/>
      <c r="P40" s="14"/>
      <c r="R40" s="14"/>
      <c r="S40" s="14"/>
    </row>
    <row r="41" spans="1:19">
      <c r="A41" s="183"/>
      <c r="B41" s="6" t="s">
        <v>712</v>
      </c>
      <c r="C41" s="9" t="s">
        <v>713</v>
      </c>
      <c r="D41" s="13" t="s">
        <v>714</v>
      </c>
      <c r="G41" s="14"/>
      <c r="H41" s="14"/>
      <c r="I41" s="14"/>
      <c r="J41" s="14"/>
      <c r="L41" s="14"/>
      <c r="M41" s="14"/>
      <c r="O41" s="14"/>
      <c r="P41" s="14"/>
      <c r="R41" s="14"/>
      <c r="S41" s="14"/>
    </row>
    <row r="42" spans="1:19">
      <c r="A42" s="183"/>
      <c r="B42" s="6" t="s">
        <v>715</v>
      </c>
      <c r="C42" s="9" t="s">
        <v>716</v>
      </c>
      <c r="D42" s="13" t="s">
        <v>717</v>
      </c>
      <c r="G42" s="14"/>
      <c r="H42" s="14"/>
      <c r="I42" s="14"/>
      <c r="J42" s="14"/>
      <c r="L42" s="14"/>
      <c r="M42" s="14"/>
      <c r="O42" s="14"/>
      <c r="P42" s="14"/>
      <c r="R42" s="14"/>
      <c r="S42" s="14"/>
    </row>
    <row r="43" spans="1:19">
      <c r="A43" s="183"/>
      <c r="B43" s="6" t="s">
        <v>718</v>
      </c>
      <c r="C43" s="9" t="s">
        <v>719</v>
      </c>
      <c r="D43" s="13" t="s">
        <v>720</v>
      </c>
      <c r="G43" s="14"/>
      <c r="H43" s="14"/>
      <c r="I43" s="14"/>
      <c r="J43" s="14"/>
      <c r="L43" s="14"/>
      <c r="M43" s="14"/>
      <c r="O43" s="14"/>
      <c r="P43" s="14"/>
      <c r="R43" s="14"/>
      <c r="S43" s="14"/>
    </row>
    <row r="44" spans="1:19">
      <c r="A44" s="183"/>
      <c r="B44" s="6" t="s">
        <v>721</v>
      </c>
      <c r="C44" s="9" t="s">
        <v>722</v>
      </c>
      <c r="D44" s="13" t="s">
        <v>723</v>
      </c>
      <c r="G44" s="14"/>
      <c r="H44" s="14"/>
      <c r="I44" s="14"/>
      <c r="J44" s="14"/>
      <c r="L44" s="14"/>
      <c r="M44" s="14"/>
      <c r="O44" s="14"/>
      <c r="P44" s="14"/>
      <c r="R44" s="14"/>
      <c r="S44" s="14"/>
    </row>
    <row r="45" spans="1:19">
      <c r="A45" s="183"/>
      <c r="B45" s="6" t="s">
        <v>724</v>
      </c>
      <c r="C45" s="9" t="s">
        <v>725</v>
      </c>
      <c r="D45" s="13" t="s">
        <v>726</v>
      </c>
      <c r="G45" s="14"/>
      <c r="H45" s="14"/>
      <c r="I45" s="14"/>
      <c r="J45" s="14"/>
      <c r="L45" s="14"/>
      <c r="M45" s="14"/>
      <c r="O45" s="14"/>
      <c r="P45" s="14"/>
      <c r="R45" s="14"/>
      <c r="S45" s="14"/>
    </row>
    <row r="46" spans="1:19">
      <c r="A46" s="183"/>
      <c r="B46" s="6" t="s">
        <v>727</v>
      </c>
      <c r="C46" s="9" t="s">
        <v>728</v>
      </c>
      <c r="D46" s="13" t="s">
        <v>729</v>
      </c>
      <c r="G46" s="14"/>
      <c r="H46" s="14"/>
      <c r="I46" s="14"/>
      <c r="J46" s="14"/>
      <c r="L46" s="14"/>
      <c r="M46" s="14"/>
      <c r="O46" s="14"/>
      <c r="P46" s="14"/>
      <c r="R46" s="14"/>
      <c r="S46" s="14"/>
    </row>
    <row r="47" spans="1:19">
      <c r="A47" s="183"/>
      <c r="B47" s="6" t="s">
        <v>375</v>
      </c>
      <c r="C47" s="9" t="s">
        <v>730</v>
      </c>
      <c r="D47" s="13" t="s">
        <v>731</v>
      </c>
      <c r="G47" s="14"/>
      <c r="H47" s="14"/>
      <c r="I47" s="14"/>
      <c r="J47" s="14"/>
      <c r="L47" s="14"/>
      <c r="M47" s="14"/>
      <c r="O47" s="14"/>
      <c r="P47" s="14"/>
      <c r="R47" s="14"/>
      <c r="S47" s="14"/>
    </row>
    <row r="48" spans="1:19">
      <c r="A48" s="183"/>
      <c r="B48" s="6" t="s">
        <v>732</v>
      </c>
      <c r="C48" s="9" t="s">
        <v>733</v>
      </c>
      <c r="D48" s="13" t="s">
        <v>346</v>
      </c>
      <c r="G48" s="14"/>
      <c r="H48" s="14"/>
      <c r="I48" s="14"/>
      <c r="J48" s="14"/>
      <c r="L48" s="14"/>
      <c r="M48" s="14"/>
      <c r="O48" s="14"/>
      <c r="P48" s="14"/>
      <c r="R48" s="14"/>
      <c r="S48" s="14"/>
    </row>
    <row r="49" spans="1:59">
      <c r="A49" s="183"/>
      <c r="B49" s="6" t="s">
        <v>734</v>
      </c>
      <c r="C49" s="9" t="s">
        <v>735</v>
      </c>
      <c r="D49" s="13" t="s">
        <v>347</v>
      </c>
      <c r="G49" s="14"/>
      <c r="H49" s="14"/>
      <c r="I49" s="14"/>
      <c r="J49" s="14"/>
      <c r="L49" s="14"/>
      <c r="M49" s="14"/>
      <c r="O49" s="14"/>
      <c r="P49" s="14"/>
      <c r="R49" s="14"/>
      <c r="S49" s="14"/>
    </row>
    <row r="50" spans="1:59">
      <c r="A50" s="5"/>
      <c r="B50" s="6" t="s">
        <v>736</v>
      </c>
      <c r="C50" s="9" t="s">
        <v>737</v>
      </c>
      <c r="D50" s="13" t="s">
        <v>348</v>
      </c>
      <c r="G50" s="14"/>
      <c r="H50" s="14"/>
      <c r="I50" s="14"/>
      <c r="J50" s="14"/>
      <c r="L50" s="14"/>
      <c r="M50" s="14"/>
      <c r="O50" s="14"/>
      <c r="P50" s="14"/>
      <c r="R50" s="14"/>
      <c r="S50" s="14"/>
    </row>
    <row r="51" spans="1:59">
      <c r="A51" s="5"/>
      <c r="B51" s="6" t="s">
        <v>738</v>
      </c>
      <c r="C51" s="9" t="s">
        <v>739</v>
      </c>
      <c r="D51" s="13" t="s">
        <v>740</v>
      </c>
      <c r="G51" s="14"/>
      <c r="H51" s="14"/>
      <c r="I51" s="14"/>
      <c r="J51" s="14"/>
      <c r="L51" s="14"/>
      <c r="M51" s="14"/>
      <c r="O51" s="14"/>
      <c r="P51" s="14"/>
      <c r="R51" s="14"/>
      <c r="S51" s="14"/>
    </row>
    <row r="52" spans="1:59">
      <c r="A52" s="5"/>
      <c r="B52" s="6" t="s">
        <v>741</v>
      </c>
      <c r="C52" s="9" t="s">
        <v>742</v>
      </c>
      <c r="D52" s="13" t="s">
        <v>743</v>
      </c>
      <c r="G52" s="14"/>
      <c r="H52" s="14"/>
      <c r="I52" s="14"/>
      <c r="J52" s="14"/>
      <c r="L52" s="14"/>
      <c r="M52" s="14"/>
      <c r="O52" s="14"/>
      <c r="P52" s="14"/>
      <c r="R52" s="14"/>
      <c r="S52" s="14"/>
    </row>
    <row r="53" spans="1:59">
      <c r="A53" s="5"/>
      <c r="B53" s="6" t="s">
        <v>744</v>
      </c>
      <c r="C53" s="9" t="s">
        <v>745</v>
      </c>
      <c r="D53" s="22" t="s">
        <v>746</v>
      </c>
      <c r="G53" s="14"/>
      <c r="H53" s="14"/>
      <c r="I53" s="14"/>
      <c r="J53" s="14"/>
      <c r="L53" s="14"/>
      <c r="M53" s="14"/>
      <c r="O53" s="14"/>
      <c r="P53" s="14"/>
      <c r="R53" s="14"/>
      <c r="S53" s="14"/>
    </row>
    <row r="54" spans="1:59">
      <c r="A54" s="5"/>
      <c r="B54" s="6" t="s">
        <v>747</v>
      </c>
      <c r="C54" s="9" t="s">
        <v>748</v>
      </c>
      <c r="D54" s="22" t="s">
        <v>749</v>
      </c>
      <c r="G54" s="14"/>
      <c r="H54" s="14"/>
      <c r="I54" s="14"/>
      <c r="J54" s="14"/>
      <c r="L54" s="14"/>
      <c r="M54" s="14"/>
      <c r="O54" s="14"/>
      <c r="P54" s="14"/>
      <c r="R54" s="14"/>
      <c r="S54" s="14"/>
    </row>
    <row r="55" spans="1:59">
      <c r="A55" s="5"/>
      <c r="B55" s="6" t="s">
        <v>750</v>
      </c>
      <c r="C55" s="9" t="s">
        <v>751</v>
      </c>
      <c r="D55" s="22" t="s">
        <v>752</v>
      </c>
      <c r="G55" s="14"/>
      <c r="H55" s="14"/>
      <c r="I55" s="14"/>
      <c r="J55" s="14"/>
      <c r="L55" s="14"/>
      <c r="M55" s="14"/>
      <c r="O55" s="14"/>
      <c r="P55" s="14"/>
      <c r="R55" s="14"/>
      <c r="S55" s="14"/>
    </row>
    <row r="56" spans="1:59">
      <c r="A56" s="5"/>
      <c r="B56" s="6" t="s">
        <v>753</v>
      </c>
      <c r="C56" s="9" t="s">
        <v>754</v>
      </c>
      <c r="D56" s="22" t="s">
        <v>755</v>
      </c>
      <c r="G56" s="14"/>
      <c r="H56" s="14"/>
      <c r="I56" s="14"/>
      <c r="J56" s="14"/>
      <c r="L56" s="14"/>
      <c r="M56" s="14"/>
      <c r="O56" s="14"/>
      <c r="P56" s="14"/>
      <c r="R56" s="14"/>
      <c r="S56" s="14"/>
    </row>
    <row r="57" spans="1:59">
      <c r="A57" s="5"/>
      <c r="B57" s="6" t="s">
        <v>756</v>
      </c>
      <c r="C57" s="9" t="s">
        <v>757</v>
      </c>
      <c r="D57" s="22" t="s">
        <v>758</v>
      </c>
      <c r="G57" s="14"/>
      <c r="H57" s="14"/>
      <c r="I57" s="14"/>
      <c r="J57" s="14"/>
      <c r="L57" s="14"/>
      <c r="M57" s="14"/>
      <c r="O57" s="14"/>
      <c r="P57" s="14"/>
      <c r="R57" s="14"/>
      <c r="S57" s="14"/>
    </row>
    <row r="58" spans="1:59">
      <c r="A58" s="5"/>
      <c r="B58" s="6" t="s">
        <v>997</v>
      </c>
      <c r="C58" s="9" t="s">
        <v>759</v>
      </c>
      <c r="D58" s="22" t="s">
        <v>760</v>
      </c>
      <c r="G58" s="14"/>
      <c r="H58" s="14"/>
      <c r="I58" s="14"/>
      <c r="J58" s="14"/>
      <c r="L58" s="14"/>
      <c r="M58" s="14"/>
      <c r="O58" s="14"/>
      <c r="P58" s="14"/>
      <c r="R58" s="14"/>
      <c r="S58" s="14"/>
    </row>
    <row r="59" spans="1:59">
      <c r="A59" s="5"/>
      <c r="B59" s="6" t="s">
        <v>761</v>
      </c>
      <c r="C59" s="9" t="s">
        <v>762</v>
      </c>
      <c r="D59" s="22" t="s">
        <v>763</v>
      </c>
      <c r="G59" s="14"/>
      <c r="H59" s="14"/>
      <c r="I59" s="14"/>
      <c r="J59" s="14"/>
      <c r="L59" s="14"/>
      <c r="M59" s="14"/>
      <c r="O59" s="14"/>
      <c r="P59" s="14"/>
      <c r="R59" s="14"/>
      <c r="S59" s="14"/>
    </row>
    <row r="60" spans="1:59">
      <c r="A60" s="175" t="s">
        <v>981</v>
      </c>
      <c r="B60" s="177" t="s">
        <v>982</v>
      </c>
      <c r="C60" s="178" t="s">
        <v>983</v>
      </c>
      <c r="D60" s="179" t="s">
        <v>984</v>
      </c>
      <c r="E60" s="176"/>
      <c r="F60" s="176"/>
      <c r="G60" s="14"/>
      <c r="H60" s="14"/>
      <c r="I60" s="14"/>
      <c r="J60" s="14"/>
      <c r="K60" s="176"/>
      <c r="L60" s="14"/>
      <c r="M60" s="14"/>
      <c r="N60" s="176"/>
      <c r="O60" s="14"/>
      <c r="P60" s="14"/>
      <c r="Q60" s="176"/>
      <c r="R60" s="14"/>
      <c r="S60" s="14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  <c r="AN60" s="176"/>
      <c r="AO60" s="176"/>
      <c r="AP60" s="176"/>
      <c r="AQ60" s="176"/>
      <c r="AR60" s="176"/>
      <c r="AS60" s="176"/>
      <c r="AT60" s="176"/>
      <c r="AU60" s="176"/>
      <c r="AV60" s="176"/>
      <c r="AW60" s="176"/>
      <c r="AX60" s="176"/>
      <c r="AY60" s="176"/>
      <c r="AZ60" s="176"/>
      <c r="BA60" s="176"/>
      <c r="BB60" s="176"/>
      <c r="BC60" s="176"/>
      <c r="BD60" s="176"/>
      <c r="BE60" s="176"/>
      <c r="BF60" s="176"/>
      <c r="BG60" s="176"/>
    </row>
    <row r="61" spans="1:59">
      <c r="A61" s="175"/>
      <c r="B61" s="177" t="s">
        <v>998</v>
      </c>
      <c r="C61" s="178" t="s">
        <v>985</v>
      </c>
      <c r="D61" s="179" t="s">
        <v>986</v>
      </c>
      <c r="E61" s="176"/>
      <c r="F61" s="176"/>
      <c r="G61" s="14"/>
      <c r="H61" s="14"/>
      <c r="I61" s="14"/>
      <c r="J61" s="14"/>
      <c r="K61" s="176"/>
      <c r="L61" s="14"/>
      <c r="M61" s="14"/>
      <c r="N61" s="176"/>
      <c r="O61" s="14"/>
      <c r="P61" s="14"/>
      <c r="Q61" s="176"/>
      <c r="R61" s="14"/>
      <c r="S61" s="14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  <c r="AN61" s="176"/>
      <c r="AO61" s="176"/>
      <c r="AP61" s="176"/>
      <c r="AQ61" s="176"/>
      <c r="AR61" s="176"/>
      <c r="AS61" s="176"/>
      <c r="AT61" s="176"/>
      <c r="AU61" s="176"/>
      <c r="AV61" s="176"/>
      <c r="AW61" s="176"/>
      <c r="AX61" s="176"/>
      <c r="AY61" s="176"/>
      <c r="AZ61" s="176"/>
      <c r="BA61" s="176"/>
      <c r="BB61" s="176"/>
      <c r="BC61" s="176"/>
      <c r="BD61" s="176"/>
      <c r="BE61" s="176"/>
      <c r="BF61" s="176"/>
      <c r="BG61" s="176"/>
    </row>
    <row r="62" spans="1:59">
      <c r="A62" s="175"/>
      <c r="B62" s="177" t="s">
        <v>987</v>
      </c>
      <c r="C62" s="178" t="s">
        <v>988</v>
      </c>
      <c r="D62" s="179" t="s">
        <v>989</v>
      </c>
      <c r="E62" s="176"/>
      <c r="F62" s="176"/>
      <c r="G62" s="14"/>
      <c r="H62" s="14"/>
      <c r="I62" s="14"/>
      <c r="J62" s="14"/>
      <c r="K62" s="176"/>
      <c r="L62" s="14"/>
      <c r="M62" s="14"/>
      <c r="N62" s="176"/>
      <c r="O62" s="14"/>
      <c r="P62" s="14"/>
      <c r="Q62" s="176"/>
      <c r="R62" s="14"/>
      <c r="S62" s="14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  <c r="AN62" s="176"/>
      <c r="AO62" s="176"/>
      <c r="AP62" s="176"/>
      <c r="AQ62" s="176"/>
      <c r="AR62" s="176"/>
      <c r="AS62" s="176"/>
      <c r="AT62" s="176"/>
      <c r="AU62" s="176"/>
      <c r="AV62" s="176"/>
      <c r="AW62" s="176"/>
      <c r="AX62" s="176"/>
      <c r="AY62" s="176"/>
      <c r="AZ62" s="176"/>
      <c r="BA62" s="176"/>
      <c r="BB62" s="176"/>
      <c r="BC62" s="176"/>
      <c r="BD62" s="176"/>
      <c r="BE62" s="176"/>
      <c r="BF62" s="176"/>
      <c r="BG62" s="176"/>
    </row>
    <row r="63" spans="1:59">
      <c r="A63" s="175"/>
      <c r="B63" s="177" t="s">
        <v>990</v>
      </c>
      <c r="C63" s="178" t="s">
        <v>991</v>
      </c>
      <c r="D63" s="179" t="s">
        <v>992</v>
      </c>
      <c r="E63" s="176"/>
      <c r="F63" s="176"/>
      <c r="G63" s="14"/>
      <c r="H63" s="14"/>
      <c r="I63" s="14"/>
      <c r="J63" s="14"/>
      <c r="K63" s="176"/>
      <c r="L63" s="14"/>
      <c r="M63" s="14"/>
      <c r="N63" s="176"/>
      <c r="O63" s="14"/>
      <c r="P63" s="14"/>
      <c r="Q63" s="176"/>
      <c r="R63" s="14"/>
      <c r="S63" s="14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  <c r="AN63" s="176"/>
      <c r="AO63" s="176"/>
      <c r="AP63" s="176"/>
      <c r="AQ63" s="176"/>
      <c r="AR63" s="176"/>
      <c r="AS63" s="176"/>
      <c r="AT63" s="176"/>
      <c r="AU63" s="176"/>
      <c r="AV63" s="176"/>
      <c r="AW63" s="176"/>
      <c r="AX63" s="176"/>
      <c r="AY63" s="176"/>
      <c r="AZ63" s="176"/>
      <c r="BA63" s="176"/>
      <c r="BB63" s="176"/>
      <c r="BC63" s="176"/>
      <c r="BD63" s="176"/>
      <c r="BE63" s="176"/>
      <c r="BF63" s="176"/>
      <c r="BG63" s="176"/>
    </row>
    <row r="64" spans="1:59">
      <c r="A64" s="23"/>
      <c r="B64" s="6"/>
      <c r="C64" s="9"/>
      <c r="D64" s="22"/>
      <c r="E64" s="24"/>
      <c r="F64" s="24"/>
      <c r="G64" s="14"/>
      <c r="H64" s="14"/>
      <c r="I64" s="14"/>
      <c r="J64" s="14"/>
      <c r="K64" s="24"/>
      <c r="L64" s="14"/>
      <c r="M64" s="14"/>
      <c r="N64" s="24"/>
      <c r="O64" s="14"/>
      <c r="P64" s="14"/>
      <c r="Q64" s="24"/>
      <c r="R64" s="14"/>
      <c r="S64" s="1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</row>
    <row r="65" spans="1:61">
      <c r="A65" s="23"/>
      <c r="B65" s="6"/>
      <c r="C65" s="9"/>
      <c r="D65" s="22"/>
      <c r="E65" s="24"/>
      <c r="F65" s="24"/>
      <c r="G65" s="14"/>
      <c r="H65" s="14"/>
      <c r="I65" s="14"/>
      <c r="J65" s="14"/>
      <c r="K65" s="24"/>
      <c r="L65" s="14"/>
      <c r="M65" s="14"/>
      <c r="N65" s="24"/>
      <c r="O65" s="14"/>
      <c r="P65" s="14"/>
      <c r="Q65" s="24"/>
      <c r="R65" s="14"/>
      <c r="S65" s="1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</row>
    <row r="66" spans="1:61">
      <c r="A66" s="23"/>
      <c r="B66" s="6"/>
      <c r="C66" s="9"/>
      <c r="D66" s="22"/>
      <c r="E66" s="24"/>
      <c r="F66" s="24"/>
      <c r="G66" s="14"/>
      <c r="H66" s="14"/>
      <c r="I66" s="14"/>
      <c r="J66" s="14"/>
      <c r="K66" s="24"/>
      <c r="L66" s="14"/>
      <c r="M66" s="14"/>
      <c r="N66" s="24"/>
      <c r="O66" s="14"/>
      <c r="P66" s="14"/>
      <c r="Q66" s="24"/>
      <c r="R66" s="14"/>
      <c r="S66" s="1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</row>
    <row r="67" spans="1:61">
      <c r="A67" s="2"/>
      <c r="B67" s="12"/>
      <c r="C67" s="12"/>
      <c r="D67" s="12"/>
      <c r="G67" s="12"/>
      <c r="H67" s="12"/>
      <c r="I67" s="12"/>
      <c r="J67" s="12"/>
      <c r="L67" s="12"/>
      <c r="M67" s="12"/>
      <c r="O67" s="12"/>
      <c r="P67" s="12"/>
      <c r="R67" s="12"/>
      <c r="S67" s="12"/>
    </row>
    <row r="68" spans="1:61">
      <c r="A68" s="1"/>
      <c r="B68" s="8" t="s">
        <v>52</v>
      </c>
      <c r="C68" s="9" t="s">
        <v>764</v>
      </c>
      <c r="D68" s="6">
        <v>1</v>
      </c>
      <c r="G68" s="14"/>
      <c r="H68" s="14" t="str">
        <f t="shared" ref="H68:H83" si="3">CONCATENATE("optional uint32 ",LOWER(C68))</f>
        <v>optional uint32 buy_gold_times</v>
      </c>
      <c r="I68" s="14"/>
      <c r="J68" s="14" t="str">
        <f t="shared" ref="J68:J83" si="4">CONCATENATE("= ",D68,"; //",B68)</f>
        <v>= 1; //购买金币X次</v>
      </c>
      <c r="L68" s="14"/>
      <c r="M68" s="14" t="str">
        <f t="shared" ref="M68:M83" si="5">CONCATENATE(C68," = {ID = ",D68,", NAME = """,LOWER(C68),"""}, --",B68)</f>
        <v>BUY_GOLD_TIMES = {ID = 1, NAME = "buy_gold_times"}, --购买金币X次</v>
      </c>
      <c r="O68" s="14"/>
      <c r="P68" s="14" t="str">
        <f t="shared" ref="P68:P83" si="6">CONCATENATE("[MainTaskCondition.",C68,"] = mainInfo.",LOWER(C68),", --",B68)</f>
        <v>[MainTaskCondition.BUY_GOLD_TIMES] = mainInfo.buy_gold_times, --购买金币X次</v>
      </c>
      <c r="R68" s="14"/>
      <c r="S68" s="14" t="str">
        <f t="shared" ref="S68:S83" si="7">CONCATENATE(LOWER(C68)," = 0, --",B68)</f>
        <v>buy_gold_times = 0, --购买金币X次</v>
      </c>
    </row>
    <row r="69" spans="1:61">
      <c r="A69" s="184" t="s">
        <v>765</v>
      </c>
      <c r="B69" s="8" t="s">
        <v>53</v>
      </c>
      <c r="C69" s="6" t="s">
        <v>766</v>
      </c>
      <c r="D69" s="6">
        <v>2</v>
      </c>
      <c r="G69" s="14"/>
      <c r="H69" s="14" t="str">
        <f t="shared" si="3"/>
        <v>optional uint32 buy_hp_times</v>
      </c>
      <c r="I69" s="14"/>
      <c r="J69" s="14" t="str">
        <f t="shared" si="4"/>
        <v>= 2; //购买体力X次</v>
      </c>
      <c r="L69" s="14"/>
      <c r="M69" s="14" t="str">
        <f t="shared" si="5"/>
        <v>BUY_HP_TIMES = {ID = 2, NAME = "buy_hp_times"}, --购买体力X次</v>
      </c>
      <c r="O69" s="14"/>
      <c r="P69" s="14" t="str">
        <f t="shared" si="6"/>
        <v>[MainTaskCondition.BUY_HP_TIMES] = mainInfo.buy_hp_times, --购买体力X次</v>
      </c>
      <c r="R69" s="14"/>
      <c r="S69" s="14" t="str">
        <f t="shared" si="7"/>
        <v>buy_hp_times = 0, --购买体力X次</v>
      </c>
    </row>
    <row r="70" spans="1:61">
      <c r="A70" s="185"/>
      <c r="B70" s="8" t="s">
        <v>57</v>
      </c>
      <c r="C70" s="6" t="s">
        <v>767</v>
      </c>
      <c r="D70" s="6">
        <v>3</v>
      </c>
      <c r="G70" s="14"/>
      <c r="H70" s="14" t="str">
        <f t="shared" si="3"/>
        <v>optional uint32 regular_race_times</v>
      </c>
      <c r="I70" s="14"/>
      <c r="J70" s="14" t="str">
        <f t="shared" si="4"/>
        <v>= 3; //参加常规竞技赛X次</v>
      </c>
      <c r="L70" s="14"/>
      <c r="M70" s="14" t="str">
        <f t="shared" si="5"/>
        <v>REGULAR_RACE_TIMES = {ID = 3, NAME = "regular_race_times"}, --参加常规竞技赛X次</v>
      </c>
      <c r="O70" s="14"/>
      <c r="P70" s="14" t="str">
        <f t="shared" si="6"/>
        <v>[MainTaskCondition.REGULAR_RACE_TIMES] = mainInfo.regular_race_times, --参加常规竞技赛X次</v>
      </c>
      <c r="R70" s="14"/>
      <c r="S70" s="14" t="str">
        <f t="shared" si="7"/>
        <v>regular_race_times = 0, --参加常规竞技赛X次</v>
      </c>
    </row>
    <row r="71" spans="1:61">
      <c r="A71" s="185"/>
      <c r="B71" s="8" t="s">
        <v>58</v>
      </c>
      <c r="C71" s="9" t="s">
        <v>768</v>
      </c>
      <c r="D71" s="6">
        <v>4</v>
      </c>
      <c r="G71" s="14"/>
      <c r="H71" s="14" t="str">
        <f t="shared" si="3"/>
        <v>optional uint32 regular_race_win_times</v>
      </c>
      <c r="I71" s="14"/>
      <c r="J71" s="14" t="str">
        <f t="shared" si="4"/>
        <v>= 4; //在常规竞技赛中胜利X次</v>
      </c>
      <c r="L71" s="14"/>
      <c r="M71" s="14" t="str">
        <f t="shared" si="5"/>
        <v>REGULAR_RACE_WIN_TIMES = {ID = 4, NAME = "regular_race_win_times"}, --在常规竞技赛中胜利X次</v>
      </c>
      <c r="O71" s="14"/>
      <c r="P71" s="14" t="str">
        <f t="shared" si="6"/>
        <v>[MainTaskCondition.REGULAR_RACE_WIN_TIMES] = mainInfo.regular_race_win_times, --在常规竞技赛中胜利X次</v>
      </c>
      <c r="R71" s="14"/>
      <c r="S71" s="14" t="str">
        <f t="shared" si="7"/>
        <v>regular_race_win_times = 0, --在常规竞技赛中胜利X次</v>
      </c>
    </row>
    <row r="72" spans="1:61">
      <c r="A72" s="185"/>
      <c r="B72" s="8" t="s">
        <v>59</v>
      </c>
      <c r="C72" t="s">
        <v>769</v>
      </c>
      <c r="D72" s="6">
        <v>5</v>
      </c>
      <c r="G72" s="14"/>
      <c r="H72" s="14" t="str">
        <f t="shared" si="3"/>
        <v>optional uint32 x_skill_level_up</v>
      </c>
      <c r="I72" s="14"/>
      <c r="J72" s="14" t="str">
        <f t="shared" si="4"/>
        <v>= 5; //提升一次技能等级</v>
      </c>
      <c r="L72" s="14"/>
      <c r="M72" s="14" t="str">
        <f t="shared" si="5"/>
        <v>X_SKILL_LEVEL_UP = {ID = 5, NAME = "x_skill_level_up"}, --提升一次技能等级</v>
      </c>
      <c r="O72" s="14"/>
      <c r="P72" s="14" t="str">
        <f t="shared" si="6"/>
        <v>[MainTaskCondition.X_SKILL_LEVEL_UP] = mainInfo.x_skill_level_up, --提升一次技能等级</v>
      </c>
      <c r="R72" s="14"/>
      <c r="S72" s="14" t="str">
        <f t="shared" si="7"/>
        <v>x_skill_level_up = 0, --提升一次技能等级</v>
      </c>
    </row>
    <row r="73" spans="1:61">
      <c r="A73" s="185"/>
      <c r="B73" s="8" t="s">
        <v>60</v>
      </c>
      <c r="C73" s="9" t="s">
        <v>770</v>
      </c>
      <c r="D73" s="6">
        <v>6</v>
      </c>
      <c r="G73" s="14"/>
      <c r="H73" s="14" t="str">
        <f t="shared" si="3"/>
        <v>optional uint32 complete_section_times</v>
      </c>
      <c r="I73" s="14"/>
      <c r="J73" s="14" t="str">
        <f t="shared" si="4"/>
        <v>= 6; //在生涯模式中战胜任意关卡X次</v>
      </c>
      <c r="L73" s="14"/>
      <c r="M73" s="14" t="str">
        <f t="shared" si="5"/>
        <v>COMPLETE_SECTION_TIMES = {ID = 6, NAME = "complete_section_times"}, --在生涯模式中战胜任意关卡X次</v>
      </c>
      <c r="O73" s="14"/>
      <c r="P73" s="14" t="str">
        <f t="shared" si="6"/>
        <v>[MainTaskCondition.COMPLETE_SECTION_TIMES] = mainInfo.complete_section_times, --在生涯模式中战胜任意关卡X次</v>
      </c>
      <c r="R73" s="14"/>
      <c r="S73" s="14" t="str">
        <f t="shared" si="7"/>
        <v>complete_section_times = 0, --在生涯模式中战胜任意关卡X次</v>
      </c>
    </row>
    <row r="74" spans="1:61">
      <c r="A74" s="185"/>
      <c r="B74" s="8" t="s">
        <v>611</v>
      </c>
      <c r="C74" s="9" t="s">
        <v>771</v>
      </c>
      <c r="D74" s="6">
        <v>7</v>
      </c>
      <c r="G74" s="14"/>
      <c r="H74" s="14" t="str">
        <f t="shared" si="3"/>
        <v>optional uint32 complete_boss_section_times</v>
      </c>
      <c r="I74" s="14"/>
      <c r="J74" s="14" t="str">
        <f t="shared" si="4"/>
        <v>= 7; //在生涯模式中战胜任意精英关卡X次</v>
      </c>
      <c r="L74" s="14"/>
      <c r="M74" s="14" t="str">
        <f t="shared" si="5"/>
        <v>COMPLETE_BOSS_SECTION_TIMES = {ID = 7, NAME = "complete_boss_section_times"}, --在生涯模式中战胜任意精英关卡X次</v>
      </c>
      <c r="O74" s="14"/>
      <c r="P74" s="14" t="str">
        <f t="shared" si="6"/>
        <v>[MainTaskCondition.COMPLETE_BOSS_SECTION_TIMES] = mainInfo.complete_boss_section_times, --在生涯模式中战胜任意精英关卡X次</v>
      </c>
      <c r="R74" s="14"/>
      <c r="S74" s="14" t="str">
        <f t="shared" si="7"/>
        <v>complete_boss_section_times = 0, --在生涯模式中战胜任意精英关卡X次</v>
      </c>
      <c r="BH74"/>
      <c r="BI74"/>
    </row>
    <row r="75" spans="1:61">
      <c r="A75" s="185"/>
      <c r="B75" s="8" t="s">
        <v>612</v>
      </c>
      <c r="C75" s="9" t="s">
        <v>772</v>
      </c>
      <c r="D75" s="6">
        <v>8</v>
      </c>
      <c r="G75" s="14"/>
      <c r="H75" s="14" t="str">
        <f t="shared" si="3"/>
        <v>optional uint32 do_training_times</v>
      </c>
      <c r="I75" s="14"/>
      <c r="J75" s="14" t="str">
        <f t="shared" si="4"/>
        <v>= 8; //进行X次队长训练</v>
      </c>
      <c r="L75" s="14"/>
      <c r="M75" s="14" t="str">
        <f t="shared" si="5"/>
        <v>DO_TRAINING_TIMES = {ID = 8, NAME = "do_training_times"}, --进行X次队长训练</v>
      </c>
      <c r="O75" s="14"/>
      <c r="P75" s="14" t="str">
        <f t="shared" si="6"/>
        <v>[MainTaskCondition.DO_TRAINING_TIMES] = mainInfo.do_training_times, --进行X次队长训练</v>
      </c>
      <c r="R75" s="14"/>
      <c r="S75" s="14" t="str">
        <f t="shared" si="7"/>
        <v>do_training_times = 0, --进行X次队长训练</v>
      </c>
      <c r="BH75"/>
      <c r="BI75"/>
    </row>
    <row r="76" spans="1:61">
      <c r="A76" s="185"/>
      <c r="B76" s="8" t="s">
        <v>613</v>
      </c>
      <c r="C76" s="9" t="s">
        <v>773</v>
      </c>
      <c r="D76" s="6">
        <v>9</v>
      </c>
      <c r="G76" s="14"/>
      <c r="H76" s="14" t="str">
        <f t="shared" si="3"/>
        <v>optional uint32 x_tattoo_level_up</v>
      </c>
      <c r="I76" s="14"/>
      <c r="J76" s="14" t="str">
        <f t="shared" si="4"/>
        <v>= 9; //进行X次纹身升级</v>
      </c>
      <c r="L76" s="14"/>
      <c r="M76" s="14" t="str">
        <f t="shared" si="5"/>
        <v>X_TATTOO_LEVEL_UP = {ID = 9, NAME = "x_tattoo_level_up"}, --进行X次纹身升级</v>
      </c>
      <c r="O76" s="14"/>
      <c r="P76" s="14" t="str">
        <f t="shared" si="6"/>
        <v>[MainTaskCondition.X_TATTOO_LEVEL_UP] = mainInfo.x_tattoo_level_up, --进行X次纹身升级</v>
      </c>
      <c r="R76" s="14"/>
      <c r="S76" s="14" t="str">
        <f t="shared" si="7"/>
        <v>x_tattoo_level_up = 0, --进行X次纹身升级</v>
      </c>
      <c r="BH76"/>
      <c r="BI76"/>
    </row>
    <row r="77" spans="1:61">
      <c r="A77" s="185"/>
      <c r="B77" s="8" t="s">
        <v>614</v>
      </c>
      <c r="C77" s="9" t="s">
        <v>774</v>
      </c>
      <c r="D77" s="6">
        <v>10</v>
      </c>
      <c r="G77" s="14"/>
      <c r="H77" s="14" t="str">
        <f t="shared" si="3"/>
        <v>optional uint32 tour_times</v>
      </c>
      <c r="I77" s="14"/>
      <c r="J77" s="14" t="str">
        <f t="shared" si="4"/>
        <v>= 10; //进行街头巡回赛X次</v>
      </c>
      <c r="L77" s="14"/>
      <c r="M77" s="14" t="str">
        <f t="shared" si="5"/>
        <v>TOUR_TIMES = {ID = 10, NAME = "tour_times"}, --进行街头巡回赛X次</v>
      </c>
      <c r="O77" s="14"/>
      <c r="P77" s="14" t="str">
        <f t="shared" si="6"/>
        <v>[MainTaskCondition.TOUR_TIMES] = mainInfo.tour_times, --进行街头巡回赛X次</v>
      </c>
      <c r="R77" s="14"/>
      <c r="S77" s="14" t="str">
        <f t="shared" si="7"/>
        <v>tour_times = 0, --进行街头巡回赛X次</v>
      </c>
      <c r="BH77"/>
      <c r="BI77"/>
    </row>
    <row r="78" spans="1:61">
      <c r="A78" s="185"/>
      <c r="B78" s="8" t="s">
        <v>615</v>
      </c>
      <c r="C78" s="9" t="s">
        <v>775</v>
      </c>
      <c r="D78" s="6">
        <v>11</v>
      </c>
      <c r="G78" s="14"/>
      <c r="H78" s="14" t="str">
        <f t="shared" si="3"/>
        <v>optional uint32 qualifying_times</v>
      </c>
      <c r="I78" s="14"/>
      <c r="J78" s="14" t="str">
        <f t="shared" si="4"/>
        <v>= 11; //进行排位赛X次</v>
      </c>
      <c r="L78" s="14"/>
      <c r="M78" s="14" t="str">
        <f t="shared" si="5"/>
        <v>QUALIFYING_TIMES = {ID = 11, NAME = "qualifying_times"}, --进行排位赛X次</v>
      </c>
      <c r="O78" s="14"/>
      <c r="P78" s="14" t="str">
        <f t="shared" si="6"/>
        <v>[MainTaskCondition.QUALIFYING_TIMES] = mainInfo.qualifying_times, --进行排位赛X次</v>
      </c>
      <c r="R78" s="14"/>
      <c r="S78" s="14" t="str">
        <f t="shared" si="7"/>
        <v>qualifying_times = 0, --进行排位赛X次</v>
      </c>
      <c r="BH78"/>
      <c r="BI78"/>
    </row>
    <row r="79" spans="1:61">
      <c r="A79" s="185"/>
      <c r="B79" s="8" t="s">
        <v>616</v>
      </c>
      <c r="C79" s="9" t="s">
        <v>776</v>
      </c>
      <c r="D79" s="6">
        <v>12</v>
      </c>
      <c r="G79" s="14"/>
      <c r="H79" s="14" t="str">
        <f t="shared" si="3"/>
        <v>optional uint32 qualifying_win_times</v>
      </c>
      <c r="I79" s="14"/>
      <c r="J79" s="14" t="str">
        <f t="shared" si="4"/>
        <v>= 12; //进行排位赛胜利X次</v>
      </c>
      <c r="L79" s="14"/>
      <c r="M79" s="14" t="str">
        <f t="shared" si="5"/>
        <v>QUALIFYING_WIN_TIMES = {ID = 12, NAME = "qualifying_win_times"}, --进行排位赛胜利X次</v>
      </c>
      <c r="O79" s="14"/>
      <c r="P79" s="14" t="str">
        <f t="shared" si="6"/>
        <v>[MainTaskCondition.QUALIFYING_WIN_TIMES] = mainInfo.qualifying_win_times, --进行排位赛胜利X次</v>
      </c>
      <c r="R79" s="14"/>
      <c r="S79" s="14" t="str">
        <f t="shared" si="7"/>
        <v>qualifying_win_times = 0, --进行排位赛胜利X次</v>
      </c>
      <c r="BH79"/>
      <c r="BI79"/>
    </row>
    <row r="80" spans="1:61">
      <c r="A80" s="185"/>
      <c r="B80" s="8" t="s">
        <v>617</v>
      </c>
      <c r="C80" s="9" t="s">
        <v>777</v>
      </c>
      <c r="D80" s="6">
        <v>13</v>
      </c>
      <c r="G80" s="14"/>
      <c r="H80" s="14" t="str">
        <f t="shared" si="3"/>
        <v>optional uint32 new_games_times</v>
      </c>
      <c r="I80" s="14"/>
      <c r="J80" s="14" t="str">
        <f t="shared" si="4"/>
        <v>= 13; //进行投篮赛X次</v>
      </c>
      <c r="L80" s="14"/>
      <c r="M80" s="14" t="str">
        <f t="shared" si="5"/>
        <v>NEW_GAMES_TIMES = {ID = 13, NAME = "new_games_times"}, --进行投篮赛X次</v>
      </c>
      <c r="O80" s="14"/>
      <c r="P80" s="14" t="str">
        <f t="shared" si="6"/>
        <v>[MainTaskCondition.NEW_GAMES_TIMES] = mainInfo.new_games_times, --进行投篮赛X次</v>
      </c>
      <c r="R80" s="14"/>
      <c r="S80" s="14" t="str">
        <f t="shared" si="7"/>
        <v>new_games_times = 0, --进行投篮赛X次</v>
      </c>
      <c r="BH80"/>
      <c r="BI80"/>
    </row>
    <row r="81" spans="1:61">
      <c r="A81" s="185"/>
      <c r="B81" s="8" t="s">
        <v>618</v>
      </c>
      <c r="C81" s="9" t="s">
        <v>778</v>
      </c>
      <c r="D81" s="6">
        <v>14</v>
      </c>
      <c r="G81" s="14"/>
      <c r="H81" s="14" t="str">
        <f t="shared" si="3"/>
        <v>optional uint32 challenge_times</v>
      </c>
      <c r="I81" s="14"/>
      <c r="J81" s="14" t="str">
        <f t="shared" si="4"/>
        <v>= 14; //进行挑战赛X次</v>
      </c>
      <c r="L81" s="14"/>
      <c r="M81" s="14" t="str">
        <f t="shared" si="5"/>
        <v>CHALLENGE_TIMES = {ID = 14, NAME = "challenge_times"}, --进行挑战赛X次</v>
      </c>
      <c r="O81" s="14"/>
      <c r="P81" s="14" t="str">
        <f t="shared" si="6"/>
        <v>[MainTaskCondition.CHALLENGE_TIMES] = mainInfo.challenge_times, --进行挑战赛X次</v>
      </c>
      <c r="R81" s="14"/>
      <c r="S81" s="14" t="str">
        <f t="shared" si="7"/>
        <v>challenge_times = 0, --进行挑战赛X次</v>
      </c>
      <c r="BH81"/>
      <c r="BI81"/>
    </row>
    <row r="82" spans="1:61">
      <c r="A82" s="185"/>
      <c r="B82" s="8" t="s">
        <v>619</v>
      </c>
      <c r="C82" s="9" t="s">
        <v>779</v>
      </c>
      <c r="D82" s="6">
        <v>15</v>
      </c>
      <c r="G82" s="14"/>
      <c r="H82" s="14" t="str">
        <f t="shared" si="3"/>
        <v>optional uint32 lottery_times</v>
      </c>
      <c r="I82" s="14"/>
      <c r="J82" s="14" t="str">
        <f t="shared" si="4"/>
        <v>= 15; //抽取幸运篮球X次</v>
      </c>
      <c r="L82" s="14"/>
      <c r="M82" s="14" t="str">
        <f t="shared" si="5"/>
        <v>LOTTERY_TIMES = {ID = 15, NAME = "lottery_times"}, --抽取幸运篮球X次</v>
      </c>
      <c r="O82" s="14"/>
      <c r="P82" s="14" t="str">
        <f t="shared" si="6"/>
        <v>[MainTaskCondition.LOTTERY_TIMES] = mainInfo.lottery_times, --抽取幸运篮球X次</v>
      </c>
      <c r="R82" s="14"/>
      <c r="S82" s="14" t="str">
        <f t="shared" si="7"/>
        <v>lottery_times = 0, --抽取幸运篮球X次</v>
      </c>
      <c r="BH82"/>
      <c r="BI82"/>
    </row>
    <row r="83" spans="1:61">
      <c r="A83" s="185"/>
      <c r="B83" s="18" t="s">
        <v>620</v>
      </c>
      <c r="C83" s="19" t="s">
        <v>780</v>
      </c>
      <c r="D83" s="20">
        <v>17</v>
      </c>
      <c r="H83" s="16" t="str">
        <f t="shared" si="3"/>
        <v>optional uint32 practice_times</v>
      </c>
      <c r="J83" s="16" t="str">
        <f t="shared" si="4"/>
        <v>= 17; //训练中，4个练习都进行一次</v>
      </c>
      <c r="M83" s="16" t="str">
        <f t="shared" si="5"/>
        <v>PRACTICE_TIMES = {ID = 17, NAME = "practice_times"}, --训练中，4个练习都进行一次</v>
      </c>
      <c r="P83" s="16" t="str">
        <f t="shared" si="6"/>
        <v>[MainTaskCondition.PRACTICE_TIMES] = mainInfo.practice_times, --训练中，4个练习都进行一次</v>
      </c>
      <c r="S83" s="16" t="str">
        <f t="shared" si="7"/>
        <v>practice_times = 0, --训练中，4个练习都进行一次</v>
      </c>
    </row>
    <row r="84" spans="1:61">
      <c r="A84" s="185"/>
      <c r="B84" t="s">
        <v>621</v>
      </c>
      <c r="C84" t="s">
        <v>781</v>
      </c>
      <c r="D84" s="20">
        <v>18</v>
      </c>
    </row>
    <row r="85" spans="1:61">
      <c r="A85" s="185"/>
      <c r="B85" t="s">
        <v>376</v>
      </c>
      <c r="C85" t="s">
        <v>782</v>
      </c>
      <c r="D85" s="21">
        <v>19</v>
      </c>
    </row>
    <row r="86" spans="1:61">
      <c r="A86" s="185"/>
      <c r="B86" t="s">
        <v>622</v>
      </c>
      <c r="C86" t="s">
        <v>783</v>
      </c>
      <c r="D86" s="21">
        <v>20</v>
      </c>
    </row>
    <row r="87" spans="1:61">
      <c r="B87" s="17" t="s">
        <v>623</v>
      </c>
      <c r="C87" t="s">
        <v>784</v>
      </c>
      <c r="D87" s="21">
        <v>21</v>
      </c>
    </row>
    <row r="88" spans="1:61">
      <c r="B88" t="s">
        <v>374</v>
      </c>
      <c r="C88" t="s">
        <v>785</v>
      </c>
      <c r="D88" s="21">
        <v>22</v>
      </c>
    </row>
    <row r="89" spans="1:61">
      <c r="B89" t="s">
        <v>624</v>
      </c>
      <c r="C89" t="s">
        <v>786</v>
      </c>
      <c r="D89" s="21">
        <v>23</v>
      </c>
    </row>
    <row r="90" spans="1:61">
      <c r="B90" t="s">
        <v>625</v>
      </c>
      <c r="C90" t="s">
        <v>787</v>
      </c>
      <c r="D90" s="21">
        <v>24</v>
      </c>
    </row>
    <row r="91" spans="1:61">
      <c r="B91" t="s">
        <v>626</v>
      </c>
      <c r="C91" t="s">
        <v>788</v>
      </c>
      <c r="D91" s="21">
        <v>25</v>
      </c>
    </row>
    <row r="92" spans="1:61">
      <c r="B92" t="s">
        <v>627</v>
      </c>
      <c r="C92" t="s">
        <v>789</v>
      </c>
      <c r="D92" s="21">
        <v>26</v>
      </c>
    </row>
    <row r="93" spans="1:61">
      <c r="B93" t="s">
        <v>628</v>
      </c>
      <c r="C93" t="s">
        <v>790</v>
      </c>
      <c r="D93" s="21">
        <v>27</v>
      </c>
    </row>
    <row r="94" spans="1:61">
      <c r="B94" t="s">
        <v>610</v>
      </c>
      <c r="C94" t="s">
        <v>791</v>
      </c>
      <c r="D94" s="21">
        <v>28</v>
      </c>
    </row>
    <row r="95" spans="1:61">
      <c r="B95" t="s">
        <v>629</v>
      </c>
      <c r="C95" t="s">
        <v>792</v>
      </c>
      <c r="D95" s="21">
        <v>29</v>
      </c>
    </row>
    <row r="96" spans="1:61">
      <c r="B96" t="s">
        <v>630</v>
      </c>
      <c r="C96" t="s">
        <v>793</v>
      </c>
      <c r="D96" s="21">
        <v>30</v>
      </c>
    </row>
  </sheetData>
  <mergeCells count="2">
    <mergeCell ref="A2:A49"/>
    <mergeCell ref="A69:A86"/>
  </mergeCells>
  <phoneticPr fontId="7" type="noConversion"/>
  <pageMargins left="0.75" right="0.75" top="1" bottom="1" header="0.51180555555555596" footer="0.51180555555555596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F56"/>
  <sheetViews>
    <sheetView workbookViewId="0">
      <selection activeCell="E15" sqref="E15"/>
    </sheetView>
  </sheetViews>
  <sheetFormatPr defaultColWidth="9" defaultRowHeight="13.5"/>
  <cols>
    <col min="2" max="2" width="8.5" customWidth="1"/>
    <col min="3" max="3" width="27.25" bestFit="1" customWidth="1"/>
    <col min="4" max="4" width="18" customWidth="1"/>
    <col min="5" max="5" width="11.25" bestFit="1" customWidth="1"/>
    <col min="6" max="6" width="28.375" customWidth="1"/>
  </cols>
  <sheetData>
    <row r="1" spans="1:6" ht="15" customHeight="1">
      <c r="A1" t="s">
        <v>144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</row>
    <row r="2" spans="1:6">
      <c r="A2" t="s">
        <v>102</v>
      </c>
      <c r="B2" t="s">
        <v>97</v>
      </c>
      <c r="C2" t="s">
        <v>98</v>
      </c>
      <c r="D2" t="s">
        <v>99</v>
      </c>
      <c r="E2" t="s">
        <v>100</v>
      </c>
      <c r="F2" t="s">
        <v>101</v>
      </c>
    </row>
    <row r="3" spans="1:6" ht="15" customHeight="1">
      <c r="B3" s="186">
        <v>1</v>
      </c>
      <c r="C3" s="186" t="s">
        <v>104</v>
      </c>
      <c r="D3" s="186" t="s">
        <v>105</v>
      </c>
      <c r="E3">
        <v>1</v>
      </c>
      <c r="F3" t="s">
        <v>70</v>
      </c>
    </row>
    <row r="4" spans="1:6" ht="15" customHeight="1">
      <c r="B4" s="186"/>
      <c r="C4" s="186"/>
      <c r="D4" s="186"/>
      <c r="E4">
        <v>2</v>
      </c>
      <c r="F4" t="s">
        <v>69</v>
      </c>
    </row>
    <row r="5" spans="1:6" ht="15" customHeight="1">
      <c r="B5">
        <v>2</v>
      </c>
      <c r="C5" t="s">
        <v>106</v>
      </c>
      <c r="D5" t="s">
        <v>107</v>
      </c>
    </row>
    <row r="6" spans="1:6">
      <c r="B6">
        <v>3</v>
      </c>
      <c r="C6" t="s">
        <v>108</v>
      </c>
      <c r="D6" t="s">
        <v>109</v>
      </c>
    </row>
    <row r="7" spans="1:6">
      <c r="B7" s="186">
        <v>4</v>
      </c>
      <c r="C7" s="186" t="s">
        <v>110</v>
      </c>
      <c r="D7" s="186" t="s">
        <v>111</v>
      </c>
      <c r="E7">
        <v>10001</v>
      </c>
      <c r="F7" t="s">
        <v>112</v>
      </c>
    </row>
    <row r="8" spans="1:6">
      <c r="B8" s="186"/>
      <c r="C8" s="186"/>
      <c r="D8" s="186"/>
      <c r="E8">
        <v>10002</v>
      </c>
      <c r="F8" t="s">
        <v>113</v>
      </c>
    </row>
    <row r="9" spans="1:6">
      <c r="B9" s="186"/>
      <c r="C9" s="186"/>
      <c r="D9" s="186"/>
      <c r="E9">
        <v>10003</v>
      </c>
      <c r="F9" t="s">
        <v>71</v>
      </c>
    </row>
    <row r="10" spans="1:6">
      <c r="B10" s="186"/>
      <c r="C10" s="186"/>
      <c r="D10" s="186"/>
      <c r="E10">
        <v>10004</v>
      </c>
      <c r="F10" t="s">
        <v>72</v>
      </c>
    </row>
    <row r="11" spans="1:6">
      <c r="B11" s="186"/>
      <c r="C11" s="186"/>
      <c r="D11" s="186"/>
      <c r="E11">
        <v>10005</v>
      </c>
      <c r="F11" t="s">
        <v>73</v>
      </c>
    </row>
    <row r="12" spans="1:6">
      <c r="B12" s="186"/>
      <c r="C12" s="186"/>
      <c r="D12" s="186"/>
      <c r="E12">
        <v>10006</v>
      </c>
      <c r="F12" t="s">
        <v>74</v>
      </c>
    </row>
    <row r="13" spans="1:6">
      <c r="B13" s="186"/>
      <c r="C13" s="186"/>
      <c r="D13" s="186"/>
      <c r="E13" s="180">
        <v>10007</v>
      </c>
      <c r="F13" t="s">
        <v>75</v>
      </c>
    </row>
    <row r="14" spans="1:6">
      <c r="B14" s="186"/>
      <c r="C14" s="186"/>
      <c r="D14" s="186"/>
      <c r="E14" s="180">
        <v>10008</v>
      </c>
      <c r="F14" t="s">
        <v>76</v>
      </c>
    </row>
    <row r="15" spans="1:6">
      <c r="B15" s="186"/>
      <c r="C15" s="186"/>
      <c r="D15" s="186"/>
      <c r="E15" s="180">
        <v>10009</v>
      </c>
      <c r="F15" t="s">
        <v>77</v>
      </c>
    </row>
    <row r="16" spans="1:6">
      <c r="B16" s="186"/>
      <c r="C16" s="186"/>
      <c r="D16" s="186"/>
      <c r="E16">
        <v>10</v>
      </c>
      <c r="F16" t="s">
        <v>78</v>
      </c>
    </row>
    <row r="17" spans="2:6">
      <c r="B17" s="186"/>
      <c r="C17" s="186"/>
      <c r="D17" s="186"/>
      <c r="E17">
        <v>11</v>
      </c>
      <c r="F17" t="s">
        <v>79</v>
      </c>
    </row>
    <row r="18" spans="2:6">
      <c r="B18">
        <v>5</v>
      </c>
      <c r="C18" t="s">
        <v>114</v>
      </c>
      <c r="D18" t="s">
        <v>121</v>
      </c>
    </row>
    <row r="19" spans="2:6">
      <c r="B19">
        <v>6</v>
      </c>
      <c r="C19" t="s">
        <v>150</v>
      </c>
      <c r="D19" t="s">
        <v>122</v>
      </c>
    </row>
    <row r="20" spans="2:6">
      <c r="B20">
        <v>7</v>
      </c>
      <c r="C20" t="s">
        <v>115</v>
      </c>
      <c r="D20" t="s">
        <v>123</v>
      </c>
    </row>
    <row r="21" spans="2:6">
      <c r="B21" s="186">
        <v>8</v>
      </c>
      <c r="C21" s="186" t="s">
        <v>116</v>
      </c>
      <c r="D21" s="186" t="s">
        <v>117</v>
      </c>
      <c r="E21">
        <v>1</v>
      </c>
      <c r="F21" t="s">
        <v>118</v>
      </c>
    </row>
    <row r="22" spans="2:6">
      <c r="B22" s="186"/>
      <c r="C22" s="186"/>
      <c r="D22" s="186"/>
      <c r="E22">
        <v>2</v>
      </c>
      <c r="F22" t="s">
        <v>119</v>
      </c>
    </row>
    <row r="23" spans="2:6">
      <c r="B23" s="186"/>
      <c r="C23" s="186"/>
      <c r="D23" s="186"/>
      <c r="E23">
        <v>4</v>
      </c>
      <c r="F23" t="s">
        <v>120</v>
      </c>
    </row>
    <row r="24" spans="2:6">
      <c r="B24" s="186">
        <v>9</v>
      </c>
      <c r="C24" s="186" t="s">
        <v>124</v>
      </c>
      <c r="D24" s="186" t="s">
        <v>126</v>
      </c>
      <c r="E24">
        <v>1</v>
      </c>
      <c r="F24" t="s">
        <v>128</v>
      </c>
    </row>
    <row r="25" spans="2:6">
      <c r="B25" s="186"/>
      <c r="C25" s="186"/>
      <c r="D25" s="186"/>
      <c r="E25">
        <v>2</v>
      </c>
      <c r="F25" t="s">
        <v>126</v>
      </c>
    </row>
    <row r="26" spans="2:6">
      <c r="B26">
        <v>10</v>
      </c>
      <c r="C26" t="s">
        <v>125</v>
      </c>
      <c r="D26" t="s">
        <v>127</v>
      </c>
    </row>
    <row r="27" spans="2:6">
      <c r="B27">
        <v>11</v>
      </c>
      <c r="C27" t="s">
        <v>129</v>
      </c>
      <c r="D27" t="s">
        <v>131</v>
      </c>
    </row>
    <row r="28" spans="2:6">
      <c r="B28">
        <v>12</v>
      </c>
      <c r="C28" t="s">
        <v>130</v>
      </c>
      <c r="D28" t="s">
        <v>132</v>
      </c>
    </row>
    <row r="29" spans="2:6">
      <c r="B29" s="186">
        <v>13</v>
      </c>
      <c r="C29" s="186" t="s">
        <v>173</v>
      </c>
      <c r="D29" s="186" t="s">
        <v>151</v>
      </c>
      <c r="E29">
        <v>1</v>
      </c>
      <c r="F29" t="s">
        <v>152</v>
      </c>
    </row>
    <row r="30" spans="2:6">
      <c r="B30" s="186"/>
      <c r="C30" s="186"/>
      <c r="D30" s="186"/>
      <c r="E30">
        <v>2</v>
      </c>
      <c r="F30" t="s">
        <v>153</v>
      </c>
    </row>
    <row r="31" spans="2:6">
      <c r="B31" s="186"/>
      <c r="C31" s="186"/>
      <c r="D31" s="186"/>
      <c r="E31">
        <v>3</v>
      </c>
      <c r="F31" t="s">
        <v>154</v>
      </c>
    </row>
    <row r="32" spans="2:6">
      <c r="B32" s="186"/>
      <c r="C32" s="186"/>
      <c r="D32" s="186"/>
      <c r="E32">
        <v>4</v>
      </c>
      <c r="F32" t="s">
        <v>155</v>
      </c>
    </row>
    <row r="33" spans="2:6">
      <c r="B33">
        <v>14</v>
      </c>
      <c r="C33" t="s">
        <v>156</v>
      </c>
      <c r="D33" t="s">
        <v>157</v>
      </c>
    </row>
    <row r="34" spans="2:6">
      <c r="B34">
        <v>15</v>
      </c>
      <c r="C34" t="s">
        <v>158</v>
      </c>
      <c r="D34" t="s">
        <v>159</v>
      </c>
    </row>
    <row r="35" spans="2:6">
      <c r="B35">
        <v>16</v>
      </c>
      <c r="C35" t="s">
        <v>160</v>
      </c>
      <c r="D35" t="s">
        <v>161</v>
      </c>
    </row>
    <row r="36" spans="2:6">
      <c r="B36">
        <v>17</v>
      </c>
      <c r="C36" t="s">
        <v>365</v>
      </c>
      <c r="D36" t="s">
        <v>162</v>
      </c>
    </row>
    <row r="37" spans="2:6">
      <c r="B37">
        <v>18</v>
      </c>
      <c r="C37" t="s">
        <v>163</v>
      </c>
      <c r="D37" t="s">
        <v>164</v>
      </c>
    </row>
    <row r="38" spans="2:6">
      <c r="B38">
        <v>19</v>
      </c>
      <c r="C38" t="s">
        <v>165</v>
      </c>
      <c r="D38" t="s">
        <v>166</v>
      </c>
    </row>
    <row r="39" spans="2:6">
      <c r="B39">
        <v>20</v>
      </c>
      <c r="C39" t="s">
        <v>167</v>
      </c>
      <c r="D39" t="s">
        <v>168</v>
      </c>
    </row>
    <row r="40" spans="2:6">
      <c r="B40">
        <v>21</v>
      </c>
      <c r="C40" t="s">
        <v>169</v>
      </c>
      <c r="D40" t="s">
        <v>170</v>
      </c>
    </row>
    <row r="41" spans="2:6">
      <c r="B41">
        <v>22</v>
      </c>
      <c r="C41" t="s">
        <v>215</v>
      </c>
      <c r="D41" t="s">
        <v>214</v>
      </c>
    </row>
    <row r="42" spans="2:6">
      <c r="B42">
        <v>23</v>
      </c>
      <c r="C42" t="s">
        <v>216</v>
      </c>
      <c r="D42" t="s">
        <v>217</v>
      </c>
    </row>
    <row r="43" spans="2:6">
      <c r="B43">
        <v>24</v>
      </c>
      <c r="C43" t="s">
        <v>174</v>
      </c>
      <c r="D43" t="s">
        <v>171</v>
      </c>
    </row>
    <row r="44" spans="2:6">
      <c r="B44" s="186">
        <v>25</v>
      </c>
      <c r="C44" s="186" t="s">
        <v>366</v>
      </c>
      <c r="D44" s="186" t="s">
        <v>172</v>
      </c>
      <c r="E44">
        <v>1</v>
      </c>
      <c r="F44" t="s">
        <v>172</v>
      </c>
    </row>
    <row r="45" spans="2:6">
      <c r="B45" s="186"/>
      <c r="C45" s="186"/>
      <c r="D45" s="186"/>
      <c r="E45">
        <v>2</v>
      </c>
      <c r="F45" t="s">
        <v>367</v>
      </c>
    </row>
    <row r="46" spans="2:6">
      <c r="B46" s="186"/>
      <c r="C46" s="186"/>
      <c r="D46" s="186"/>
    </row>
    <row r="47" spans="2:6">
      <c r="B47" s="186"/>
      <c r="C47" s="186"/>
      <c r="D47" s="186"/>
    </row>
    <row r="48" spans="2:6">
      <c r="B48" s="186"/>
      <c r="C48" s="186"/>
      <c r="D48" s="186"/>
    </row>
    <row r="49" spans="2:6">
      <c r="B49">
        <v>26</v>
      </c>
      <c r="C49" t="s">
        <v>409</v>
      </c>
      <c r="D49" t="s">
        <v>397</v>
      </c>
    </row>
    <row r="50" spans="2:6">
      <c r="B50">
        <v>27</v>
      </c>
      <c r="C50" t="s">
        <v>410</v>
      </c>
      <c r="D50" t="s">
        <v>398</v>
      </c>
    </row>
    <row r="51" spans="2:6">
      <c r="B51" s="186">
        <v>28</v>
      </c>
      <c r="C51" s="186" t="s">
        <v>411</v>
      </c>
      <c r="D51" s="186" t="s">
        <v>403</v>
      </c>
      <c r="E51">
        <v>1</v>
      </c>
      <c r="F51" t="s">
        <v>399</v>
      </c>
    </row>
    <row r="52" spans="2:6">
      <c r="B52" s="186"/>
      <c r="C52" s="186"/>
      <c r="D52" s="186"/>
      <c r="E52">
        <v>2</v>
      </c>
      <c r="F52" t="s">
        <v>400</v>
      </c>
    </row>
    <row r="53" spans="2:6">
      <c r="B53" s="186">
        <v>29</v>
      </c>
      <c r="C53" s="186" t="s">
        <v>412</v>
      </c>
      <c r="D53" s="186" t="s">
        <v>404</v>
      </c>
      <c r="E53">
        <v>1</v>
      </c>
      <c r="F53" t="s">
        <v>401</v>
      </c>
    </row>
    <row r="54" spans="2:6">
      <c r="B54" s="186"/>
      <c r="C54" s="186"/>
      <c r="D54" s="186"/>
      <c r="E54">
        <v>2</v>
      </c>
      <c r="F54" t="s">
        <v>402</v>
      </c>
    </row>
    <row r="55" spans="2:6">
      <c r="B55">
        <v>30</v>
      </c>
      <c r="C55" s="174" t="s">
        <v>978</v>
      </c>
      <c r="D55" s="173" t="s">
        <v>976</v>
      </c>
    </row>
    <row r="56" spans="2:6">
      <c r="B56">
        <v>31</v>
      </c>
      <c r="C56" s="174" t="s">
        <v>980</v>
      </c>
      <c r="D56" s="173" t="s">
        <v>977</v>
      </c>
    </row>
  </sheetData>
  <mergeCells count="24">
    <mergeCell ref="B51:B52"/>
    <mergeCell ref="B53:B54"/>
    <mergeCell ref="D51:D52"/>
    <mergeCell ref="D53:D54"/>
    <mergeCell ref="C51:C52"/>
    <mergeCell ref="C53:C54"/>
    <mergeCell ref="B3:B4"/>
    <mergeCell ref="C3:C4"/>
    <mergeCell ref="D3:D4"/>
    <mergeCell ref="B7:B17"/>
    <mergeCell ref="C7:C17"/>
    <mergeCell ref="D7:D17"/>
    <mergeCell ref="B21:B23"/>
    <mergeCell ref="C21:C23"/>
    <mergeCell ref="D21:D23"/>
    <mergeCell ref="B24:B25"/>
    <mergeCell ref="C24:C25"/>
    <mergeCell ref="D24:D25"/>
    <mergeCell ref="B44:B48"/>
    <mergeCell ref="C44:C48"/>
    <mergeCell ref="D44:D48"/>
    <mergeCell ref="B29:B32"/>
    <mergeCell ref="C29:C32"/>
    <mergeCell ref="D29:D32"/>
  </mergeCells>
  <phoneticPr fontId="7" type="noConversion"/>
  <pageMargins left="0.75" right="0.75" top="1" bottom="1" header="0.51180555555555596" footer="0.51180555555555596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TaskSign</vt:lpstr>
      <vt:lpstr>TaskMain</vt:lpstr>
      <vt:lpstr>TaskDaily</vt:lpstr>
      <vt:lpstr>TaskPrecondition</vt:lpstr>
      <vt:lpstr>TaskCondition</vt:lpstr>
      <vt:lpstr>TaskLink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WillP</dc:creator>
  <cp:lastModifiedBy>Administrator</cp:lastModifiedBy>
  <dcterms:created xsi:type="dcterms:W3CDTF">2006-09-13T11:21:51Z</dcterms:created>
  <dcterms:modified xsi:type="dcterms:W3CDTF">2016-06-25T04:08:22Z</dcterms:modified>
</cp:coreProperties>
</file>