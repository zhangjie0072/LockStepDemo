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comments6.xml" ContentType="application/vnd.openxmlformats-officedocument.spreadsheetml.comment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comments4.xml" ContentType="application/vnd.openxmlformats-officedocument.spreadsheetml.comments+xml"/>
  <Override PartName="/xl/comments5.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mments2.xml" ContentType="application/vnd.openxmlformats-officedocument.spreadsheetml.comments+xml"/>
  <Override PartName="/xl/comments3.xml" ContentType="application/vnd.openxmlformats-officedocument.spreadsheetml.comment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2655" yWindow="105" windowWidth="19200" windowHeight="11640" activeTab="1"/>
  </bookViews>
  <sheets>
    <sheet name="Chapter" sheetId="1" r:id="rId1"/>
    <sheet name="Section" sheetId="2" r:id="rId2"/>
    <sheet name="CareerAwardLib" sheetId="3" r:id="rId3"/>
    <sheet name="Plot" sheetId="7" r:id="rId4"/>
    <sheet name="StarCondition" sheetId="11" r:id="rId5"/>
    <sheet name="SectionResetTimes" sheetId="12" r:id="rId6"/>
  </sheets>
  <definedNames>
    <definedName name="_xlnm._FilterDatabase" localSheetId="2" hidden="1">CareerAwardLib!$J$1:$K$88</definedName>
    <definedName name="_xlnm._FilterDatabase" localSheetId="1" hidden="1">Section!$A$1:$FJ$127</definedName>
    <definedName name="OLE_LINK100" localSheetId="3">Plot!#REF!</definedName>
    <definedName name="OLE_LINK104" localSheetId="3">Plot!#REF!</definedName>
    <definedName name="OLE_LINK112" localSheetId="3">Plot!#REF!</definedName>
    <definedName name="OLE_LINK114" localSheetId="3">Plot!#REF!</definedName>
    <definedName name="OLE_LINK116" localSheetId="1">Section!#REF!</definedName>
    <definedName name="OLE_LINK124" localSheetId="3">Plot!#REF!</definedName>
    <definedName name="OLE_LINK131" localSheetId="3">Plot!#REF!</definedName>
    <definedName name="OLE_LINK140" localSheetId="3">Plot!#REF!</definedName>
    <definedName name="OLE_LINK154" localSheetId="3">Plot!#REF!</definedName>
    <definedName name="OLE_LINK160" localSheetId="3">Plot!#REF!</definedName>
    <definedName name="OLE_LINK162" localSheetId="3">Plot!#REF!</definedName>
    <definedName name="OLE_LINK164" localSheetId="3">Plot!#REF!</definedName>
    <definedName name="OLE_LINK166" localSheetId="3">Plot!#REF!</definedName>
    <definedName name="OLE_LINK168" localSheetId="3">Plot!#REF!</definedName>
    <definedName name="OLE_LINK170" localSheetId="3">Plot!#REF!</definedName>
    <definedName name="OLE_LINK172" localSheetId="1">Section!#REF!</definedName>
    <definedName name="OLE_LINK174" localSheetId="3">Plot!#REF!</definedName>
    <definedName name="OLE_LINK178" localSheetId="3">Plot!#REF!</definedName>
    <definedName name="OLE_LINK182" localSheetId="3">Plot!#REF!</definedName>
    <definedName name="OLE_LINK186" localSheetId="3">Plot!#REF!</definedName>
    <definedName name="OLE_LINK187" localSheetId="3">Plot!#REF!</definedName>
    <definedName name="OLE_LINK193" localSheetId="3">Plot!#REF!</definedName>
    <definedName name="OLE_LINK198" localSheetId="3">Plot!#REF!</definedName>
    <definedName name="OLE_LINK200" localSheetId="3">Plot!#REF!</definedName>
    <definedName name="OLE_LINK203" localSheetId="3">Plot!#REF!</definedName>
    <definedName name="OLE_LINK205" localSheetId="3">Plot!#REF!</definedName>
    <definedName name="OLE_LINK207" localSheetId="3">Plot!#REF!</definedName>
    <definedName name="OLE_LINK209" localSheetId="3">Plot!#REF!</definedName>
    <definedName name="OLE_LINK211" localSheetId="3">Plot!#REF!</definedName>
    <definedName name="OLE_LINK213" localSheetId="3">Plot!#REF!</definedName>
    <definedName name="OLE_LINK219" localSheetId="3">Plot!#REF!</definedName>
    <definedName name="OLE_LINK22" localSheetId="3">Plot!#REF!</definedName>
    <definedName name="OLE_LINK222" localSheetId="3">Plot!#REF!</definedName>
    <definedName name="OLE_LINK224" localSheetId="3">Plot!#REF!</definedName>
    <definedName name="OLE_LINK228" localSheetId="3">Plot!#REF!</definedName>
    <definedName name="OLE_LINK230" localSheetId="3">Plot!#REF!</definedName>
    <definedName name="OLE_LINK232" localSheetId="3">Plot!#REF!</definedName>
    <definedName name="OLE_LINK238" localSheetId="3">Plot!#REF!</definedName>
    <definedName name="OLE_LINK24" localSheetId="3">Plot!#REF!</definedName>
    <definedName name="OLE_LINK240" localSheetId="3">Plot!#REF!</definedName>
    <definedName name="OLE_LINK242" localSheetId="3">Plot!#REF!</definedName>
    <definedName name="OLE_LINK244" localSheetId="3">Plot!#REF!</definedName>
    <definedName name="OLE_LINK256" localSheetId="3">Plot!#REF!</definedName>
    <definedName name="OLE_LINK266" localSheetId="3">Plot!#REF!</definedName>
    <definedName name="OLE_LINK272" localSheetId="3">Plot!#REF!</definedName>
    <definedName name="OLE_LINK274" localSheetId="3">Plot!#REF!</definedName>
    <definedName name="OLE_LINK280" localSheetId="3">Plot!#REF!</definedName>
    <definedName name="OLE_LINK282" localSheetId="3">Plot!#REF!</definedName>
    <definedName name="OLE_LINK286" localSheetId="3">Plot!#REF!</definedName>
    <definedName name="OLE_LINK288" localSheetId="3">Plot!#REF!</definedName>
    <definedName name="OLE_LINK296" localSheetId="3">Plot!#REF!</definedName>
    <definedName name="OLE_LINK298" localSheetId="3">Plot!#REF!</definedName>
    <definedName name="OLE_LINK30" localSheetId="3">Plot!#REF!</definedName>
    <definedName name="OLE_LINK304" localSheetId="3">Plot!#REF!</definedName>
    <definedName name="OLE_LINK308" localSheetId="3">Plot!#REF!</definedName>
    <definedName name="OLE_LINK310" localSheetId="3">Plot!#REF!</definedName>
    <definedName name="OLE_LINK312" localSheetId="3">Plot!#REF!</definedName>
    <definedName name="OLE_LINK314" localSheetId="3">Plot!#REF!</definedName>
    <definedName name="OLE_LINK318" localSheetId="3">Plot!#REF!</definedName>
    <definedName name="OLE_LINK320" localSheetId="3">Plot!#REF!</definedName>
    <definedName name="OLE_LINK322" localSheetId="3">Plot!#REF!</definedName>
    <definedName name="OLE_LINK324" localSheetId="3">Plot!#REF!</definedName>
    <definedName name="OLE_LINK326" localSheetId="3">Plot!#REF!</definedName>
    <definedName name="OLE_LINK328" localSheetId="3">Plot!#REF!</definedName>
    <definedName name="OLE_LINK332" localSheetId="3">Plot!#REF!</definedName>
    <definedName name="OLE_LINK338" localSheetId="3">Plot!#REF!</definedName>
    <definedName name="OLE_LINK340" localSheetId="3">Plot!#REF!</definedName>
    <definedName name="OLE_LINK344" localSheetId="3">Plot!#REF!</definedName>
    <definedName name="OLE_LINK346" localSheetId="3">Plot!#REF!</definedName>
    <definedName name="OLE_LINK348" localSheetId="3">Plot!#REF!</definedName>
    <definedName name="OLE_LINK354" localSheetId="3">Plot!#REF!</definedName>
    <definedName name="OLE_LINK358" localSheetId="3">Plot!#REF!</definedName>
    <definedName name="OLE_LINK362" localSheetId="3">Plot!#REF!</definedName>
    <definedName name="OLE_LINK364" localSheetId="3">Plot!#REF!</definedName>
    <definedName name="OLE_LINK366" localSheetId="3">Plot!#REF!</definedName>
    <definedName name="OLE_LINK374" localSheetId="3">Plot!#REF!</definedName>
    <definedName name="OLE_LINK376" localSheetId="3">Plot!#REF!</definedName>
    <definedName name="OLE_LINK380" localSheetId="3">Plot!#REF!</definedName>
    <definedName name="OLE_LINK382" localSheetId="3">Plot!#REF!</definedName>
    <definedName name="OLE_LINK384" localSheetId="3">Plot!#REF!</definedName>
    <definedName name="OLE_LINK390" localSheetId="3">Plot!#REF!</definedName>
    <definedName name="OLE_LINK392" localSheetId="3">Plot!#REF!</definedName>
    <definedName name="OLE_LINK394" localSheetId="3">Plot!#REF!</definedName>
    <definedName name="OLE_LINK396" localSheetId="3">Plot!#REF!</definedName>
    <definedName name="OLE_LINK398" localSheetId="3">Plot!#REF!</definedName>
    <definedName name="OLE_LINK402" localSheetId="3">Plot!#REF!</definedName>
    <definedName name="OLE_LINK404" localSheetId="3">Plot!#REF!</definedName>
    <definedName name="OLE_LINK406" localSheetId="3">Plot!#REF!</definedName>
    <definedName name="OLE_LINK408" localSheetId="3">Plot!#REF!</definedName>
    <definedName name="OLE_LINK410" localSheetId="3">Plot!#REF!</definedName>
    <definedName name="OLE_LINK412" localSheetId="3">Plot!#REF!</definedName>
    <definedName name="OLE_LINK418" localSheetId="3">Plot!#REF!</definedName>
    <definedName name="OLE_LINK424" localSheetId="3">Plot!#REF!</definedName>
    <definedName name="OLE_LINK426" localSheetId="3">Plot!#REF!</definedName>
    <definedName name="OLE_LINK430" localSheetId="3">Plot!#REF!</definedName>
    <definedName name="OLE_LINK432" localSheetId="3">Plot!#REF!</definedName>
    <definedName name="OLE_LINK434" localSheetId="3">Plot!#REF!</definedName>
    <definedName name="OLE_LINK436" localSheetId="3">Plot!#REF!</definedName>
    <definedName name="OLE_LINK438" localSheetId="3">Plot!#REF!</definedName>
    <definedName name="OLE_LINK440" localSheetId="3">Plot!#REF!</definedName>
    <definedName name="OLE_LINK442" localSheetId="3">Plot!#REF!</definedName>
    <definedName name="OLE_LINK447" localSheetId="3">Plot!#REF!</definedName>
    <definedName name="OLE_LINK460" localSheetId="3">Plot!$F$3</definedName>
    <definedName name="OLE_LINK470" localSheetId="1">Section!#REF!</definedName>
    <definedName name="OLE_LINK478" localSheetId="1">Section!#REF!</definedName>
    <definedName name="OLE_LINK482" localSheetId="3">Plot!#REF!</definedName>
    <definedName name="OLE_LINK494" localSheetId="3">Plot!#REF!</definedName>
    <definedName name="OLE_LINK499" localSheetId="3">Plot!#REF!</definedName>
    <definedName name="OLE_LINK500" localSheetId="3">Plot!#REF!</definedName>
    <definedName name="OLE_LINK502" localSheetId="3">Plot!#REF!</definedName>
    <definedName name="OLE_LINK504" localSheetId="3">Plot!#REF!</definedName>
    <definedName name="OLE_LINK508" localSheetId="3">Plot!#REF!</definedName>
    <definedName name="OLE_LINK510" localSheetId="3">Plot!#REF!</definedName>
    <definedName name="OLE_LINK512" localSheetId="3">Plot!#REF!</definedName>
    <definedName name="OLE_LINK514" localSheetId="3">Plot!#REF!</definedName>
    <definedName name="OLE_LINK517" localSheetId="3">Plot!#REF!</definedName>
    <definedName name="OLE_LINK525" localSheetId="1">Section!#REF!</definedName>
    <definedName name="OLE_LINK529" localSheetId="3">Plot!#REF!</definedName>
    <definedName name="OLE_LINK533" localSheetId="3">Plot!#REF!</definedName>
    <definedName name="OLE_LINK538" localSheetId="3">Plot!#REF!</definedName>
    <definedName name="OLE_LINK540" localSheetId="3">Plot!#REF!</definedName>
    <definedName name="OLE_LINK542" localSheetId="3">Plot!#REF!</definedName>
    <definedName name="OLE_LINK544" localSheetId="3">Plot!#REF!</definedName>
    <definedName name="OLE_LINK546" localSheetId="3">Plot!#REF!</definedName>
    <definedName name="OLE_LINK550" localSheetId="3">Plot!#REF!</definedName>
    <definedName name="OLE_LINK56" localSheetId="1">Section!#REF!</definedName>
    <definedName name="OLE_LINK561" localSheetId="0">Chapter!$B$7</definedName>
    <definedName name="OLE_LINK576" localSheetId="3">Plot!#REF!</definedName>
    <definedName name="OLE_LINK59" localSheetId="3">Plot!#REF!</definedName>
    <definedName name="OLE_LINK590" localSheetId="1">Section!#REF!</definedName>
    <definedName name="OLE_LINK63" localSheetId="3">Plot!#REF!</definedName>
    <definedName name="OLE_LINK69" localSheetId="3">Plot!#REF!</definedName>
    <definedName name="OLE_LINK73" localSheetId="3">Plot!#REF!</definedName>
    <definedName name="OLE_LINK78" localSheetId="3">Plot!#REF!</definedName>
    <definedName name="OLE_LINK80" localSheetId="3">Plot!#REF!</definedName>
    <definedName name="OLE_LINK85" localSheetId="3">Plot!#REF!</definedName>
    <definedName name="OLE_LINK91" localSheetId="3">Plot!#REF!</definedName>
    <definedName name="OLE_LINK94" localSheetId="3">Plot!#REF!</definedName>
    <definedName name="OLE_LINK96" localSheetId="3">Plot!#REF!</definedName>
  </definedNames>
  <calcPr calcId="125725"/>
</workbook>
</file>

<file path=xl/calcChain.xml><?xml version="1.0" encoding="utf-8"?>
<calcChain xmlns="http://schemas.openxmlformats.org/spreadsheetml/2006/main">
  <c r="AR43" i="2"/>
  <c r="AR40"/>
  <c r="AR37"/>
  <c r="AR36"/>
  <c r="AR33"/>
  <c r="AR30"/>
  <c r="AR29"/>
  <c r="AR26"/>
  <c r="AR23"/>
  <c r="AR22"/>
  <c r="AR19"/>
  <c r="AR16"/>
  <c r="AR15"/>
  <c r="AR12"/>
  <c r="AR9"/>
  <c r="AR8"/>
  <c r="AR5"/>
  <c r="AR2"/>
  <c r="M9" i="7"/>
  <c r="M8"/>
  <c r="M7"/>
  <c r="M6"/>
  <c r="O3" i="1"/>
  <c r="O4"/>
  <c r="O5"/>
  <c r="O6"/>
  <c r="O7"/>
  <c r="O8"/>
  <c r="O9"/>
  <c r="O10"/>
  <c r="O11"/>
  <c r="O12"/>
  <c r="S15" i="11"/>
  <c r="P15"/>
  <c r="H15"/>
  <c r="S14"/>
  <c r="P14"/>
  <c r="H14"/>
  <c r="S13"/>
  <c r="P13"/>
  <c r="H13"/>
  <c r="S12"/>
  <c r="P12"/>
  <c r="H12"/>
  <c r="S11"/>
  <c r="P11"/>
  <c r="H11"/>
  <c r="S10"/>
  <c r="P10"/>
  <c r="H10"/>
  <c r="S9"/>
  <c r="P9"/>
  <c r="H9"/>
  <c r="S8"/>
  <c r="P8"/>
  <c r="H8"/>
  <c r="S7"/>
  <c r="P7"/>
  <c r="H7"/>
  <c r="S6"/>
  <c r="P6"/>
  <c r="H6"/>
  <c r="S5"/>
  <c r="P5"/>
  <c r="H5"/>
  <c r="S4"/>
  <c r="P4"/>
  <c r="H4"/>
  <c r="S3"/>
  <c r="P3"/>
  <c r="H3"/>
  <c r="D3"/>
  <c r="D4" s="1"/>
  <c r="S2"/>
  <c r="P2"/>
  <c r="M2"/>
  <c r="J2"/>
  <c r="H2"/>
  <c r="O2" i="1"/>
  <c r="AV33" i="2"/>
  <c r="AV8"/>
  <c r="S6" i="1"/>
  <c r="AV36" i="2"/>
  <c r="AV37"/>
  <c r="Q7" i="7"/>
  <c r="S10" i="1"/>
  <c r="S9"/>
  <c r="S4"/>
  <c r="AV9" i="2"/>
  <c r="AV26"/>
  <c r="Q9" i="7"/>
  <c r="AV15" i="2"/>
  <c r="S11" i="1"/>
  <c r="Q6" i="7"/>
  <c r="AV30" i="2"/>
  <c r="AV16"/>
  <c r="S5" i="1"/>
  <c r="AV29" i="2"/>
  <c r="S7" i="1"/>
  <c r="AV40" i="2"/>
  <c r="AV22"/>
  <c r="AV43"/>
  <c r="S2" i="1"/>
  <c r="S12"/>
  <c r="AV19" i="2"/>
  <c r="AV23"/>
  <c r="AV12"/>
  <c r="AV5"/>
  <c r="S3" i="1"/>
  <c r="Q8" i="7"/>
  <c r="S8" i="1"/>
  <c r="AV2" i="2"/>
  <c r="M3" i="11" l="1"/>
  <c r="D5"/>
  <c r="J4"/>
  <c r="M4"/>
  <c r="J3"/>
  <c r="D6" l="1"/>
  <c r="J5"/>
  <c r="M5"/>
  <c r="D7" l="1"/>
  <c r="J6"/>
  <c r="M6"/>
  <c r="D8" l="1"/>
  <c r="J7"/>
  <c r="M7"/>
  <c r="D9" l="1"/>
  <c r="J8"/>
  <c r="M8"/>
  <c r="D10" l="1"/>
  <c r="J9"/>
  <c r="M9"/>
  <c r="D11" l="1"/>
  <c r="J10"/>
  <c r="M10"/>
  <c r="D12" l="1"/>
  <c r="J11"/>
  <c r="M11"/>
  <c r="D13" l="1"/>
  <c r="J12"/>
  <c r="M12"/>
  <c r="D14" l="1"/>
  <c r="J13"/>
  <c r="M13"/>
  <c r="D15" l="1"/>
  <c r="J14"/>
  <c r="M14"/>
  <c r="J15" l="1"/>
  <c r="M15"/>
</calcChain>
</file>

<file path=xl/comments1.xml><?xml version="1.0" encoding="utf-8"?>
<comments xmlns="http://schemas.openxmlformats.org/spreadsheetml/2006/main">
  <authors>
    <author>作者</author>
    <author>admin</author>
  </authors>
  <commentList>
    <comment ref="A1" authorId="0">
      <text>
        <r>
          <rPr>
            <sz val="9"/>
            <color indexed="81"/>
            <rFont val="宋体"/>
            <family val="3"/>
            <charset val="134"/>
          </rPr>
          <t>章节</t>
        </r>
        <r>
          <rPr>
            <sz val="9"/>
            <color indexed="81"/>
            <rFont val="Tahoma"/>
            <family val="2"/>
          </rPr>
          <t>ID</t>
        </r>
      </text>
    </comment>
    <comment ref="B1" authorId="1">
      <text>
        <r>
          <rPr>
            <b/>
            <sz val="9"/>
            <color indexed="81"/>
            <rFont val="宋体"/>
            <family val="3"/>
            <charset val="134"/>
          </rPr>
          <t>章节名称</t>
        </r>
      </text>
    </comment>
    <comment ref="C1" authorId="1">
      <text>
        <r>
          <rPr>
            <b/>
            <sz val="9"/>
            <color indexed="81"/>
            <rFont val="宋体"/>
            <family val="3"/>
            <charset val="134"/>
          </rPr>
          <t>下一章节</t>
        </r>
        <r>
          <rPr>
            <b/>
            <sz val="9"/>
            <color indexed="81"/>
            <rFont val="Tahoma"/>
            <family val="2"/>
          </rPr>
          <t>ID</t>
        </r>
      </text>
    </comment>
    <comment ref="D1" authorId="0">
      <text>
        <r>
          <rPr>
            <sz val="9"/>
            <color indexed="81"/>
            <rFont val="宋体"/>
            <family val="3"/>
            <charset val="134"/>
          </rPr>
          <t>第一个关卡ID</t>
        </r>
      </text>
    </comment>
    <comment ref="E1" authorId="1">
      <text>
        <r>
          <rPr>
            <b/>
            <sz val="9"/>
            <color indexed="81"/>
            <rFont val="宋体"/>
            <family val="3"/>
            <charset val="134"/>
          </rPr>
          <t>地图区域</t>
        </r>
      </text>
    </comment>
    <comment ref="F1" authorId="0">
      <text>
        <r>
          <rPr>
            <sz val="9"/>
            <color indexed="81"/>
            <rFont val="宋体"/>
            <family val="3"/>
            <charset val="134"/>
          </rPr>
          <t>解锁等级</t>
        </r>
      </text>
    </comment>
    <comment ref="G1" authorId="0">
      <text>
        <r>
          <rPr>
            <sz val="9"/>
            <color indexed="81"/>
            <rFont val="宋体"/>
            <family val="3"/>
            <charset val="134"/>
          </rPr>
          <t>铜宝箱需求值</t>
        </r>
      </text>
    </comment>
    <comment ref="H1" authorId="1">
      <text>
        <r>
          <rPr>
            <b/>
            <sz val="9"/>
            <color indexed="81"/>
            <rFont val="宋体"/>
            <family val="3"/>
            <charset val="134"/>
          </rPr>
          <t>铜宝箱奖励库</t>
        </r>
        <r>
          <rPr>
            <b/>
            <sz val="9"/>
            <color indexed="81"/>
            <rFont val="Tahoma"/>
            <family val="2"/>
          </rPr>
          <t>ID</t>
        </r>
      </text>
    </comment>
    <comment ref="I1" authorId="1">
      <text>
        <r>
          <rPr>
            <b/>
            <sz val="9"/>
            <color indexed="81"/>
            <rFont val="宋体"/>
            <family val="3"/>
            <charset val="134"/>
          </rPr>
          <t>银宝箱需求值</t>
        </r>
      </text>
    </comment>
    <comment ref="J1" authorId="1">
      <text>
        <r>
          <rPr>
            <b/>
            <sz val="9"/>
            <color indexed="81"/>
            <rFont val="宋体"/>
            <family val="3"/>
            <charset val="134"/>
          </rPr>
          <t>银宝箱奖励库</t>
        </r>
        <r>
          <rPr>
            <b/>
            <sz val="9"/>
            <color indexed="81"/>
            <rFont val="Tahoma"/>
            <family val="2"/>
          </rPr>
          <t>ID</t>
        </r>
      </text>
    </comment>
    <comment ref="K1" authorId="1">
      <text>
        <r>
          <rPr>
            <b/>
            <sz val="9"/>
            <color indexed="81"/>
            <rFont val="宋体"/>
            <family val="3"/>
            <charset val="134"/>
          </rPr>
          <t>金宝箱需求值</t>
        </r>
      </text>
    </comment>
    <comment ref="L1" authorId="1">
      <text>
        <r>
          <rPr>
            <b/>
            <sz val="9"/>
            <color indexed="81"/>
            <rFont val="宋体"/>
            <family val="3"/>
            <charset val="134"/>
          </rPr>
          <t>金宝箱奖励库</t>
        </r>
        <r>
          <rPr>
            <b/>
            <sz val="9"/>
            <color indexed="81"/>
            <rFont val="Tahoma"/>
            <family val="2"/>
          </rPr>
          <t>ID</t>
        </r>
      </text>
    </comment>
  </commentList>
</comments>
</file>

<file path=xl/comments2.xml><?xml version="1.0" encoding="utf-8"?>
<comments xmlns="http://schemas.openxmlformats.org/spreadsheetml/2006/main">
  <authors>
    <author>admin</author>
    <author>user</author>
    <author>Administrator</author>
  </authors>
  <commentList>
    <comment ref="A1" authorId="0">
      <text>
        <r>
          <rPr>
            <b/>
            <sz val="9"/>
            <color indexed="81"/>
            <rFont val="宋体"/>
            <family val="3"/>
            <charset val="134"/>
          </rPr>
          <t>配置开关（配置为</t>
        </r>
        <r>
          <rPr>
            <b/>
            <sz val="9"/>
            <color indexed="81"/>
            <rFont val="Tahoma"/>
            <family val="2"/>
          </rPr>
          <t>“#”</t>
        </r>
        <r>
          <rPr>
            <b/>
            <sz val="9"/>
            <color indexed="81"/>
            <rFont val="宋体"/>
            <family val="3"/>
            <charset val="134"/>
          </rPr>
          <t>时，此行配置失效）</t>
        </r>
      </text>
    </comment>
    <comment ref="B1" authorId="0">
      <text>
        <r>
          <rPr>
            <sz val="9"/>
            <color indexed="81"/>
            <rFont val="宋体"/>
            <family val="3"/>
            <charset val="134"/>
          </rPr>
          <t>关卡</t>
        </r>
        <r>
          <rPr>
            <sz val="9"/>
            <color indexed="81"/>
            <rFont val="Tahoma"/>
            <family val="2"/>
          </rPr>
          <t>ID</t>
        </r>
      </text>
    </comment>
    <comment ref="C1" authorId="0">
      <text>
        <r>
          <rPr>
            <b/>
            <sz val="9"/>
            <color indexed="81"/>
            <rFont val="宋体"/>
            <family val="3"/>
            <charset val="134"/>
          </rPr>
          <t>关卡名称</t>
        </r>
        <r>
          <rPr>
            <sz val="9"/>
            <color indexed="81"/>
            <rFont val="Tahoma"/>
            <family val="2"/>
          </rPr>
          <t xml:space="preserve">
</t>
        </r>
      </text>
    </comment>
    <comment ref="D1" authorId="1">
      <text>
        <r>
          <rPr>
            <b/>
            <sz val="9"/>
            <color indexed="81"/>
            <rFont val="Tahoma"/>
            <family val="2"/>
          </rPr>
          <t>0</t>
        </r>
        <r>
          <rPr>
            <b/>
            <sz val="9"/>
            <color indexed="81"/>
            <rFont val="宋体"/>
            <family val="3"/>
            <charset val="134"/>
          </rPr>
          <t xml:space="preserve">普通关卡
</t>
        </r>
        <r>
          <rPr>
            <b/>
            <sz val="9"/>
            <color indexed="81"/>
            <rFont val="Tahoma"/>
            <family val="2"/>
          </rPr>
          <t>1</t>
        </r>
        <r>
          <rPr>
            <b/>
            <sz val="9"/>
            <color indexed="81"/>
            <rFont val="宋体"/>
            <family val="3"/>
            <charset val="134"/>
          </rPr>
          <t xml:space="preserve">精英关卡
</t>
        </r>
        <r>
          <rPr>
            <b/>
            <sz val="9"/>
            <color indexed="81"/>
            <rFont val="Tahoma"/>
            <family val="2"/>
          </rPr>
          <t>2</t>
        </r>
        <r>
          <rPr>
            <b/>
            <sz val="9"/>
            <color indexed="81"/>
            <rFont val="宋体"/>
            <family val="3"/>
            <charset val="134"/>
          </rPr>
          <t>一次性关卡</t>
        </r>
      </text>
    </comment>
    <comment ref="E1" authorId="1">
      <text>
        <r>
          <rPr>
            <b/>
            <sz val="9"/>
            <color indexed="81"/>
            <rFont val="宋体"/>
            <family val="3"/>
            <charset val="134"/>
          </rPr>
          <t xml:space="preserve">是否赠送礼物
</t>
        </r>
        <r>
          <rPr>
            <b/>
            <sz val="9"/>
            <color indexed="81"/>
            <rFont val="Tahoma"/>
            <family val="2"/>
          </rPr>
          <t>1.</t>
        </r>
        <r>
          <rPr>
            <b/>
            <sz val="9"/>
            <color indexed="81"/>
            <rFont val="宋体"/>
            <family val="3"/>
            <charset val="134"/>
          </rPr>
          <t xml:space="preserve">赠送
</t>
        </r>
        <r>
          <rPr>
            <b/>
            <sz val="9"/>
            <color indexed="81"/>
            <rFont val="Tahoma"/>
            <family val="2"/>
          </rPr>
          <t>0.</t>
        </r>
        <r>
          <rPr>
            <b/>
            <sz val="9"/>
            <color indexed="81"/>
            <rFont val="宋体"/>
            <family val="3"/>
            <charset val="134"/>
          </rPr>
          <t>不赠送</t>
        </r>
      </text>
    </comment>
    <comment ref="F1" authorId="0">
      <text>
        <r>
          <rPr>
            <b/>
            <sz val="9"/>
            <color indexed="81"/>
            <rFont val="宋体"/>
            <family val="3"/>
            <charset val="134"/>
          </rPr>
          <t>关卡图标</t>
        </r>
      </text>
    </comment>
    <comment ref="G1" authorId="0">
      <text>
        <r>
          <rPr>
            <b/>
            <sz val="9"/>
            <color indexed="81"/>
            <rFont val="宋体"/>
            <family val="3"/>
            <charset val="134"/>
          </rPr>
          <t>坐标</t>
        </r>
        <r>
          <rPr>
            <b/>
            <sz val="9"/>
            <color indexed="81"/>
            <rFont val="Tahoma"/>
            <family val="2"/>
          </rPr>
          <t>X</t>
        </r>
      </text>
    </comment>
    <comment ref="H1" authorId="0">
      <text>
        <r>
          <rPr>
            <sz val="9"/>
            <color indexed="81"/>
            <rFont val="宋体"/>
            <family val="3"/>
            <charset val="134"/>
          </rPr>
          <t>坐标</t>
        </r>
        <r>
          <rPr>
            <sz val="9"/>
            <color indexed="81"/>
            <rFont val="Tahoma"/>
            <family val="2"/>
          </rPr>
          <t>Y</t>
        </r>
      </text>
    </comment>
    <comment ref="I1" authorId="0">
      <text>
        <r>
          <rPr>
            <b/>
            <sz val="9"/>
            <color indexed="81"/>
            <rFont val="宋体"/>
            <family val="3"/>
            <charset val="134"/>
          </rPr>
          <t>下一关卡ID</t>
        </r>
      </text>
    </comment>
    <comment ref="J1" authorId="0">
      <text>
        <r>
          <rPr>
            <b/>
            <sz val="9"/>
            <color indexed="81"/>
            <rFont val="宋体"/>
            <family val="3"/>
            <charset val="134"/>
          </rPr>
          <t>体力消耗</t>
        </r>
      </text>
    </comment>
    <comment ref="K1" authorId="0">
      <text>
        <r>
          <rPr>
            <b/>
            <sz val="9"/>
            <color indexed="81"/>
            <rFont val="宋体"/>
            <family val="3"/>
            <charset val="134"/>
          </rPr>
          <t>扫荡卡消耗数量</t>
        </r>
      </text>
    </comment>
    <comment ref="L1" authorId="0">
      <text>
        <r>
          <rPr>
            <b/>
            <sz val="9"/>
            <color indexed="81"/>
            <rFont val="宋体"/>
            <family val="3"/>
            <charset val="134"/>
          </rPr>
          <t>每日次数</t>
        </r>
      </text>
    </comment>
    <comment ref="M1" authorId="0">
      <text>
        <r>
          <rPr>
            <b/>
            <sz val="9"/>
            <color indexed="81"/>
            <rFont val="宋体"/>
            <family val="3"/>
            <charset val="134"/>
          </rPr>
          <t>次数购买消耗库</t>
        </r>
        <r>
          <rPr>
            <b/>
            <sz val="9"/>
            <color indexed="81"/>
            <rFont val="Tahoma"/>
            <family val="2"/>
          </rPr>
          <t>ID</t>
        </r>
      </text>
    </comment>
    <comment ref="N1" authorId="0">
      <text>
        <r>
          <rPr>
            <b/>
            <sz val="9"/>
            <color indexed="81"/>
            <rFont val="宋体"/>
            <family val="3"/>
            <charset val="134"/>
          </rPr>
          <t>参赛球员数量</t>
        </r>
      </text>
    </comment>
    <comment ref="O1" authorId="0">
      <text>
        <r>
          <rPr>
            <b/>
            <sz val="9"/>
            <color indexed="81"/>
            <rFont val="宋体"/>
            <family val="3"/>
            <charset val="134"/>
          </rPr>
          <t>背包需求空间数量</t>
        </r>
      </text>
    </comment>
    <comment ref="P1" authorId="0">
      <text>
        <r>
          <rPr>
            <b/>
            <sz val="9"/>
            <color indexed="81"/>
            <rFont val="宋体"/>
            <family val="3"/>
            <charset val="134"/>
          </rPr>
          <t>通关条件</t>
        </r>
        <r>
          <rPr>
            <b/>
            <sz val="9"/>
            <color indexed="81"/>
            <rFont val="Tahoma"/>
            <family val="2"/>
          </rPr>
          <t>ID</t>
        </r>
      </text>
    </comment>
    <comment ref="Q1" authorId="0">
      <text>
        <r>
          <rPr>
            <b/>
            <sz val="9"/>
            <color indexed="81"/>
            <rFont val="宋体"/>
            <family val="3"/>
            <charset val="134"/>
          </rPr>
          <t>通关条件</t>
        </r>
        <r>
          <rPr>
            <b/>
            <sz val="9"/>
            <color indexed="81"/>
            <rFont val="Tahoma"/>
            <family val="2"/>
          </rPr>
          <t>ID</t>
        </r>
        <r>
          <rPr>
            <b/>
            <sz val="9"/>
            <color indexed="81"/>
            <rFont val="宋体"/>
            <family val="3"/>
            <charset val="134"/>
          </rPr>
          <t>数量</t>
        </r>
      </text>
    </comment>
    <comment ref="R1" authorId="0">
      <text>
        <r>
          <rPr>
            <b/>
            <sz val="9"/>
            <color indexed="81"/>
            <rFont val="宋体"/>
            <family val="3"/>
            <charset val="134"/>
          </rPr>
          <t>关卡奖励库</t>
        </r>
        <r>
          <rPr>
            <b/>
            <sz val="9"/>
            <color indexed="81"/>
            <rFont val="Tahoma"/>
            <family val="2"/>
          </rPr>
          <t>ID</t>
        </r>
      </text>
    </comment>
    <comment ref="S1" authorId="0">
      <text>
        <r>
          <rPr>
            <b/>
            <sz val="9"/>
            <color indexed="81"/>
            <rFont val="宋体"/>
            <family val="3"/>
            <charset val="134"/>
          </rPr>
          <t>扫荡奖励库</t>
        </r>
      </text>
    </comment>
    <comment ref="T1" authorId="0">
      <text>
        <r>
          <rPr>
            <b/>
            <sz val="9"/>
            <color indexed="81"/>
            <rFont val="宋体"/>
            <family val="3"/>
            <charset val="134"/>
          </rPr>
          <t>铜牌达成条件</t>
        </r>
        <r>
          <rPr>
            <b/>
            <sz val="9"/>
            <color indexed="81"/>
            <rFont val="Tahoma"/>
            <family val="2"/>
          </rPr>
          <t>ID</t>
        </r>
      </text>
    </comment>
    <comment ref="U1" authorId="0">
      <text>
        <r>
          <rPr>
            <b/>
            <sz val="9"/>
            <color indexed="81"/>
            <rFont val="宋体"/>
            <family val="3"/>
            <charset val="134"/>
          </rPr>
          <t>铜牌达成条件值</t>
        </r>
      </text>
    </comment>
    <comment ref="V1" authorId="0">
      <text>
        <r>
          <rPr>
            <b/>
            <sz val="9"/>
            <color indexed="81"/>
            <rFont val="宋体"/>
            <family val="3"/>
            <charset val="134"/>
          </rPr>
          <t>银牌达成条件</t>
        </r>
        <r>
          <rPr>
            <b/>
            <sz val="9"/>
            <color indexed="81"/>
            <rFont val="Tahoma"/>
            <family val="2"/>
          </rPr>
          <t>ID</t>
        </r>
      </text>
    </comment>
    <comment ref="W1" authorId="0">
      <text>
        <r>
          <rPr>
            <b/>
            <sz val="9"/>
            <color indexed="81"/>
            <rFont val="宋体"/>
            <family val="3"/>
            <charset val="134"/>
          </rPr>
          <t>银牌达成条件值</t>
        </r>
      </text>
    </comment>
    <comment ref="X1" authorId="0">
      <text>
        <r>
          <rPr>
            <b/>
            <sz val="9"/>
            <color indexed="81"/>
            <rFont val="宋体"/>
            <family val="3"/>
            <charset val="134"/>
          </rPr>
          <t>金牌达成条件</t>
        </r>
        <r>
          <rPr>
            <b/>
            <sz val="9"/>
            <color indexed="81"/>
            <rFont val="Tahoma"/>
            <family val="2"/>
          </rPr>
          <t>ID</t>
        </r>
      </text>
    </comment>
    <comment ref="Y1" authorId="0">
      <text>
        <r>
          <rPr>
            <b/>
            <sz val="9"/>
            <color indexed="81"/>
            <rFont val="宋体"/>
            <family val="3"/>
            <charset val="134"/>
          </rPr>
          <t>金牌达成条件值</t>
        </r>
      </text>
    </comment>
    <comment ref="Z1" authorId="0">
      <text>
        <r>
          <rPr>
            <b/>
            <sz val="9"/>
            <color indexed="81"/>
            <rFont val="宋体"/>
            <family val="3"/>
            <charset val="134"/>
          </rPr>
          <t>开始剧情</t>
        </r>
        <r>
          <rPr>
            <b/>
            <sz val="9"/>
            <color indexed="81"/>
            <rFont val="Tahoma"/>
            <family val="2"/>
          </rPr>
          <t>ID</t>
        </r>
      </text>
    </comment>
    <comment ref="AA1" authorId="0">
      <text>
        <r>
          <rPr>
            <b/>
            <sz val="9"/>
            <color indexed="81"/>
            <rFont val="宋体"/>
            <family val="3"/>
            <charset val="134"/>
          </rPr>
          <t>结束剧情</t>
        </r>
        <r>
          <rPr>
            <b/>
            <sz val="9"/>
            <color indexed="81"/>
            <rFont val="Tahoma"/>
            <family val="2"/>
          </rPr>
          <t>ID</t>
        </r>
      </text>
    </comment>
    <comment ref="AB1" authorId="0">
      <text>
        <r>
          <rPr>
            <b/>
            <sz val="9"/>
            <color indexed="81"/>
            <rFont val="宋体"/>
            <family val="3"/>
            <charset val="134"/>
          </rPr>
          <t>剧情简介</t>
        </r>
      </text>
    </comment>
    <comment ref="AC1" authorId="0">
      <text>
        <r>
          <rPr>
            <b/>
            <sz val="9"/>
            <color indexed="81"/>
            <rFont val="宋体"/>
            <family val="3"/>
            <charset val="134"/>
          </rPr>
          <t>战斗场景</t>
        </r>
      </text>
    </comment>
    <comment ref="AD1" authorId="0">
      <text>
        <r>
          <rPr>
            <b/>
            <sz val="9"/>
            <color indexed="81"/>
            <rFont val="宋体"/>
            <family val="3"/>
            <charset val="134"/>
          </rPr>
          <t>战斗音乐</t>
        </r>
      </text>
    </comment>
    <comment ref="AE1" authorId="0">
      <text>
        <r>
          <rPr>
            <b/>
            <sz val="9"/>
            <color indexed="81"/>
            <rFont val="宋体"/>
            <family val="3"/>
            <charset val="134"/>
          </rPr>
          <t>比赛时间（秒）</t>
        </r>
      </text>
    </comment>
    <comment ref="AF1" authorId="0">
      <text>
        <r>
          <rPr>
            <b/>
            <sz val="9"/>
            <color indexed="81"/>
            <rFont val="宋体"/>
            <family val="3"/>
            <charset val="134"/>
          </rPr>
          <t>主客队（</t>
        </r>
        <r>
          <rPr>
            <b/>
            <sz val="9"/>
            <color indexed="81"/>
            <rFont val="Tahoma"/>
            <family val="2"/>
          </rPr>
          <t>1</t>
        </r>
        <r>
          <rPr>
            <b/>
            <sz val="9"/>
            <color indexed="81"/>
            <rFont val="宋体"/>
            <family val="3"/>
            <charset val="134"/>
          </rPr>
          <t>：主队，</t>
        </r>
        <r>
          <rPr>
            <b/>
            <sz val="9"/>
            <color indexed="81"/>
            <rFont val="Tahoma"/>
            <family val="2"/>
          </rPr>
          <t>2</t>
        </r>
        <r>
          <rPr>
            <b/>
            <sz val="9"/>
            <color indexed="81"/>
            <rFont val="宋体"/>
            <family val="3"/>
            <charset val="134"/>
          </rPr>
          <t>：客队）</t>
        </r>
      </text>
    </comment>
    <comment ref="AG1" authorId="0">
      <text>
        <r>
          <rPr>
            <b/>
            <sz val="9"/>
            <color indexed="81"/>
            <rFont val="宋体"/>
            <family val="3"/>
            <charset val="134"/>
          </rPr>
          <t>初始主队比分</t>
        </r>
      </text>
    </comment>
    <comment ref="AH1" authorId="0">
      <text>
        <r>
          <rPr>
            <b/>
            <sz val="9"/>
            <color indexed="81"/>
            <rFont val="宋体"/>
            <family val="3"/>
            <charset val="134"/>
          </rPr>
          <t>初始客队比分</t>
        </r>
      </text>
    </comment>
    <comment ref="AI1" authorId="0">
      <text>
        <r>
          <rPr>
            <b/>
            <sz val="9"/>
            <color indexed="81"/>
            <rFont val="宋体"/>
            <family val="3"/>
            <charset val="134"/>
          </rPr>
          <t>敌对NPC</t>
        </r>
      </text>
    </comment>
    <comment ref="AJ1" authorId="0">
      <text>
        <r>
          <rPr>
            <b/>
            <sz val="9"/>
            <color indexed="81"/>
            <rFont val="宋体"/>
            <family val="3"/>
            <charset val="134"/>
          </rPr>
          <t>敌对NPC</t>
        </r>
      </text>
    </comment>
    <comment ref="AK1" authorId="0">
      <text>
        <r>
          <rPr>
            <b/>
            <sz val="9"/>
            <color indexed="81"/>
            <rFont val="宋体"/>
            <family val="3"/>
            <charset val="134"/>
          </rPr>
          <t>敌对NPC</t>
        </r>
      </text>
    </comment>
    <comment ref="AL1" authorId="0">
      <text>
        <r>
          <rPr>
            <b/>
            <sz val="9"/>
            <color indexed="81"/>
            <rFont val="宋体"/>
            <family val="3"/>
            <charset val="134"/>
          </rPr>
          <t>该关卡解锁的外援球员</t>
        </r>
        <r>
          <rPr>
            <b/>
            <sz val="9"/>
            <color indexed="81"/>
            <rFont val="Tahoma"/>
            <family val="2"/>
          </rPr>
          <t>ID</t>
        </r>
      </text>
    </comment>
    <comment ref="AM1" authorId="0">
      <text>
        <r>
          <rPr>
            <b/>
            <sz val="9"/>
            <color indexed="81"/>
            <rFont val="宋体"/>
            <family val="3"/>
            <charset val="134"/>
          </rPr>
          <t>该关卡外援球员的等级</t>
        </r>
      </text>
    </comment>
    <comment ref="AN1" authorId="1">
      <text>
        <r>
          <rPr>
            <sz val="9"/>
            <color indexed="81"/>
            <rFont val="宋体"/>
            <family val="3"/>
            <charset val="134"/>
          </rPr>
          <t>产出物品显示</t>
        </r>
        <r>
          <rPr>
            <sz val="9"/>
            <color indexed="81"/>
            <rFont val="Tahoma"/>
            <family val="2"/>
          </rPr>
          <t xml:space="preserve">
</t>
        </r>
      </text>
    </comment>
    <comment ref="AO1" authorId="2">
      <text>
        <r>
          <rPr>
            <sz val="9"/>
            <color indexed="81"/>
            <rFont val="Tahoma"/>
            <family val="2"/>
          </rPr>
          <t xml:space="preserve"> </t>
        </r>
        <r>
          <rPr>
            <sz val="9"/>
            <color indexed="81"/>
            <rFont val="宋体"/>
            <family val="3"/>
            <charset val="134"/>
          </rPr>
          <t>玩法</t>
        </r>
        <r>
          <rPr>
            <sz val="9"/>
            <color indexed="81"/>
            <rFont val="Tahoma"/>
            <family val="2"/>
          </rPr>
          <t>ID</t>
        </r>
      </text>
    </comment>
  </commentList>
</comments>
</file>

<file path=xl/comments3.xml><?xml version="1.0" encoding="utf-8"?>
<comments xmlns="http://schemas.openxmlformats.org/spreadsheetml/2006/main">
  <authors>
    <author>admin</author>
  </authors>
  <commentList>
    <comment ref="A1" authorId="0">
      <text>
        <r>
          <rPr>
            <b/>
            <sz val="9"/>
            <color indexed="81"/>
            <rFont val="宋体"/>
            <family val="3"/>
            <charset val="134"/>
          </rPr>
          <t>配置开关（配置为</t>
        </r>
        <r>
          <rPr>
            <b/>
            <sz val="9"/>
            <color indexed="81"/>
            <rFont val="Tahoma"/>
            <family val="2"/>
          </rPr>
          <t>“#”</t>
        </r>
        <r>
          <rPr>
            <b/>
            <sz val="9"/>
            <color indexed="81"/>
            <rFont val="宋体"/>
            <family val="3"/>
            <charset val="134"/>
          </rPr>
          <t>时，此行配置失效）</t>
        </r>
      </text>
    </comment>
    <comment ref="B1" authorId="0">
      <text>
        <r>
          <rPr>
            <b/>
            <sz val="9"/>
            <color indexed="81"/>
            <rFont val="宋体"/>
            <family val="3"/>
            <charset val="134"/>
          </rPr>
          <t>奖励库</t>
        </r>
        <r>
          <rPr>
            <b/>
            <sz val="9"/>
            <color indexed="81"/>
            <rFont val="Tahoma"/>
            <family val="2"/>
          </rPr>
          <t>ID</t>
        </r>
      </text>
    </comment>
    <comment ref="C1" authorId="0">
      <text>
        <r>
          <rPr>
            <b/>
            <sz val="9"/>
            <color indexed="81"/>
            <rFont val="宋体"/>
            <family val="3"/>
            <charset val="134"/>
          </rPr>
          <t>奖励包循环次数,此列配置已废弃</t>
        </r>
      </text>
    </comment>
    <comment ref="D1" authorId="0">
      <text>
        <r>
          <rPr>
            <b/>
            <sz val="9"/>
            <color indexed="81"/>
            <rFont val="宋体"/>
            <family val="3"/>
            <charset val="134"/>
          </rPr>
          <t>奖励倍数的类别</t>
        </r>
      </text>
    </comment>
    <comment ref="E1" authorId="0">
      <text>
        <r>
          <rPr>
            <b/>
            <sz val="9"/>
            <color indexed="81"/>
            <rFont val="宋体"/>
            <family val="3"/>
            <charset val="134"/>
          </rPr>
          <t>奖励倍数</t>
        </r>
      </text>
    </comment>
    <comment ref="F1" authorId="0">
      <text>
        <r>
          <rPr>
            <b/>
            <sz val="9"/>
            <color indexed="81"/>
            <rFont val="宋体"/>
            <family val="3"/>
            <charset val="134"/>
          </rPr>
          <t>奖励包ID1</t>
        </r>
      </text>
    </comment>
    <comment ref="G1" authorId="0">
      <text>
        <r>
          <rPr>
            <b/>
            <sz val="9"/>
            <color indexed="81"/>
            <rFont val="宋体"/>
            <family val="3"/>
            <charset val="134"/>
          </rPr>
          <t>奖励包ID2</t>
        </r>
      </text>
    </comment>
    <comment ref="H1" authorId="0">
      <text>
        <r>
          <rPr>
            <b/>
            <sz val="9"/>
            <color indexed="81"/>
            <rFont val="宋体"/>
            <family val="3"/>
            <charset val="134"/>
          </rPr>
          <t>奖励包ID3</t>
        </r>
      </text>
    </comment>
    <comment ref="I1" authorId="0">
      <text>
        <r>
          <rPr>
            <b/>
            <sz val="9"/>
            <color indexed="81"/>
            <rFont val="宋体"/>
            <family val="3"/>
            <charset val="134"/>
          </rPr>
          <t>奖励包ID4</t>
        </r>
      </text>
    </comment>
    <comment ref="J1" authorId="0">
      <text>
        <r>
          <rPr>
            <b/>
            <sz val="9"/>
            <color indexed="81"/>
            <rFont val="宋体"/>
            <family val="3"/>
            <charset val="134"/>
          </rPr>
          <t>奖励包ID5</t>
        </r>
      </text>
    </comment>
    <comment ref="K1" authorId="0">
      <text>
        <r>
          <rPr>
            <b/>
            <sz val="9"/>
            <color indexed="81"/>
            <rFont val="宋体"/>
            <family val="3"/>
            <charset val="134"/>
          </rPr>
          <t>奖励包ID4</t>
        </r>
      </text>
    </comment>
    <comment ref="L1" authorId="0">
      <text>
        <r>
          <rPr>
            <b/>
            <sz val="9"/>
            <color indexed="81"/>
            <rFont val="宋体"/>
            <family val="3"/>
            <charset val="134"/>
          </rPr>
          <t>奖励包ID5</t>
        </r>
      </text>
    </comment>
    <comment ref="M1" authorId="0">
      <text>
        <r>
          <rPr>
            <b/>
            <sz val="9"/>
            <color indexed="81"/>
            <rFont val="宋体"/>
            <family val="3"/>
            <charset val="134"/>
          </rPr>
          <t>奖励包ID4</t>
        </r>
      </text>
    </comment>
    <comment ref="N1" authorId="0">
      <text>
        <r>
          <rPr>
            <b/>
            <sz val="9"/>
            <color indexed="81"/>
            <rFont val="宋体"/>
            <family val="3"/>
            <charset val="134"/>
          </rPr>
          <t>奖励包ID5</t>
        </r>
      </text>
    </comment>
    <comment ref="O1" authorId="0">
      <text>
        <r>
          <rPr>
            <b/>
            <sz val="9"/>
            <color indexed="81"/>
            <rFont val="宋体"/>
            <family val="3"/>
            <charset val="134"/>
          </rPr>
          <t>奖励包ID4</t>
        </r>
      </text>
    </comment>
  </commentList>
</comments>
</file>

<file path=xl/comments4.xml><?xml version="1.0" encoding="utf-8"?>
<comments xmlns="http://schemas.openxmlformats.org/spreadsheetml/2006/main">
  <authors>
    <author>admin</author>
  </authors>
  <commentList>
    <comment ref="A1" authorId="0">
      <text>
        <r>
          <rPr>
            <b/>
            <sz val="9"/>
            <color indexed="81"/>
            <rFont val="宋体"/>
            <family val="3"/>
            <charset val="134"/>
          </rPr>
          <t>剧情</t>
        </r>
        <r>
          <rPr>
            <b/>
            <sz val="9"/>
            <color indexed="81"/>
            <rFont val="Tahoma"/>
            <family val="2"/>
          </rPr>
          <t xml:space="preserve">ID
</t>
        </r>
      </text>
    </comment>
    <comment ref="B1" authorId="0">
      <text>
        <r>
          <rPr>
            <b/>
            <sz val="9"/>
            <color indexed="81"/>
            <rFont val="宋体"/>
            <family val="3"/>
            <charset val="134"/>
          </rPr>
          <t>剧情对话</t>
        </r>
        <r>
          <rPr>
            <b/>
            <sz val="9"/>
            <color indexed="81"/>
            <rFont val="Tahoma"/>
            <family val="2"/>
          </rPr>
          <t>ID</t>
        </r>
      </text>
    </comment>
    <comment ref="C1" authorId="0">
      <text>
        <r>
          <rPr>
            <b/>
            <sz val="9"/>
            <color indexed="81"/>
            <rFont val="宋体"/>
            <family val="3"/>
            <charset val="134"/>
          </rPr>
          <t>头像</t>
        </r>
        <r>
          <rPr>
            <b/>
            <sz val="9"/>
            <color indexed="81"/>
            <rFont val="Tahoma"/>
            <family val="2"/>
          </rPr>
          <t>ID</t>
        </r>
      </text>
    </comment>
    <comment ref="D1" authorId="0">
      <text>
        <r>
          <rPr>
            <sz val="9"/>
            <color indexed="81"/>
            <rFont val="宋体"/>
            <family val="3"/>
            <charset val="134"/>
          </rPr>
          <t>对话内容（文本）</t>
        </r>
      </text>
    </comment>
    <comment ref="E1" authorId="0">
      <text>
        <r>
          <rPr>
            <b/>
            <sz val="9"/>
            <color indexed="81"/>
            <rFont val="宋体"/>
            <family val="3"/>
            <charset val="134"/>
          </rPr>
          <t>下一句对话</t>
        </r>
        <r>
          <rPr>
            <b/>
            <sz val="9"/>
            <color indexed="81"/>
            <rFont val="Tahoma"/>
            <family val="2"/>
          </rPr>
          <t>ID</t>
        </r>
      </text>
    </comment>
  </commentList>
</comments>
</file>

<file path=xl/comments5.xml><?xml version="1.0" encoding="utf-8"?>
<comments xmlns="http://schemas.openxmlformats.org/spreadsheetml/2006/main">
  <authors>
    <author>admin</author>
    <author>Administrator</author>
  </authors>
  <commentList>
    <comment ref="B1" authorId="0">
      <text>
        <r>
          <rPr>
            <b/>
            <sz val="9"/>
            <color indexed="81"/>
            <rFont val="Tahoma"/>
            <family val="2"/>
          </rPr>
          <t>7</t>
        </r>
        <r>
          <rPr>
            <b/>
            <sz val="9"/>
            <color indexed="81"/>
            <rFont val="宋体"/>
            <family val="3"/>
            <charset val="134"/>
          </rPr>
          <t>为盖帽相关</t>
        </r>
        <r>
          <rPr>
            <b/>
            <sz val="9"/>
            <color indexed="81"/>
            <rFont val="Tahoma"/>
            <family val="2"/>
          </rPr>
          <t>,6</t>
        </r>
        <r>
          <rPr>
            <b/>
            <sz val="9"/>
            <color indexed="81"/>
            <rFont val="宋体"/>
            <family val="3"/>
            <charset val="134"/>
          </rPr>
          <t>为篮板相关
现在暂时只分别用在了密不透风和篮板风暴玩法中，密不透风和篮板风暴不配的话生涯就会报错</t>
        </r>
      </text>
    </comment>
    <comment ref="G2" authorId="1">
      <text>
        <r>
          <rPr>
            <sz val="9"/>
            <color indexed="81"/>
            <rFont val="宋体"/>
            <family val="3"/>
            <charset val="134"/>
          </rPr>
          <t>C</t>
        </r>
        <r>
          <rPr>
            <sz val="9"/>
            <color indexed="81"/>
            <rFont val="宋体"/>
            <family val="3"/>
            <charset val="134"/>
          </rPr>
          <t>areer.proto文件拷贝内容</t>
        </r>
      </text>
    </comment>
    <comment ref="L2" authorId="1">
      <text>
        <r>
          <rPr>
            <sz val="9"/>
            <color indexed="81"/>
            <rFont val="宋体"/>
            <family val="3"/>
            <charset val="134"/>
          </rPr>
          <t>C</t>
        </r>
        <r>
          <rPr>
            <sz val="9"/>
            <color indexed="81"/>
            <rFont val="宋体"/>
            <family val="3"/>
            <charset val="134"/>
          </rPr>
          <t>areer</t>
        </r>
        <r>
          <rPr>
            <sz val="9"/>
            <color indexed="81"/>
            <rFont val="宋体"/>
            <family val="3"/>
            <charset val="134"/>
          </rPr>
          <t>Manager.lu</t>
        </r>
        <r>
          <rPr>
            <sz val="9"/>
            <color indexed="81"/>
            <rFont val="宋体"/>
            <family val="3"/>
            <charset val="134"/>
          </rPr>
          <t>a</t>
        </r>
        <r>
          <rPr>
            <sz val="9"/>
            <color indexed="81"/>
            <rFont val="宋体"/>
            <family val="3"/>
            <charset val="134"/>
          </rPr>
          <t xml:space="preserve">文件填充内容
</t>
        </r>
      </text>
    </comment>
    <comment ref="O2" authorId="1">
      <text>
        <r>
          <rPr>
            <sz val="9"/>
            <color indexed="81"/>
            <rFont val="宋体"/>
            <family val="3"/>
            <charset val="134"/>
          </rPr>
          <t>P</t>
        </r>
        <r>
          <rPr>
            <sz val="9"/>
            <color indexed="81"/>
            <rFont val="宋体"/>
            <family val="3"/>
            <charset val="134"/>
          </rPr>
          <t>layer</t>
        </r>
        <r>
          <rPr>
            <sz val="9"/>
            <color indexed="81"/>
            <rFont val="宋体"/>
            <family val="3"/>
            <charset val="134"/>
          </rPr>
          <t>.lua文件填充内容</t>
        </r>
      </text>
    </comment>
    <comment ref="R2" authorId="1">
      <text>
        <r>
          <rPr>
            <sz val="9"/>
            <color indexed="81"/>
            <rFont val="宋体"/>
            <family val="3"/>
            <charset val="134"/>
          </rPr>
          <t>Init</t>
        </r>
        <r>
          <rPr>
            <sz val="9"/>
            <color indexed="81"/>
            <rFont val="宋体"/>
            <family val="3"/>
            <charset val="134"/>
          </rPr>
          <t>Data</t>
        </r>
        <r>
          <rPr>
            <sz val="9"/>
            <color indexed="81"/>
            <rFont val="宋体"/>
            <family val="3"/>
            <charset val="134"/>
          </rPr>
          <t xml:space="preserve">.lua文件填充内容
</t>
        </r>
      </text>
    </comment>
  </commentList>
</comments>
</file>

<file path=xl/comments6.xml><?xml version="1.0" encoding="utf-8"?>
<comments xmlns="http://schemas.openxmlformats.org/spreadsheetml/2006/main">
  <authors>
    <author>admin</author>
  </authors>
  <commentList>
    <comment ref="B1" authorId="0">
      <text>
        <r>
          <rPr>
            <b/>
            <sz val="9"/>
            <color rgb="FF000000"/>
            <rFont val="宋体"/>
            <family val="2"/>
            <charset val="134"/>
          </rPr>
          <t>重置次数</t>
        </r>
      </text>
    </comment>
    <comment ref="C1" authorId="0">
      <text>
        <r>
          <rPr>
            <b/>
            <sz val="9"/>
            <color rgb="FF000000"/>
            <rFont val="宋体"/>
            <family val="3"/>
            <charset val="134"/>
          </rPr>
          <t>消耗类型（请参考common中的钱币数值的定义值）</t>
        </r>
      </text>
    </comment>
    <comment ref="D1" authorId="0">
      <text>
        <r>
          <rPr>
            <b/>
            <sz val="9"/>
            <color rgb="FF000000"/>
            <rFont val="宋体"/>
            <family val="3"/>
            <charset val="134"/>
          </rPr>
          <t>消耗值</t>
        </r>
      </text>
    </comment>
  </commentList>
</comments>
</file>

<file path=xl/sharedStrings.xml><?xml version="1.0" encoding="utf-8"?>
<sst xmlns="http://schemas.openxmlformats.org/spreadsheetml/2006/main" count="2231" uniqueCount="1129">
  <si>
    <t>name</t>
    <phoneticPr fontId="1" type="noConversion"/>
  </si>
  <si>
    <t>costing</t>
    <phoneticPr fontId="1" type="noConversion"/>
  </si>
  <si>
    <t>daily_times</t>
    <phoneticPr fontId="1" type="noConversion"/>
  </si>
  <si>
    <t>member_need</t>
    <phoneticPr fontId="1" type="noConversion"/>
  </si>
  <si>
    <t>space_need</t>
    <phoneticPr fontId="1" type="noConversion"/>
  </si>
  <si>
    <t>condition_id</t>
    <phoneticPr fontId="1" type="noConversion"/>
  </si>
  <si>
    <t>condition_value</t>
    <phoneticPr fontId="1" type="noConversion"/>
  </si>
  <si>
    <t>award_id</t>
    <phoneticPr fontId="1" type="noConversion"/>
  </si>
  <si>
    <t>plot_begin_id</t>
    <phoneticPr fontId="1" type="noConversion"/>
  </si>
  <si>
    <t>plot_end_id</t>
    <phoneticPr fontId="1" type="noConversion"/>
  </si>
  <si>
    <t>plot_intro</t>
    <phoneticPr fontId="1" type="noConversion"/>
  </si>
  <si>
    <t>scene</t>
    <phoneticPr fontId="1" type="noConversion"/>
  </si>
  <si>
    <t>music</t>
    <phoneticPr fontId="1" type="noConversion"/>
  </si>
  <si>
    <t>time</t>
    <phoneticPr fontId="1" type="noConversion"/>
  </si>
  <si>
    <t>home_score</t>
    <phoneticPr fontId="1" type="noConversion"/>
  </si>
  <si>
    <t>guest_score</t>
    <phoneticPr fontId="1" type="noConversion"/>
  </si>
  <si>
    <t>area</t>
    <phoneticPr fontId="1" type="noConversion"/>
  </si>
  <si>
    <t>unlock_level</t>
    <phoneticPr fontId="1" type="noConversion"/>
  </si>
  <si>
    <t>id</t>
    <phoneticPr fontId="1" type="noConversion"/>
  </si>
  <si>
    <t>dialog_id</t>
    <phoneticPr fontId="1" type="noConversion"/>
  </si>
  <si>
    <t>npc_id1</t>
    <phoneticPr fontId="1" type="noConversion"/>
  </si>
  <si>
    <t>npc_id2</t>
    <phoneticPr fontId="1" type="noConversion"/>
  </si>
  <si>
    <t>npc_id3</t>
    <phoneticPr fontId="1" type="noConversion"/>
  </si>
  <si>
    <t>buy_consume</t>
    <phoneticPr fontId="1" type="noConversion"/>
  </si>
  <si>
    <t>first_section_id</t>
    <phoneticPr fontId="1" type="noConversion"/>
  </si>
  <si>
    <t>bronze_value</t>
    <phoneticPr fontId="1" type="noConversion"/>
  </si>
  <si>
    <t>bronze_award</t>
    <phoneticPr fontId="1" type="noConversion"/>
  </si>
  <si>
    <t>silver_value</t>
    <phoneticPr fontId="1" type="noConversion"/>
  </si>
  <si>
    <t>silver_award</t>
    <phoneticPr fontId="1" type="noConversion"/>
  </si>
  <si>
    <t>gold_value</t>
    <phoneticPr fontId="1" type="noConversion"/>
  </si>
  <si>
    <t>gold_award</t>
    <phoneticPr fontId="1" type="noConversion"/>
  </si>
  <si>
    <t>three_star_id</t>
    <phoneticPr fontId="1" type="noConversion"/>
  </si>
  <si>
    <t>three_star_value</t>
    <phoneticPr fontId="1" type="noConversion"/>
  </si>
  <si>
    <t>two_star_id</t>
    <phoneticPr fontId="1" type="noConversion"/>
  </si>
  <si>
    <t>two_star_value</t>
    <phoneticPr fontId="1" type="noConversion"/>
  </si>
  <si>
    <t>one_star_value</t>
    <phoneticPr fontId="1" type="noConversion"/>
  </si>
  <si>
    <t>one_star_id</t>
    <phoneticPr fontId="1" type="noConversion"/>
  </si>
  <si>
    <t>next_chapter_id</t>
    <phoneticPr fontId="1" type="noConversion"/>
  </si>
  <si>
    <t>next_section_id</t>
    <phoneticPr fontId="1" type="noConversion"/>
  </si>
  <si>
    <t>coord_x</t>
    <phoneticPr fontId="1" type="noConversion"/>
  </si>
  <si>
    <t>coord_y</t>
    <phoneticPr fontId="1" type="noConversion"/>
  </si>
  <si>
    <t>梦的开始</t>
    <phoneticPr fontId="1" type="noConversion"/>
  </si>
  <si>
    <t>condition</t>
  </si>
  <si>
    <t>condition_type</t>
  </si>
  <si>
    <t>condition_id</t>
  </si>
  <si>
    <t>SCORE_MORE_THAN</t>
    <phoneticPr fontId="1" type="noConversion"/>
  </si>
  <si>
    <t>SCORE_NEAR</t>
    <phoneticPr fontId="1" type="noConversion"/>
  </si>
  <si>
    <t>SCORE_MIDDLE</t>
    <phoneticPr fontId="1" type="noConversion"/>
  </si>
  <si>
    <t>SCORE_SHOOT_FAR</t>
    <phoneticPr fontId="1" type="noConversion"/>
  </si>
  <si>
    <t>SCORE_TOTAL</t>
    <phoneticPr fontId="1" type="noConversion"/>
  </si>
  <si>
    <t>REBOUND</t>
    <phoneticPr fontId="1" type="noConversion"/>
  </si>
  <si>
    <t>BLOCK</t>
    <phoneticPr fontId="1" type="noConversion"/>
  </si>
  <si>
    <t>ASSIST</t>
    <phoneticPr fontId="1" type="noConversion"/>
  </si>
  <si>
    <t>STEAL</t>
    <phoneticPr fontId="1" type="noConversion"/>
  </si>
  <si>
    <t>SKILL_USE</t>
    <phoneticPr fontId="1" type="noConversion"/>
  </si>
  <si>
    <t>WIN</t>
    <phoneticPr fontId="1" type="noConversion"/>
  </si>
  <si>
    <t>OPPOSITE_SCORE_NEAR</t>
    <phoneticPr fontId="1" type="noConversion"/>
  </si>
  <si>
    <t>OPPOSITE_SCORE_MIDDLE</t>
    <phoneticPr fontId="1" type="noConversion"/>
  </si>
  <si>
    <t>OPPOSITE_SCORE_SHOOT_FAR</t>
    <phoneticPr fontId="1" type="noConversion"/>
  </si>
  <si>
    <t>team_side</t>
    <phoneticPr fontId="1" type="noConversion"/>
  </si>
  <si>
    <t>燃烧的斗志</t>
  </si>
  <si>
    <t>怀恩多特王者</t>
  </si>
  <si>
    <t>新的挑战</t>
  </si>
  <si>
    <t>狂傲的狂牛</t>
  </si>
  <si>
    <t>对方中投得分小于%s%分</t>
    <phoneticPr fontId="1" type="noConversion"/>
  </si>
  <si>
    <t>对方三分球得分小于%s%分</t>
    <phoneticPr fontId="1" type="noConversion"/>
  </si>
  <si>
    <t>award_pack7</t>
  </si>
  <si>
    <t>award_pack8</t>
  </si>
  <si>
    <t>award_pack9</t>
  </si>
  <si>
    <t>award_pack10</t>
  </si>
  <si>
    <t>content</t>
    <phoneticPr fontId="1" type="noConversion"/>
  </si>
  <si>
    <t>next_dialog_id</t>
    <phoneticPr fontId="1" type="noConversion"/>
  </si>
  <si>
    <t>assistant_id</t>
    <phoneticPr fontId="1" type="noConversion"/>
  </si>
  <si>
    <t>assistant_level</t>
    <phoneticPr fontId="1" type="noConversion"/>
  </si>
  <si>
    <t>switch</t>
    <phoneticPr fontId="1" type="noConversion"/>
  </si>
  <si>
    <t>奖励库</t>
  </si>
  <si>
    <t>icon</t>
    <phoneticPr fontId="1" type="noConversion"/>
  </si>
  <si>
    <t>reset_times</t>
    <phoneticPr fontId="11" type="noConversion"/>
  </si>
  <si>
    <t>consume_type</t>
    <phoneticPr fontId="11" type="noConversion"/>
  </si>
  <si>
    <t>consume</t>
    <phoneticPr fontId="11" type="noConversion"/>
  </si>
  <si>
    <t>game_mode_id</t>
    <phoneticPr fontId="1" type="noConversion"/>
  </si>
  <si>
    <t>Bg/xisijie</t>
    <phoneticPr fontId="1" type="noConversion"/>
  </si>
  <si>
    <t>sweep_card</t>
    <phoneticPr fontId="1" type="noConversion"/>
  </si>
  <si>
    <t>你们给我走着瞧！</t>
  </si>
  <si>
    <t>就你们几个欺负我弟弟？</t>
  </si>
  <si>
    <t>呼，终于把他们赶走了。</t>
  </si>
  <si>
    <t>柏罗，你太笨了。刚刚那个球明明可以进的。</t>
  </si>
  <si>
    <t>怪我咯？明明是你太蠢。防守的时候连人都盯不住。</t>
  </si>
  <si>
    <t>真想把你扔马桶里看看是马桶臭还是你的嘴更臭。</t>
  </si>
  <si>
    <t>你想做什么？我警告你，你敢告诉我哥你就死定了。</t>
  </si>
  <si>
    <t>你以为我是被吓大的么？你不让我说我就偏要说。</t>
  </si>
  <si>
    <t>你···站住别跑。</t>
  </si>
  <si>
    <t>算了，他已经走了，我们好好准备一下明天参加的比赛吧。</t>
  </si>
  <si>
    <t>你妹妹她不愿意你没必要强逼着她跟你回去吧。</t>
  </si>
  <si>
    <t>卡森纳德队是吧，听说是只会在比赛中下黑手来达到获胜的家伙。</t>
  </si>
  <si>
    <t>话可别乱说。我们可不会违反比赛规则。但是这里路滑，你们不小心摔一下什么的也不能怪我们吧。</t>
  </si>
  <si>
    <t>篮球这项运动绝不容忍你们这样的手段。</t>
  </si>
  <si>
    <t>其实你不弱，为什么就不能堂堂正正的比赛。</t>
  </si>
  <si>
    <t>怀恩多特王者？</t>
  </si>
  <si>
    <t>怀恩多特来的？有意思。伙伴们，这里有几个外地来的。我们抽几分钟时间陪他们玩玩怎么样？</t>
  </si>
  <si>
    <t>怀恩多特的不赖嘛。</t>
  </si>
  <si>
    <t>代表怀恩多特来参赛的居然不是博森骑士队，看来那几个家伙也败给你们了？</t>
  </si>
  <si>
    <t>博森骑士队什么实力我清楚。每年的联赛中我们都没有讨过好处。在我面前谦虚我会觉得他是在炫耀。</t>
  </si>
  <si>
    <t>嘿··伙计。我们没有这个意思。</t>
  </si>
  <si>
    <t>厉害，我佩服。说实话，小子。开始对你很不满。现在觉得你人还挺不错。</t>
  </si>
  <si>
    <t>你别再误会我是在炫耀就行了。</t>
  </si>
  <si>
    <t>爱丝特，玩的差不多就可以了。再不去上课维尔福教授要生气了。</t>
  </si>
  <si>
    <t>唷，这小妞蛮正的嘛，这是你的马子？借给爷爷我玩几天怎么样？</t>
  </si>
  <si>
    <t>你说谁是马子呢，你嘴巴放干净点。我告诉你。</t>
  </si>
  <si>
    <t>怀恩多特还真是不怎么样。随便一个不起眼的小队伍都敢出来挑战了。</t>
  </si>
  <si>
    <t>你们输了，要说败因的话，那就是还不够强，仅此而已。</t>
  </si>
  <si>
    <t>我们比你更强，我就是为了证明这点才来到这里。事实证明我们做到了。</t>
  </si>
  <si>
    <t>嘿嘿嘿，你们几个别自顾自的在那说话，球场你们用了这么久了。该让出来了吧？</t>
  </si>
  <si>
    <t>你是什么人？这里轮不到你插嘴吧。</t>
  </si>
  <si>
    <t>小妞挺泼辣的啊，敢和爷打个赌吗？输了今晚伺候爷怎么样？哈哈哈。</t>
  </si>
  <si>
    <t>哥，就是他们几个。</t>
  </si>
  <si>
    <t>达克，尿完就叫你哥帮你提裤衩么？</t>
  </si>
  <si>
    <t>连我的人都敢欺负，你知道我是谁么？</t>
  </si>
  <si>
    <t>我还真不知道。你来不就是为了动动嘴皮子吧？</t>
  </si>
  <si>
    <t>够嚣张，够狂。那我就让你长点记性。</t>
  </si>
  <si>
    <t>这么说你是答应加入球队了？太好了！</t>
  </si>
  <si>
    <t>告诉你，虽然我现在加入球队了，但是如果不能代表怀恩多特参加街球联盟赛的话，我可没兴趣陪你一直这样。</t>
  </si>
  <si>
    <t>我去哪个球队跟你有什么关系？</t>
  </si>
  <si>
    <t>为什么你不肯来我的球队？</t>
  </si>
  <si>
    <t>兄弟，不好意思，你输了。</t>
  </si>
  <si>
    <t>卡尔文，连这种人都赢不了，你还是别再来烦我了。</t>
  </si>
  <si>
    <t>拉里威廉姆斯！你们来干什么？</t>
  </si>
  <si>
    <t>你的小弟看来也不怎么样嘛。</t>
  </si>
  <si>
    <t>别以为你赢了他们就很了不起。你在我面前仍然是个小蝼蚁而已。</t>
  </si>
  <si>
    <t>这两个家伙还是这么爱争嘴。</t>
  </si>
  <si>
    <t>我倒是觉得他们挺可爱的。</t>
  </si>
  <si>
    <t>今年的街球联盟赛值得期待啊。</t>
  </si>
  <si>
    <t>你们好啊，小伙计们！刚刚看了你们的比赛。老实说打得很棒。</t>
  </si>
  <si>
    <t>又见面了，各位。</t>
  </si>
  <si>
    <t>作为手下败将你不应该躲起来么？为何还出现在我面前。</t>
  </si>
  <si>
    <t>上次不过是你们运气好罢了，我说过我会在比赛时十倍奉还。</t>
  </si>
  <si>
    <t>我能踩你一次就能踩你十次，一百次。</t>
  </si>
  <si>
    <t>我这个队长都还没说话，你这样说我的队员似乎不合理吧？</t>
  </si>
  <si>
    <t>你这群混蛋。你究竟使了什么妖法，把我妹妹从我身边带走了。</t>
  </si>
  <si>
    <t>你是谁？我和我妹妹说话关你屁事。</t>
  </si>
  <si>
    <t>她是我的队员，我们还要一起参加夺冠街球联盟赛。</t>
  </si>
  <si>
    <t>夺冠？不是我看轻你。别太把自己当回事。</t>
  </si>
  <si>
    <t>哥，你就别逼我回去了。好不好。</t>
  </si>
  <si>
    <t>哥，你是我唯一的亲人。但我也有我的理想。我想要自己决定我的生活。而不是在你的庇护下长大。</t>
  </si>
  <si>
    <t>几位都是新面孔啊，才成立的战队吗？</t>
  </si>
  <si>
    <t>我从小就喜欢篮球，自从来美国留学以后。我更是迷上了街球这项运动。</t>
  </si>
  <si>
    <t>今年我一定要代表怀恩多特地区参加巡回赛。所以今天必须战胜你。</t>
  </si>
  <si>
    <t>代表怀恩多特地区参加巡回赛同样是我们的目标，所以我们不会让步。</t>
  </si>
  <si>
    <t>那就开始吧，看看是你的自信更强还是我的觉悟更高。</t>
  </si>
  <si>
    <t>看来今年没有机会跟博森骑士队交手了。</t>
  </si>
  <si>
    <t>是的，想要代表怀恩多特参加城市角逐。必须要战胜博森骑士队。</t>
  </si>
  <si>
    <t>是个强劲的对手啊。</t>
  </si>
  <si>
    <t>自从我参加街球联盟赛以来。从来没在他们手里讨到过好处。希望你能创造奇迹。替我完成这个愿望。</t>
  </si>
  <si>
    <t>呼，今天的一战不容易。</t>
  </si>
  <si>
    <t>别怕，博森骑士虽然是历届代表怀恩多特参加城市街球角逐的战队。但是我们也不是一点机会都没有。</t>
  </si>
  <si>
    <t>我看过你们的比赛，没想到初成立的球队会有这等成绩。</t>
  </si>
  <si>
    <t>跟你们相比还是有差距啊。</t>
  </si>
  <si>
    <t>有能力争，就要去争取。怀恩多特的王座要靠你们自己争取。</t>
  </si>
  <si>
    <t>恭喜你们了，怀恩多特会以你们为骄傲。</t>
  </si>
  <si>
    <t>真不敢相信，我们居然赢了。真的赢了！</t>
  </si>
  <si>
    <t>是啊，我们赢了。</t>
  </si>
  <si>
    <t>以后怀恩多特能否在街球联盟中抬头就看你们的了。</t>
  </si>
  <si>
    <t>嗯，我一定会让怀恩多特这个名字在联盟中打响。</t>
  </si>
  <si>
    <t>这里就是罗杰斯公园了，四处都弥漫着挑战的气氛。</t>
  </si>
  <si>
    <t>我喜欢这里，不由的开始热血沸腾了。</t>
  </si>
  <si>
    <t>有点迫不及待想跟他们较量一下了。</t>
  </si>
  <si>
    <t>嘿，外来的几个。要不要来比一比。</t>
  </si>
  <si>
    <t>谁说不是呢。</t>
  </si>
  <si>
    <t>你们也很强，期望在正式比赛里再战。</t>
  </si>
  <si>
    <t>哦？你们是来这里参加街球联盟赛的。</t>
  </si>
  <si>
    <t>嗯，我们代表怀恩多特而来。</t>
  </si>
  <si>
    <t>难怪实力这么强，原来是怀恩多特的冠军队伍。</t>
  </si>
  <si>
    <t>我们侥幸获得胜利而已。</t>
  </si>
  <si>
    <t>开始比赛吧，我想领教一下能打败博森骑士的新兴队伍是什么水平。</t>
  </si>
  <si>
    <t>我的变化可大了。现在我的球技已经不在你之下了哦。</t>
  </si>
  <si>
    <t>时隔五年，我们还能在同一个球场上较量。</t>
  </si>
  <si>
    <t>是啊，以前斗牛都是你让我两球。现在我要和你公平较量。</t>
  </si>
  <si>
    <t>还以为这次能赢你呢，万万没想到。</t>
  </si>
  <si>
    <t>你进步也蛮大的，没想到五年来你变化这么大。</t>
  </si>
  <si>
    <t>学长加油，以后的比赛我会抽空去帮你助威的。</t>
  </si>
  <si>
    <t>没想到罗杰斯传奇会来看我们的比赛。真是受宠若惊啊。</t>
  </si>
  <si>
    <t>我总要知道对手是怎样的实力对吧，即兴来一场怎么样？</t>
  </si>
  <si>
    <t>哎，真可惜。难得好好玩一场球。下次在赛场上再见吧。</t>
  </si>
  <si>
    <t>你们并没有拿出真正实力吧，我所知道的黑鹰实力远不止这样。</t>
  </si>
  <si>
    <t>谁知道呢！下次见啦。</t>
  </si>
  <si>
    <t>不用多说，直接开始比赛吧。</t>
  </si>
  <si>
    <t>他是号称鬼斧之手的卡伯特，沉默寡言。但实力不容小觑。</t>
  </si>
  <si>
    <t>嗯，我知道了。我会小心应对的。</t>
  </si>
  <si>
    <t>我输了。</t>
  </si>
  <si>
    <t>又见面啦，上次我们还没有分出胜负。这次一定要跟你一决高下。</t>
  </si>
  <si>
    <t>我知道上次你并没有拿出全部实力。希望这次你能全力以赴。</t>
  </si>
  <si>
    <t>我说你们两别自顾自的说啊。可别以为黑鹰只有一个人啊。</t>
  </si>
  <si>
    <t>那我来做你的对手怎么样。</t>
  </si>
  <si>
    <t>可恶，我不服，我们再来一场。刚刚那局不算。</t>
  </si>
  <si>
    <t>你怎么能跟想孩子一样赖皮呢！</t>
  </si>
  <si>
    <t>好了，爱丝特。不服就明年重新来过。</t>
  </si>
  <si>
    <t>可是·</t>
  </si>
  <si>
    <t>没什么可是的，明天还有维尔福教授的测验呢。快回去复习了。</t>
  </si>
  <si>
    <t>你还是多想想一会比赛结束后怎么保住你的第三条腿吧。</t>
  </si>
  <si>
    <t>把他交给我，我要让他知道侮辱我的队友会是什么下场。</t>
  </si>
  <si>
    <t>已经教他重新做人了，我们走吧。</t>
  </si>
  <si>
    <t>体型方面确实挺吃亏的啊。不过既然代表怀恩多特。那就不应该退缩。</t>
  </si>
  <si>
    <t>老实说开始觉得有点不爽了。</t>
  </si>
  <si>
    <t>那就拿出实力来，在这个世界上只有胜利是一切。胜者的一切会被肯定，败者的一切会被否定。</t>
  </si>
  <si>
    <t>你别太狂，我会让你后悔。</t>
  </si>
  <si>
    <t>要说狂妄貌似也是你们更甚一些吧。</t>
  </si>
  <si>
    <t>拉里威廉姆斯还真是说中了，你们居然能挺到这一步。</t>
  </si>
  <si>
    <t>他是你什么人？</t>
  </si>
  <si>
    <t>山王组织后卫，外人称呼我为林疯狂。</t>
  </si>
  <si>
    <t>原来是拉里威廉姆斯的走狗，你来这做什么？</t>
  </si>
  <si>
    <t>敢这么对我说话的人，你还是第一个。我要你向我道歉。</t>
  </si>
  <si>
    <t>你脑子没病吧？要不要帮你叫医生？</t>
  </si>
  <si>
    <t>回去告诉拉里威廉姆斯，被踩的日子不远了。</t>
  </si>
  <si>
    <t>你们能胜过这里其他队再说吧。</t>
  </si>
  <si>
    <t>我承认以前你确实比我强，但你那高高在上的态度真的让人很不爽。</t>
  </si>
  <si>
    <t>那又怎么样，你别以为我的实力还跟以前一样。以前把你碾在脚下，现在也一样可以。</t>
  </si>
  <si>
    <t>那就让你们几个见识下真正的篮球是什么样的吧。</t>
  </si>
  <si>
    <t>不可能！你这蝼蚁怎么可能赢得了我。</t>
  </si>
  <si>
    <t>伯里斯，你为什么不来参加街球联盟赛？</t>
  </si>
  <si>
    <t>我已经放弃了。以后不会再和你竞争了。</t>
  </si>
  <si>
    <t>当初说好的各自加入一个球队在比赛中一决胜负。我现在站你面前，你却告诉我你放弃了？</t>
  </si>
  <si>
    <t>你能应约我很高兴，但现在的我已经没有资格和你竞争了。</t>
  </si>
  <si>
    <t>有没有资格不是你说了算，站起来，和我打球。</t>
  </si>
  <si>
    <t>接好球，你必须和我打！</t>
  </si>
  <si>
    <t>你怎么变得这么弱，发生了什么？</t>
  </si>
  <si>
    <t>我沾染了毒品，现在的身体已经没有能力再和你竞争了</t>
  </si>
  <si>
    <t>唷，伯里斯你还能拿稳球啊？我还以为你现在爬都爬不起来了呢。哈哈哈。</t>
  </si>
  <si>
    <t>这么急着维护你的朋友啊，你自己都成了毒虫了，还有心思管别人？你这条废物当初就不应该让你站起来。</t>
  </si>
  <si>
    <t>混蛋，原来就是你把他弄成这个样子的！</t>
  </si>
  <si>
    <t>哈哈哈！是又怎么样？我就是要让他打不成篮球。废物就是废物。</t>
  </si>
  <si>
    <t>混账东西，你给我滚出这里。</t>
  </si>
  <si>
    <t>我警告你，以后别再出现在这里！</t>
  </si>
  <si>
    <t>就算你打败了我又如何，这片区域迟早是我们黑龙帮的。</t>
  </si>
  <si>
    <t>没想到那些人居然是黑帮组织。这些人怎么会来打街球？</t>
  </si>
  <si>
    <t>我们这里有一个不成文的规定，西四大街的每个片区都有一个街球或者几个街球球队存在。</t>
  </si>
  <si>
    <t>而争夺地盘必须要以街球来解决。即便他们是黑帮也无法违背这个规定。</t>
  </si>
  <si>
    <t>所以他们就用卑鄙的手段让你们变弱，然后再趁势拿下地盘？</t>
  </si>
  <si>
    <t>你们还是走吧，和他们斗没有好下场。</t>
  </si>
  <si>
    <t>既然你们没有人能够比赛了。那么这块地盘以后就属于黑龙帮了。</t>
  </si>
  <si>
    <t>咳咳···篮球可不是那么打的，不管怎么样使用暴力是不对的。</t>
  </si>
  <si>
    <t>呵，你还挺顽强的。这样都没把你弄趴下。</t>
  </si>
  <si>
    <t>伯里斯要守护的东西，我来替他守护！</t>
  </si>
  <si>
    <t>真是感人啊！感动得我都想把你一起废掉了。既然你要搀和进来，那我就成全你好了。</t>
  </si>
  <si>
    <t>这笔账我们黑龙帮记住了，我们走。</t>
  </si>
  <si>
    <t>对不起，连累你们了。</t>
  </si>
  <si>
    <t>别提什么连累不连累的，我唯一的期望就是你能履行当年的约定。去戒毒所吧。要好起来啊，兄弟！</t>
  </si>
  <si>
    <t>嗯，我会努力的。谢谢！</t>
  </si>
  <si>
    <t>嘻~小哥你可真会说话，不过我球打的更漂亮呢！</t>
  </si>
  <si>
    <t>有意思，那我就要向各位姑娘学习学习了。</t>
  </si>
  <si>
    <t>好啊，那就让我来教教你怎么打球吧！</t>
  </si>
  <si>
    <t>小哥的实力果然不俗呢，难怪有这么自信。</t>
  </si>
  <si>
    <t>姑娘们的实力也不同凡响。</t>
  </si>
  <si>
    <t>切，你看到美女魂都被勾没了。</t>
  </si>
  <si>
    <t>我我我···我吃谁醋。别胡说八道。</t>
  </si>
  <si>
    <t>请问这里谁是你们的头领？</t>
  </si>
  <si>
    <t>你是谁！黑龙帮派来占领我们地盘的？</t>
  </si>
  <si>
    <t>不要误会，我不是黑龙帮的。我只是找你们问点事情。</t>
  </si>
  <si>
    <t>我们没有什么好回答的，你走吧。别妨碍我们。</t>
  </si>
  <si>
    <t>我朋友遭黑龙帮暗算，如果你知道些黑龙帮的事情请告诉我。</t>
  </si>
  <si>
    <t>你朋友的事与我无关，真想从我嘴里知道东西就拿出实力来较量一番。</t>
  </si>
  <si>
    <t>自从黑龙帮来了以后。我们这片区就没有过好日子。所以碰到陌生人都特别反感，会以为是黑龙帮的人。</t>
  </si>
  <si>
    <t>我朋友遭他们毒手，我想要打败黑龙帮。让他们滚出篮球界。</t>
  </si>
  <si>
    <t>劝你们还是放弃吧，黑龙帮现在势力十分庞大，不是靠你们几个就能推翻的。</t>
  </si>
  <si>
    <t>喂，你们要找黑龙帮？</t>
  </si>
  <si>
    <t>没错，你知道些什么吗？请告诉我黑龙帮的事情。</t>
  </si>
  <si>
    <t>告诉你倒是可以，但是我必须要确定你有足够的实力。否则你败在黑龙帮手里到时候我就惨了。</t>
  </si>
  <si>
    <t>行，只要你肯告诉我。</t>
  </si>
  <si>
    <t>黑龙帮最近在我们附近的几个地区都有势力渗入，西四街的黑龙帮头领是个女的，据说叫····</t>
  </si>
  <si>
    <t>乔，感觉你最近过得挺舒适的嘛。</t>
  </si>
  <si>
    <t>咦？克里斯提娜，你怎么在这里？</t>
  </si>
  <si>
    <t>小哥，没想到在这里也能碰到你们啊。</t>
  </si>
  <si>
    <t>就是她！！她就是黑龙帮在西四街头的首领！</t>
  </si>
  <si>
    <t>什么？！</t>
  </si>
  <si>
    <t>小子，你别胡说！她怎么会是黑龙帮的人。</t>
  </si>
  <si>
    <t>我没有骗你，信不信由你。</t>
  </si>
  <si>
    <t>黑龙帮又怎样？我有害过你们么？</t>
  </si>
  <si>
    <t>黑龙帮作恶多端，既然你是黑龙帮的人。那么我们也该划清界限。</t>
  </si>
  <si>
    <t>为什么？为什么你是黑龙帮的人？</t>
  </si>
  <si>
    <t>亏我还把你们当朋友呢。没想到这么快就反目。既然这样我也不会再手下留情。</t>
  </si>
  <si>
    <t>提娜姐，别担心。我已经召集了帮众。在快速赶来。他们走不了。</t>
  </si>
  <si>
    <t>动点脑子行么，这里是街球联盟赛。容不得放肆。</t>
  </si>
  <si>
    <t>可是···</t>
  </si>
  <si>
    <t>以前听说圆屋也是街球圣地，怎么球场上这么荒凉。</t>
  </si>
  <si>
    <t>黑龙帮还没有来之前，圆屋公园是和谐美丽的地方。</t>
  </si>
  <si>
    <t>怎么？黑龙帮的势力已经渗透到这里来了？</t>
  </si>
  <si>
    <t>现在比较大的几个街球公园都有他们的势力。街球界再也没有以前的安宁了。</t>
  </si>
  <si>
    <t>黑龙帮真是作恶多端，总有一天会让他们吃尽苦头。</t>
  </si>
  <si>
    <t>你们就是怀恩多特来的几位吧？</t>
  </si>
  <si>
    <t>你怎么知道，难道我的名字已经写脸上了？</t>
  </si>
  <si>
    <t>西四大街一役后，大家都对你们刮目相看了。不知道能不能有幸和你来一场对决呢？</t>
  </si>
  <si>
    <t>果然和传闻一样。我实力不如你。</t>
  </si>
  <si>
    <t>你们有想过将地盘夺回来吗？</t>
  </si>
  <si>
    <t>我们曾组织向黑龙帮发起过挑战，但没有能力阻止黑龙帮的凶焰。希望各位能伸出援手，阻止黑龙帮带来的灾难。</t>
  </si>
  <si>
    <t>我们会尽力，打乱街球界和平的人我绝不会姑息。</t>
  </si>
  <si>
    <t>黑龙帮作恶多端，我不会饶恕他们。</t>
  </si>
  <si>
    <t>黑龙帮势力滔天，你有没有考虑过后果？</t>
  </si>
  <si>
    <t>黑龙帮不是好惹的，年轻气盛有热血是好事，但是不要被热血冲昏头脑。</t>
  </si>
  <si>
    <t>你是谁？</t>
  </si>
  <si>
    <t>先别问我是谁，至少要用行动告诉我你是有资格知道我名字的！</t>
  </si>
  <si>
    <t>有两下子。我是洛夫科罗森队长——艾许莉。</t>
  </si>
  <si>
    <t>你就是圆屋雄狮洛夫科罗森战队的艾许莉？</t>
  </si>
  <si>
    <t>不错，就是我。</t>
  </si>
  <si>
    <t>虽然你们实力不弱，但是我还是建议你们别去挑战黑龙帮。</t>
  </si>
  <si>
    <t>为什么？</t>
  </si>
  <si>
    <t>我曾和黑龙帮一对一交过手，在他的防守下我几乎没有得手过。</t>
  </si>
  <si>
    <t>什么人这么厉害，连你都毫无办法。</t>
  </si>
  <si>
    <t>铁手——克莱因斯·福诺，他这称号可不是白来的。在他的防守下。我的进攻几乎都无效化了。</t>
  </si>
  <si>
    <t>我相信每个人都有弱点，也许你只是没找到他的弱点而已。</t>
  </si>
  <si>
    <t>你是在怀疑我的进攻能力？</t>
  </si>
  <si>
    <t>不不不，我并没有这样说。</t>
  </si>
  <si>
    <t>但你的行动是这样告诉我的。睁大眼睛看好我的进攻不是你想的那样弱。</t>
  </si>
  <si>
    <t>抱歉，我真没有怀疑过你的实力。</t>
  </si>
  <si>
    <t>你要找黑龙帮麻烦我不会再拦着你。还有，我会在街球联盟赛中找回场子的。</t>
  </si>
  <si>
    <t>别忘心里去，传闻艾许莉就是直性子。她并没有真的记恨你。</t>
  </si>
  <si>
    <t>但愿这样吧。</t>
  </si>
  <si>
    <t>还是专心接下来的比赛吧。下次赛场上再和她认真比赛一场。</t>
  </si>
  <si>
    <t>去年来巡回赛的怀恩多特队伍还不是你们。没想到一年后以前的对手都不见了。</t>
  </si>
  <si>
    <t>看来你一定和博森骑士的前辈很熟悉吧。</t>
  </si>
  <si>
    <t>前辈他很好，他还等着我夺得冠军带回怀恩多特呢。</t>
  </si>
  <si>
    <t>老实说你的实力让我很钦佩。好久没有打的这么畅快了。</t>
  </si>
  <si>
    <t>海勒，这就是今天我们的对手了。他们来自··</t>
  </si>
  <si>
    <t>不用给我说这么多，我也没兴趣知道。我只想打好自己的篮球就够了。</t>
  </si>
  <si>
    <t>这人怎么跟个冰块一样，摆个冰块脸。看着真让人生气！</t>
  </si>
  <si>
    <t>海勒他一直都是这样，小时候他失去亲人后就变得沉默寡言。不过他的投篮确实非常出色。</t>
  </si>
  <si>
    <t>是么，那我要和他好好比一比。</t>
  </si>
  <si>
    <t>冰块脸，真正热爱街球的都是我的朋友。相信我们也能成为好朋友的。</t>
  </si>
  <si>
    <t>明明一直都觉得一个人是理所当然的，所谓的孤独明明早就不在意了。</t>
  </si>
  <si>
    <t>海勒，敞开心扉吧，你还有我们这些朋友。</t>
  </si>
  <si>
    <t>圆屋的美女挺多的呀，你们这的美女都喜欢打篮球吗？</t>
  </si>
  <si>
    <t>你以为随便夸我两句就会对你手下留情吗？其实我最讨厌你这种虚于表相，浮夸的人。</t>
  </si>
  <si>
    <t>我很浮夸吗？我有浮夸吗？</t>
  </si>
  <si>
    <t>咳咳，专心比赛吧。</t>
  </si>
  <si>
    <t>去年涌现了四位传奇新秀，他们都拥有职业级的水准。今天要跟我们比赛的就是其中一位了。</t>
  </si>
  <si>
    <t>有什么了不起的。明年的我们个个都是传奇新秀。</t>
  </si>
  <si>
    <t>哼，感觉被你小瞧了呢，让人有些火大。</t>
  </si>
  <si>
    <t>抱歉，她没有小瞧你的意思，相反的我们特别希望跟你这样的强者比赛。</t>
  </si>
  <si>
    <t>正好，我也想正看看你明年的传奇新秀有几分实力。</t>
  </si>
  <si>
    <t>艾许莉队长，我们又见面了。</t>
  </si>
  <si>
    <t>你们好。我是艾许莉队友弗雷德里卡。</t>
  </si>
  <si>
    <t>四位传奇新秀之中的得分后卫——弗雷德里卡，看来有一场苦战了。</t>
  </si>
  <si>
    <t>看来这些年的球我是白打了。</t>
  </si>
  <si>
    <t>你现在觉得我有和黑龙帮一战的实力了么？</t>
  </si>
  <si>
    <t>还不够，黑龙帮比你想象的厉害得多。</t>
  </si>
  <si>
    <t>那你告诉我铁手人在哪儿？</t>
  </si>
  <si>
    <t>你真要找他的话去卡梅登看看吧，一个月前据说他在那里出现过。</t>
  </si>
  <si>
    <t>卡梅登公园，是个好地方。</t>
  </si>
  <si>
    <t>打街球的人提到卡梅登公园就会想到拉劳斯，那个代表卡梅登夺得多次冠军的传奇人物。</t>
  </si>
  <si>
    <t>以前学校的交流会上有幸见过拉劳斯打球，那时的他已经是球技卓越了。</t>
  </si>
  <si>
    <t>明天就有机会领教了，刚来这里，先来一场斗牛热热身吧。</t>
  </si>
  <si>
    <t>你和我打？</t>
  </si>
  <si>
    <t>不不不，前面球场看到了吗？我们一人挑一个对手斗牛，看看谁能在最短的时间内战胜对方。</t>
  </si>
  <si>
    <t>有意思，走！</t>
  </si>
  <si>
    <t>呼，累出一身汗舒服多啦。</t>
  </si>
  <si>
    <t>所以结果是你赢还是我赢！</t>
  </si>
  <si>
    <t>不分胜负，几乎是同时。</t>
  </si>
  <si>
    <t>胡说，肯定是我先！</t>
  </si>
  <si>
    <t>当然紧张了，对方可是拉劳斯。</t>
  </si>
  <si>
    <t>我又不是什么怪物，紧张什么。正好很久没打球了。今天想动动身子。</t>
  </si>
  <si>
    <t>拉劳斯，医生不是叫你多休息一下么。你现在不能打篮球！</t>
  </si>
  <si>
    <t>难得有这兴致，你就让我打吧。我自己有分寸的。</t>
  </si>
  <si>
    <t>大神，你的腿怎么了！！！</t>
  </si>
  <si>
    <t>我没事···嘶····</t>
  </si>
  <si>
    <t>还说没事··你都这样了··我们快去医院。</t>
  </si>
  <si>
    <t>别这么扭扭捏捏的，这点小伤算什么。</t>
  </si>
  <si>
    <t>可恶！你明知道拉劳斯大哥有腿伤，你还坚持让他和你打球。你还有人性吗？</t>
  </si>
  <si>
    <t>喂！你怎么说话呢！我们事先又不知道。</t>
  </si>
  <si>
    <t>少在这虚伪了，拉劳斯大哥有什么事的话我不会放过你。你想打球是吧？我来教训你！</t>
  </si>
  <si>
    <t>凯罗，够了，我没事。别为难他们。</t>
  </si>
  <si>
    <t>大哥，我····</t>
  </si>
  <si>
    <t>对不起，给你们添麻烦了。</t>
  </si>
  <si>
    <t>我不要紧的，不过大神的腿伤是怎么回事？</t>
  </si>
  <si>
    <t>拉劳斯他···他在前一段时间和黑龙帮的交手时，为了保护我不被受伤，他自己却···</t>
  </si>
  <si>
    <t>那一场我们输了。医生说拉劳斯以后恐怕都不能再打球了。</t>
  </si>
  <si>
    <t>黑龙帮真是欺人太甚！</t>
  </si>
  <si>
    <t>你要去哪儿！</t>
  </si>
  <si>
    <t>我要去找他们算账，凯罗你知道黑龙帮的人在哪吗？</t>
  </si>
  <si>
    <t>我知道，我带你们去！</t>
  </si>
  <si>
    <t>站住！不许去。你们不是黑龙帮的对手，这样拉劳斯会更不放心的。</t>
  </si>
  <si>
    <t>你们这群垃圾还真是阴魂不散，在哪儿都想跟黑龙帮作对。</t>
  </si>
  <si>
    <t>卡沃尔，你这个黑龙帮的走狗！我正愁找不到你，来得还真是时候！</t>
  </si>
  <si>
    <t>快说，黑龙帮的据点在哪？</t>
  </si>
  <si>
    <t>呸，你敢动我黑龙帮不会放过你们。</t>
  </si>
  <si>
    <t>还嘴硬，我看你说不说！你说不说！</t>
  </si>
  <si>
    <t>我说，我说。黑龙帮就在·····</t>
  </si>
  <si>
    <t>啊！！！！真狡诈。居然让他跑了。</t>
  </si>
  <si>
    <t>不怕，我知道黑龙帮据点在哪儿。他跑不了，</t>
  </si>
  <si>
    <t>这里怎么阴森森的！好可怕。</t>
  </si>
  <si>
    <t>害怕你就先回去，你要是有什么事，你哥哥肯定也会担心的。</t>
  </si>
  <si>
    <t>我不怕，你不许赶我走。</t>
  </si>
  <si>
    <t>你们是谁，这里是黑龙帮的领地。禁止闲人入内。</t>
  </si>
  <si>
    <t>黑龙帮是么？看来没有找错地方。</t>
  </si>
  <si>
    <t>兄弟们，有人来砸场子！</t>
  </si>
  <si>
    <t>你是谁？你别过来！</t>
  </si>
  <si>
    <t>你不用知道我是谁！现在领地归我们了。回去告诉你们头，黑龙帮以后没有好日子过了。</t>
  </si>
  <si>
    <t>听说费恩的地盘都被你们给踹了，有点能耐啊。</t>
  </si>
  <si>
    <t>你的下场也会和费恩一样。</t>
  </si>
  <si>
    <t>不要以为有点实力就可以猖狂，自以为是的家伙，想来黑龙帮撒野得问问我！</t>
  </si>
  <si>
    <t>我没事，你怎么来了？拉劳斯他的腿伤好些了吗？</t>
  </si>
  <si>
    <t>他没事了，听说你们去了黑龙帮场子，他放心不下你们，让我过来看看。</t>
  </si>
  <si>
    <t>这里很危险。你先回去吧，告诉拉劳斯大神不用担心。</t>
  </si>
  <si>
    <t>没事，这点场面我还可以应付得来。</t>
  </si>
  <si>
    <t>莰蒂丝，就是这几个家伙，你要帮我报仇，把地盘夺回来啊。</t>
  </si>
  <si>
    <t>很久没人敢来黑龙帮闹事了，你们胆子还真是大。敢来这里就让你付出代价。</t>
  </si>
  <si>
    <t>格罗瑞娅，你还不出手，在等什么？</t>
  </si>
  <si>
    <t>你们还真是没用，这几个人都应付不了。枉费上头那么重视你们。</t>
  </si>
  <si>
    <t>你····</t>
  </si>
  <si>
    <t>你居然是黑龙帮内奸！</t>
  </si>
  <si>
    <t>不到逼不得已我也不想现在暴露身份，怪就怪你们多管闲事。</t>
  </si>
  <si>
    <t>这么说拉劳斯大神的受伤也跟你有关系？</t>
  </si>
  <si>
    <t>拉劳斯他确实是因为我才受伤的，但我并没有故意的想要去伤害他。</t>
  </si>
  <si>
    <t>我最痛恨的就是背叛，既然你是黑龙帮的人。那么就要做好被我打败的觉悟。</t>
  </si>
  <si>
    <t>你走吧，不要再出现在拉劳斯大神面前。</t>
  </si>
  <si>
    <t>这里就是街球天堂，第155公园么。果然群英云集啊。</t>
  </si>
  <si>
    <t>这里的选手都好厉害。</t>
  </si>
  <si>
    <t>当然了，这里的街球已经有50多年历史了。也出过无数的传奇球员。创造过无数传奇记录。</t>
  </si>
  <si>
    <t>好想马上跟他们较量一下。</t>
  </si>
  <si>
    <t>小妹妹，我陪你们玩一局如何？</t>
  </si>
  <si>
    <t>露西娅，你就别逗她了。</t>
  </si>
  <si>
    <t>露西娅好厉害··</t>
  </si>
  <si>
    <t>她也是四大新秀之一，有这份实力是很正常的。</t>
  </si>
  <si>
    <t>哪有你厉害，直接敢和黑龙帮抬杠。</t>
  </si>
  <si>
    <t>露西娅，你能带我去一下比赛的场地么？</t>
  </si>
  <si>
    <t>好啊，正好你们的对手我也认识。</t>
  </si>
  <si>
    <t>露西娅，这次你又给我带来了什么样的对手。</t>
  </si>
  <si>
    <t>教授你好。</t>
  </si>
  <si>
    <t>真没想到来第155公园后的一个对手居然是你。</t>
  </si>
  <si>
    <t>教授，他们可是打败卡梅登公园黑龙帮的人。别小看他们哦。</t>
  </si>
  <si>
    <t>哎，看来不使出全力不行了。</t>
  </si>
  <si>
    <t>格雷森，你好歹也是名人了，欺负后辈好意思么。</t>
  </si>
  <si>
    <t>他们可不简单，魔术师和拉劳斯对他们特别看好。之前不久更是大闹了卡梅登公园的黑龙帮地盘。</t>
  </si>
  <si>
    <t>我没问题，前辈们喜欢就好。</t>
  </si>
  <si>
    <t>那就好，这次我可不会留手了。</t>
  </si>
  <si>
    <t>吴策。现在吃亏了吧。</t>
  </si>
  <si>
    <t>我只是最近没打球有点手生而已。话说回来你又没赢自豪个什么劲。</t>
  </si>
  <si>
    <t>今天正式比赛，我要拿出真正实力了。</t>
  </si>
  <si>
    <t>昨天是谁说我欺负后辈来着？</t>
  </si>
  <si>
    <t>你都说了他们不是普通的队伍。肯定不能再轻率了。</t>
  </si>
  <si>
    <t>吴策大哥能全力以赴，我们当然乐意奉陪。</t>
  </si>
  <si>
    <t>我说你们两个是不是故意放水！故意气我是吧。</t>
  </si>
  <si>
    <t>胡说，我上场从来都是全力以赴，明明是你在划水好吧!</t>
  </si>
  <si>
    <t>icon</t>
  </si>
  <si>
    <t>奖励库2</t>
  </si>
  <si>
    <t>奖励库3</t>
  </si>
  <si>
    <t>奖励库4</t>
  </si>
  <si>
    <t>奖励库5</t>
  </si>
  <si>
    <t>奖励库6</t>
  </si>
  <si>
    <t>奖励库7</t>
  </si>
  <si>
    <t>奖励库8</t>
  </si>
  <si>
    <t>奖励库9</t>
  </si>
  <si>
    <t>switch</t>
    <phoneticPr fontId="1" type="noConversion"/>
  </si>
  <si>
    <t>就你这模样还敢打爱丝注意，撒泡尿好好照照自己吧。</t>
  </si>
  <si>
    <t>爱丝，感觉你加入球队怎么一副不情愿的样子。</t>
  </si>
  <si>
    <t>什么？爱丝。你居然加入别人球队了？就这种破队伍也值得你去？</t>
  </si>
  <si>
    <t>当初邀请爱丝来我们队是看得起她。既然这么不识好歹。那我也不必对你客气了。</t>
  </si>
  <si>
    <t>爱丝加入这个球队你哥哥还不知道吧，不知道他知道了会发生什么。</t>
  </si>
  <si>
    <t>是啊，爱丝你别担心。不论今后怎么样，我都会站在你这一边的。</t>
  </si>
  <si>
    <t>有本事拿你手上的球和我决一胜负。赢了我的话我就不再反对妹妹的决定，输了的话爱丝就跟我回去。</t>
  </si>
  <si>
    <t>爱丝她不是商品，你没有权利这么做。</t>
  </si>
  <si>
    <t>爱丝，我知道你想说什么？你不想参与我不会勉强，就算只有我一个人。我一样会与他们为敌。</t>
  </si>
  <si>
    <t>爱丝，别说了。对不起，我们确实是不知道拉劳斯大神受伤的事。</t>
  </si>
  <si>
    <t>别以为你帮了我我就会感激你。既然加入球队是艾斯克斯的决定，我也不好再说什么了。</t>
  </si>
  <si>
    <t>狗屁，在这片地区我卡尔文还没怕过谁，我倒要看看他有什么能耐。</t>
  </si>
  <si>
    <t>没什么，就是想看看你的球队能不能比得上我小弟的三流球队。</t>
  </si>
  <si>
    <t>我就是来找茬的，想教训我就拿出点实际行动吧，菜鸟。</t>
  </si>
  <si>
    <t>爱丝，没想到会在这里遇到你。你哥哥知你来参赛么？</t>
  </si>
  <si>
    <t>我为什么要替我的对手着想呢？想要封住我的口，至少让拿出你的诚意。</t>
  </si>
  <si>
    <t>要怎样你才肯答应我？</t>
  </si>
  <si>
    <t>看你着急成这样，我只不过是想看看你们球队的实力如何，你们派出一人和我斗牛。</t>
  </si>
  <si>
    <t>有意思，我开始期待明天我们的对决了。</t>
  </si>
  <si>
    <t>我们明天的对手是你？</t>
  </si>
  <si>
    <t>爱丝，希望你能如愿。</t>
  </si>
  <si>
    <t>嘿，丹尼。这就是你说的那个队伍么？</t>
  </si>
  <si>
    <t>career_common</t>
  </si>
  <si>
    <t>career_bg_roof</t>
  </si>
  <si>
    <t>career_bg_roof</t>
    <phoneticPr fontId="1" type="noConversion"/>
  </si>
  <si>
    <t>career_bg_construction</t>
  </si>
  <si>
    <t>career_bg_beach</t>
  </si>
  <si>
    <t>career_bg_warehouse</t>
  </si>
  <si>
    <t>嗯，给我打起十二分精神。今天的比赛无论如何都不能输。</t>
  </si>
  <si>
    <t>丹妮，我们同样不会输给你。</t>
  </si>
  <si>
    <t>sweep_award_id</t>
  </si>
  <si>
    <t>name</t>
    <phoneticPr fontId="1" type="noConversion"/>
  </si>
  <si>
    <t>switch</t>
    <phoneticPr fontId="1" type="noConversion"/>
  </si>
  <si>
    <t>id</t>
    <phoneticPr fontId="1" type="noConversion"/>
  </si>
  <si>
    <t>loop_times</t>
    <phoneticPr fontId="1" type="noConversion"/>
  </si>
  <si>
    <t>multiple_type</t>
    <phoneticPr fontId="1" type="noConversion"/>
  </si>
  <si>
    <t>multiple_value</t>
    <phoneticPr fontId="1" type="noConversion"/>
  </si>
  <si>
    <t>award_pack1</t>
    <phoneticPr fontId="1" type="noConversion"/>
  </si>
  <si>
    <t>award_pack2</t>
    <phoneticPr fontId="1" type="noConversion"/>
  </si>
  <si>
    <t>award_pack3</t>
    <phoneticPr fontId="1" type="noConversion"/>
  </si>
  <si>
    <t>award_pack4</t>
    <phoneticPr fontId="1" type="noConversion"/>
  </si>
  <si>
    <t>award_pack5</t>
    <phoneticPr fontId="1" type="noConversion"/>
  </si>
  <si>
    <t>award_pack6</t>
    <phoneticPr fontId="1" type="noConversion"/>
  </si>
  <si>
    <t>#</t>
    <phoneticPr fontId="1" type="noConversion"/>
  </si>
  <si>
    <t>奖励库ID</t>
    <phoneticPr fontId="1" type="noConversion"/>
  </si>
  <si>
    <t>循环次数</t>
    <phoneticPr fontId="1" type="noConversion"/>
  </si>
  <si>
    <t>奖励倍数类别</t>
    <phoneticPr fontId="1" type="noConversion"/>
  </si>
  <si>
    <t>奖励倍数</t>
    <phoneticPr fontId="1" type="noConversion"/>
  </si>
  <si>
    <t>奖励库1</t>
    <phoneticPr fontId="1" type="noConversion"/>
  </si>
  <si>
    <t>奖励库10</t>
    <phoneticPr fontId="1" type="noConversion"/>
  </si>
  <si>
    <t>奖励倍数类别ID</t>
    <phoneticPr fontId="1" type="noConversion"/>
  </si>
  <si>
    <t>任何奖励都不翻倍</t>
    <phoneticPr fontId="1" type="noConversion"/>
  </si>
  <si>
    <t>金币</t>
    <phoneticPr fontId="1" type="noConversion"/>
  </si>
  <si>
    <t>钻石</t>
    <phoneticPr fontId="1" type="noConversion"/>
  </si>
  <si>
    <t>经验</t>
    <phoneticPr fontId="1" type="noConversion"/>
  </si>
  <si>
    <t>物品</t>
    <phoneticPr fontId="1" type="noConversion"/>
  </si>
  <si>
    <t>所有数值类的奖励</t>
    <phoneticPr fontId="1" type="noConversion"/>
  </si>
  <si>
    <t>所有奖励</t>
    <phoneticPr fontId="1" type="noConversion"/>
  </si>
  <si>
    <t>扫荡额外奖励</t>
    <phoneticPr fontId="1" type="noConversion"/>
  </si>
  <si>
    <t>对方内线得分小于%s%分</t>
    <phoneticPr fontId="1" type="noConversion"/>
  </si>
  <si>
    <t>内线进球%s%个</t>
    <phoneticPr fontId="1" type="noConversion"/>
  </si>
  <si>
    <t>中投进球%s%个</t>
    <phoneticPr fontId="1" type="noConversion"/>
  </si>
  <si>
    <t>三分达到%s%个</t>
    <phoneticPr fontId="1" type="noConversion"/>
  </si>
  <si>
    <t>助攻达到%s%个</t>
    <phoneticPr fontId="1" type="noConversion"/>
  </si>
  <si>
    <t>抢断达到%s%个</t>
    <phoneticPr fontId="1" type="noConversion"/>
  </si>
  <si>
    <t>使用花式%s%次</t>
    <phoneticPr fontId="1" type="noConversion"/>
  </si>
  <si>
    <t>胜利</t>
    <phoneticPr fontId="1" type="noConversion"/>
  </si>
  <si>
    <t>获得%s%分</t>
    <phoneticPr fontId="1" type="noConversion"/>
  </si>
  <si>
    <t>0</t>
    <phoneticPr fontId="1" type="noConversion"/>
  </si>
  <si>
    <t>role_gift</t>
    <phoneticPr fontId="1" type="noConversion"/>
  </si>
  <si>
    <t>type</t>
    <phoneticPr fontId="1" type="noConversion"/>
  </si>
  <si>
    <t>10104</t>
  </si>
  <si>
    <t>10103</t>
  </si>
  <si>
    <t>0</t>
  </si>
  <si>
    <t>0</t>
    <phoneticPr fontId="1" type="noConversion"/>
  </si>
  <si>
    <t>10201</t>
    <phoneticPr fontId="1" type="noConversion"/>
  </si>
  <si>
    <t>10202</t>
  </si>
  <si>
    <t>10204</t>
  </si>
  <si>
    <t>10203</t>
  </si>
  <si>
    <t>10205</t>
  </si>
  <si>
    <t>10206</t>
  </si>
  <si>
    <t>10207</t>
  </si>
  <si>
    <t>10101</t>
    <phoneticPr fontId="1" type="noConversion"/>
  </si>
  <si>
    <t>10102</t>
  </si>
  <si>
    <t>10105</t>
  </si>
  <si>
    <t>10106</t>
  </si>
  <si>
    <t>10107</t>
  </si>
  <si>
    <t>10301</t>
    <phoneticPr fontId="1" type="noConversion"/>
  </si>
  <si>
    <t>10304</t>
  </si>
  <si>
    <t>10302</t>
  </si>
  <si>
    <t>10303</t>
  </si>
  <si>
    <t>10305</t>
  </si>
  <si>
    <t>10306</t>
  </si>
  <si>
    <t>10307</t>
  </si>
  <si>
    <t>10401</t>
    <phoneticPr fontId="1" type="noConversion"/>
  </si>
  <si>
    <t>10402</t>
  </si>
  <si>
    <t>10403</t>
  </si>
  <si>
    <t>10404</t>
  </si>
  <si>
    <t>10405</t>
  </si>
  <si>
    <t>10406</t>
  </si>
  <si>
    <t>10407</t>
  </si>
  <si>
    <t>10501</t>
    <phoneticPr fontId="1" type="noConversion"/>
  </si>
  <si>
    <t>10502</t>
  </si>
  <si>
    <t>10503</t>
  </si>
  <si>
    <t>10504</t>
  </si>
  <si>
    <t>10505</t>
  </si>
  <si>
    <t>10506</t>
  </si>
  <si>
    <t>10507</t>
  </si>
  <si>
    <t>10601</t>
    <phoneticPr fontId="1" type="noConversion"/>
  </si>
  <si>
    <t>10602</t>
  </si>
  <si>
    <t>10603</t>
  </si>
  <si>
    <t>10604</t>
  </si>
  <si>
    <t>10605</t>
  </si>
  <si>
    <t>10606</t>
  </si>
  <si>
    <t>10607</t>
  </si>
  <si>
    <t>103</t>
  </si>
  <si>
    <t>104</t>
  </si>
  <si>
    <t>105</t>
  </si>
  <si>
    <t>106</t>
  </si>
  <si>
    <t>107</t>
  </si>
  <si>
    <t>120</t>
    <phoneticPr fontId="1" type="noConversion"/>
  </si>
  <si>
    <t>回忆</t>
  </si>
  <si>
    <t>302</t>
  </si>
  <si>
    <t>202</t>
  </si>
  <si>
    <t>102</t>
    <phoneticPr fontId="1" type="noConversion"/>
  </si>
  <si>
    <t>201</t>
    <phoneticPr fontId="1" type="noConversion"/>
  </si>
  <si>
    <t>203</t>
  </si>
  <si>
    <t>204</t>
  </si>
  <si>
    <t>205</t>
  </si>
  <si>
    <t>206</t>
  </si>
  <si>
    <t>207</t>
  </si>
  <si>
    <t>301</t>
    <phoneticPr fontId="1" type="noConversion"/>
  </si>
  <si>
    <t>303</t>
  </si>
  <si>
    <t>304</t>
  </si>
  <si>
    <t>305</t>
  </si>
  <si>
    <t>306</t>
  </si>
  <si>
    <t>307</t>
  </si>
  <si>
    <t>401</t>
    <phoneticPr fontId="1" type="noConversion"/>
  </si>
  <si>
    <t>402</t>
  </si>
  <si>
    <t>403</t>
  </si>
  <si>
    <t>404</t>
  </si>
  <si>
    <t>405</t>
  </si>
  <si>
    <t>406</t>
  </si>
  <si>
    <t>407</t>
  </si>
  <si>
    <t>501</t>
    <phoneticPr fontId="1" type="noConversion"/>
  </si>
  <si>
    <t>502</t>
  </si>
  <si>
    <t>503</t>
  </si>
  <si>
    <t>504</t>
  </si>
  <si>
    <t>505</t>
  </si>
  <si>
    <t>506</t>
  </si>
  <si>
    <t>507</t>
  </si>
  <si>
    <t>601</t>
    <phoneticPr fontId="1" type="noConversion"/>
  </si>
  <si>
    <t>602</t>
  </si>
  <si>
    <t>603</t>
  </si>
  <si>
    <t>604</t>
  </si>
  <si>
    <t>605</t>
  </si>
  <si>
    <t>606</t>
  </si>
  <si>
    <t>607</t>
  </si>
  <si>
    <t>2101</t>
  </si>
  <si>
    <t>2102</t>
  </si>
  <si>
    <t>2103</t>
  </si>
  <si>
    <t>2104</t>
  </si>
  <si>
    <t>2105</t>
  </si>
  <si>
    <t>2106</t>
  </si>
  <si>
    <t>2107</t>
  </si>
  <si>
    <t>2201</t>
  </si>
  <si>
    <t>2202</t>
  </si>
  <si>
    <t>2203</t>
  </si>
  <si>
    <t>2204</t>
  </si>
  <si>
    <t>2205</t>
  </si>
  <si>
    <t>2206</t>
  </si>
  <si>
    <t>2207</t>
  </si>
  <si>
    <t>2301</t>
  </si>
  <si>
    <t>2302</t>
  </si>
  <si>
    <t>2303</t>
  </si>
  <si>
    <t>2304</t>
  </si>
  <si>
    <t>2305</t>
  </si>
  <si>
    <t>2306</t>
  </si>
  <si>
    <t>2307</t>
  </si>
  <si>
    <t>2401</t>
  </si>
  <si>
    <t>2402</t>
  </si>
  <si>
    <t>2403</t>
  </si>
  <si>
    <t>2404</t>
  </si>
  <si>
    <t>2405</t>
  </si>
  <si>
    <t>2406</t>
  </si>
  <si>
    <t>2407</t>
  </si>
  <si>
    <t>2501</t>
  </si>
  <si>
    <t>2502</t>
  </si>
  <si>
    <t>2503</t>
  </si>
  <si>
    <t>2504</t>
  </si>
  <si>
    <t>2505</t>
  </si>
  <si>
    <t>2506</t>
  </si>
  <si>
    <t>2507</t>
  </si>
  <si>
    <t>2601</t>
  </si>
  <si>
    <t>2602</t>
  </si>
  <si>
    <t>2603</t>
  </si>
  <si>
    <t>2604</t>
  </si>
  <si>
    <t>2605</t>
  </si>
  <si>
    <t>2606</t>
  </si>
  <si>
    <t>2607</t>
  </si>
  <si>
    <t>报名参赛</t>
  </si>
  <si>
    <t>怀恩多特选拔</t>
  </si>
  <si>
    <t>脱颖而出</t>
  </si>
  <si>
    <t>征战罗杰斯</t>
  </si>
  <si>
    <t>弗兰克林之战</t>
  </si>
  <si>
    <t>爱丝，给你介绍一下。这是艾斯克斯。</t>
  </si>
  <si>
    <t>这就是你说的那个朋友对吧，我是艾斯克斯，很高兴认识你。</t>
  </si>
  <si>
    <t>我没看出来有什么好的，野狗你为什么会加入他们球队？</t>
  </si>
  <si>
    <t>苍蝇都赶跑了，我们赶紧练习磨合一下吧！</t>
  </si>
  <si>
    <t>没问题，旁边正好有人在打球。我们练练手！</t>
  </si>
  <si>
    <t>就你那点技术，艾斯克斯都能把你碾在脚下。</t>
  </si>
  <si>
    <t>艾斯克斯是吧，你给我记住。街球联盟赛上我会让你们十倍奉还。</t>
  </si>
  <si>
    <t>唷~艾斯克斯，好久不见啊。听说你弄了个球队？</t>
  </si>
  <si>
    <t>那你这个当大哥的要不要替他们出头呢？</t>
  </si>
  <si>
    <t>你这实力还不配做我对手，我在街球联盟赛等你。有能力走到那一步再来向我挑战吧。</t>
  </si>
  <si>
    <t>狗狗，你怎么去别人球队了。你知道我听到这个消息的时候有多心痛么？</t>
  </si>
  <si>
    <t>我去哪个球队是我的自由，不能随你心意非常抱歉。</t>
  </si>
  <si>
    <t>关键是你还跟了这个一个草包队长。跟着他没有出路的。</t>
  </si>
  <si>
    <t>嘿！北鼻。话可不能这么说吧。狗哥他能来我的球队自然是有原因的。麻烦你不要干涉行么？</t>
  </si>
  <si>
    <t>臭小子，你敢不敢跟我打个赌。赢的一方可以索要对方一名球员。</t>
  </si>
  <si>
    <t>赌就赌，你以为我怕你！</t>
  </si>
  <si>
    <t>嘿嘿，你们谁愿意来我球队呢？</t>
  </si>
  <si>
    <t>可恶，居然输给了你。想要谁你自己挑吧！</t>
  </si>
  <si>
    <t>丹尼？你们也要参加今年的街球联盟赛？</t>
  </si>
  <si>
    <t>我是瞒着他出来的，麻烦你不要告诉他。</t>
  </si>
  <si>
    <t>不然你以为我会闲得无聊和你们过招么？</t>
  </si>
  <si>
    <t>你是魔术师？</t>
  </si>
  <si>
    <t>真的是魔术师！没想到能看到真人。</t>
  </si>
  <si>
    <t>我们这点伎俩和您比起来差远了。</t>
  </si>
  <si>
    <t>我很久也没有打球了。不如你们挑一个人和我也来一场怎么样？</t>
  </si>
  <si>
    <t>哎，老了老了。</t>
  </si>
  <si>
    <t>大伙计别灰心嘛，你仍然是我们值得尊敬的前辈。</t>
  </si>
  <si>
    <t>你小子嘴挺甜啊，你们街球联盟赛上加油吧！</t>
  </si>
  <si>
    <t>今天是我们队参加联盟赛的第一场比赛，大家一起加油！</t>
  </si>
  <si>
    <t>既然来了。就一定要拿到胜利的奖杯。</t>
  </si>
  <si>
    <t>艾斯克斯，这次我一定会让你输得心服口服。</t>
  </si>
  <si>
    <t>爱丝你真的这么讨厌我么？</t>
  </si>
  <si>
    <t>好吧，既然这样我也不逼你了，如果呆不习惯就回来我身边。</t>
  </si>
  <si>
    <t>野狗乔治，好久不见啊。小子你长高了嘛。哈哈</t>
  </si>
  <si>
    <t>卡罗莉，你也认识野狗乔治？</t>
  </si>
  <si>
    <t>野狗乔治才不认识她，她只是个自作多情的女人而已。</t>
  </si>
  <si>
    <t>那也比跟屁虫好，野狗乔治在哪某个跟屁虫就跟到哪儿。</t>
  </si>
  <si>
    <t>好了好了，你们别闹了。我算是看明白了。原来你们都喜欢野狗乔治？</t>
  </si>
  <si>
    <t>艾斯克斯，你再胡说我就当没有你这个朋友了！</t>
  </si>
  <si>
    <t>切，跟屁虫。</t>
  </si>
  <si>
    <t>切什么切，技不如人就闭嘴不要说话。</t>
  </si>
  <si>
    <t>野狗没想到你长的不怎么样，居然还有两个妹子为你争风吃醋。</t>
  </si>
  <si>
    <t>再胡说我撕烂你的嘴！</t>
  </si>
  <si>
    <t>少拿那副嘴脸看我，下次你们可没有那么走运了。</t>
  </si>
  <si>
    <t>看的出来你对篮球的热情。但是论对篮球的喜欢程度，我想我不会输给你。</t>
  </si>
  <si>
    <t>看来这一战是避免不了了。</t>
  </si>
  <si>
    <t>野狗乔治，我说这里四处都弥漫着挑战的气氛，没说错吧？</t>
  </si>
  <si>
    <t>艾斯克斯，听说你们代表怀恩多特参加联赛后。早盼着有一天会跟你见面啦。</t>
  </si>
  <si>
    <t>艾斯克斯，你又让我见识了一场精彩的比赛。</t>
  </si>
  <si>
    <t>我也正好想讨教一下黑鹰的实力。</t>
  </si>
  <si>
    <t>我是来自怀恩多特的艾斯克斯，很高兴与你较量。</t>
  </si>
  <si>
    <t>你还真是和外面传言的一样。话真少。不过你的篮球确实十分出色。</t>
  </si>
  <si>
    <t>呵，挺辣的啊。我喜欢。跟我走的话我比赛让你们几分。怎么样？</t>
  </si>
  <si>
    <t>今天的对手个儿真大。</t>
  </si>
  <si>
    <t>艾斯克斯，你果然没让我失望啊。蝼蚁一般的存在也能走到这一步。</t>
  </si>
  <si>
    <t>艾斯克斯，别逼我了。我真的打不了。</t>
  </si>
  <si>
    <t>艾斯克斯，你们快走。</t>
  </si>
  <si>
    <t>惹了黑龙帮还想走？也太不把我们放在眼里了。今天我不仅要拿下这块地盘，还要让你们付出代价。</t>
  </si>
  <si>
    <t>艾斯克斯！！你没事吧！！可恶，你们居然下黑手。我和你们拼了！</t>
  </si>
  <si>
    <t>艾斯克斯，你看对面那个美女挺漂亮啊，身材也火辣。</t>
  </si>
  <si>
    <t>野狗乔治，你再这样爱丝可要吃醋了。</t>
  </si>
  <si>
    <t>野狗乔治，你醒醒。她和我们是死对头。</t>
  </si>
  <si>
    <t>我说了让他们走，你要违抗我的命令？</t>
  </si>
  <si>
    <t>艾斯克斯，你真打算这样硬来，彻底的和黑龙帮为敌？</t>
  </si>
  <si>
    <t>算是吧，乔-霍蒙德还好吗？</t>
  </si>
  <si>
    <t>乔-霍蒙德那小子的篮板抢得不错，不知道同样是怀恩多特出来的你怎么样？</t>
  </si>
  <si>
    <t>艾斯克斯，我承认你很强。但是我的队友也是无与伦比的。</t>
  </si>
  <si>
    <t>不可能！我肯定比他先一秒。</t>
  </si>
  <si>
    <t>艾斯克斯，你紧张吗？</t>
  </si>
  <si>
    <t>艾斯克斯，你们没事吧？</t>
  </si>
  <si>
    <t>你就是怀恩多特的艾斯克斯吧。听拉劳斯提起过你。</t>
  </si>
  <si>
    <t>哈哈，你们两快别闹了。明天正式比赛上还会和艾斯克斯他们相遇的。</t>
  </si>
  <si>
    <t>他们的实力足够笑傲街球联盟了。我们输了也不怪。恭喜你们了。</t>
  </si>
  <si>
    <t>接下来的路还很长，我们一定会拿下街球联盟总冠军。</t>
  </si>
  <si>
    <t>还有我们势必摧毁黑龙帮。</t>
  </si>
  <si>
    <t>我自小在军队长大，习惯了军队的那些章法。所以尤其讨厌你这种浮夸的人。</t>
  </si>
  <si>
    <t>你受什么刺激了？</t>
    <phoneticPr fontId="1" type="noConversion"/>
  </si>
  <si>
    <t>30350</t>
  </si>
  <si>
    <t>30351</t>
  </si>
  <si>
    <t>50002</t>
  </si>
  <si>
    <t>50004</t>
  </si>
  <si>
    <t>50011</t>
  </si>
  <si>
    <t>50018</t>
  </si>
  <si>
    <t>50157</t>
  </si>
  <si>
    <t>50028</t>
  </si>
  <si>
    <t>50037</t>
  </si>
  <si>
    <t>50044</t>
  </si>
  <si>
    <t>50052</t>
  </si>
  <si>
    <t>50063</t>
  </si>
  <si>
    <t>50070</t>
  </si>
  <si>
    <t>50077</t>
  </si>
  <si>
    <t>50082</t>
  </si>
  <si>
    <t>50089</t>
  </si>
  <si>
    <t>50096</t>
  </si>
  <si>
    <t>50103</t>
  </si>
  <si>
    <t>50115</t>
  </si>
  <si>
    <t>50131</t>
  </si>
  <si>
    <t>50122</t>
  </si>
  <si>
    <t>50129</t>
  </si>
  <si>
    <t>50132</t>
  </si>
  <si>
    <t>50141</t>
  </si>
  <si>
    <t>50148</t>
  </si>
  <si>
    <t>50159</t>
  </si>
  <si>
    <t>50167</t>
  </si>
  <si>
    <t>50174</t>
  </si>
  <si>
    <t>50185</t>
  </si>
  <si>
    <t>50193</t>
  </si>
  <si>
    <t>50200</t>
  </si>
  <si>
    <t>50211</t>
  </si>
  <si>
    <t>50219</t>
  </si>
  <si>
    <t>50233</t>
  </si>
  <si>
    <t>50237</t>
  </si>
  <si>
    <t>50236</t>
  </si>
  <si>
    <t>50245</t>
  </si>
  <si>
    <t>50252</t>
  </si>
  <si>
    <t>50260</t>
  </si>
  <si>
    <t>50271</t>
  </si>
  <si>
    <t>50311</t>
  </si>
  <si>
    <t>50278</t>
  </si>
  <si>
    <t>50288</t>
  </si>
  <si>
    <t>50297</t>
  </si>
  <si>
    <t>50304</t>
  </si>
  <si>
    <t>50316</t>
  </si>
  <si>
    <t>50323</t>
  </si>
  <si>
    <t>50330</t>
  </si>
  <si>
    <t>尤特美，这么久不见你还是没变啊。</t>
    <phoneticPr fontId="1" type="noConversion"/>
  </si>
  <si>
    <t>怎么会这样？你什么时候开始的？</t>
    <phoneticPr fontId="1" type="noConversion"/>
  </si>
  <si>
    <t>0</t>
    <phoneticPr fontId="1" type="noConversion"/>
  </si>
  <si>
    <t/>
  </si>
  <si>
    <t>领先%s%分</t>
    <phoneticPr fontId="1" type="noConversion"/>
  </si>
  <si>
    <t>本关卡只可通关一次，通关后无法重复进行。</t>
  </si>
  <si>
    <t>awards_id</t>
  </si>
  <si>
    <t>10001</t>
    <phoneticPr fontId="1" type="noConversion"/>
  </si>
  <si>
    <t>0</t>
    <phoneticPr fontId="1" type="noConversion"/>
  </si>
  <si>
    <t>好炫的动作，简直像在看个人表演。</t>
  </si>
  <si>
    <t>问谁是当今球风最炫的街球选手，那么答案只有一个——“辣酱”</t>
  </si>
  <si>
    <t>你好，辣酱。我是艾斯克斯。</t>
  </si>
  <si>
    <t>我从拉劳斯那里听说过你的事情。黑龙帮确实很可恶。不过你现在的实力确实难以推翻他们。</t>
  </si>
  <si>
    <t>还有什么办法吗？</t>
  </si>
  <si>
    <t>唯有团结一致，才能破敌。你看我这招。</t>
  </si>
  <si>
    <t>好快，而且飘忽得难以防守。</t>
  </si>
  <si>
    <t>今天先到这里吧。你好好练习练习。</t>
  </si>
  <si>
    <t>除此之外篮板球是致胜的关键，明天你的对手正好适合你练习篮板。好好珍惜机会。</t>
  </si>
  <si>
    <t>哇，这人好壮啊！简直跟一座山一样。难怪辣酱会说适合你练习篮板。</t>
  </si>
  <si>
    <t>他是通天云梯——特洛伊-杰克逊，可以说篮下就是他的一片天了。</t>
  </si>
  <si>
    <t>给人的压迫感真强，艾斯克斯你能搞定吗？</t>
  </si>
  <si>
    <t>虽然他看起来很厉害，但我完全没有输的打算。</t>
  </si>
  <si>
    <t>艾斯克斯，我们离目标又近了一步。</t>
  </si>
  <si>
    <t>嗯，继续向前进发。</t>
  </si>
  <si>
    <t>第155公园的对手还真是一个比一个难缠啊。</t>
  </si>
  <si>
    <t>今天的对手又是什么来头？</t>
  </si>
  <si>
    <t>疾风之狼，拥有无比的速度和凶猛的进攻能力。</t>
  </si>
  <si>
    <t>说得这么可怕，其实你已经有应对方法了，对么？</t>
  </si>
  <si>
    <t>并没有那么轻松，只有全力以赴了。</t>
  </si>
  <si>
    <t>疾风之狼果然如传闻中的那么迅猛。</t>
  </si>
  <si>
    <t>哎~别提了，不还是输给你了么。山羊在等你呢，快去找他吧。</t>
  </si>
  <si>
    <t>刚刚他说的山羊是谁啊？</t>
  </si>
  <si>
    <t>第155公园的街球明星，他是开拓了一代街球传奇的球员。</t>
  </si>
  <si>
    <t>没想到还有人记得我这个老家伙。</t>
  </si>
  <si>
    <t xml:space="preserve">山羊前辈，刚说到您，结果就碰见您了。 </t>
  </si>
  <si>
    <t>我可是等你很久了，艾斯克斯。过来跟我这个老家伙来一局。</t>
  </si>
  <si>
    <t>嗯，确实是好苗子，难怪他们都对你刮目相看。听说你曾经发誓要打败黑龙帮？</t>
  </si>
  <si>
    <t>黑龙帮作恶多端，我当然恨不得将他们一网打尽。</t>
  </si>
  <si>
    <t>这些年黑龙帮占领的地盘也不在少数，我想组织一个讨伐的队伍。不知道你有没有兴趣？</t>
  </si>
  <si>
    <t>我们与黑龙帮也不共戴天。正好与前辈不谋而合，我愿意加入。</t>
  </si>
  <si>
    <t>艾斯克斯，街球联盟决赛是我们。这将是你最后的考验。不过你不用担心，无论输赢你都是我们联盟的成员</t>
  </si>
  <si>
    <t>从代表怀恩多特参加街球联盟赛那一天起，我幻想过无数次最终决赛的场景。没想到终于到来了。</t>
  </si>
  <si>
    <t>夺冠的信念支撑我来到这里，我会拿到冠军。给怀恩多特一个交代。</t>
  </si>
  <si>
    <t>那就拿出全部实力和我们一战。</t>
  </si>
  <si>
    <t>恭喜你们，获得冠军。你们的实力是无以伦比的。</t>
  </si>
  <si>
    <t>接下来我们要向黑龙帮进军，明天在第155公园集合。</t>
  </si>
  <si>
    <t>有情报说这里是黑龙帮的一个据点。</t>
  </si>
  <si>
    <t>那还等什么，直接进去踹了他们。</t>
  </si>
  <si>
    <t>敢来我们黑龙帮闹事，欺负我们黑龙帮没人吗？</t>
  </si>
  <si>
    <t>你少废话，叫你的人出来。要么就直接滚出这里。还可以免得被羞辱。</t>
  </si>
  <si>
    <t>我招惹你了么？你这样来抢夺我地盘和坏人有什么区别?</t>
  </si>
  <si>
    <t>坏事做尽，落得这个下场也是咎由自取。</t>
  </si>
  <si>
    <t>乔伊，你终于肯见我了。</t>
  </si>
  <si>
    <t>别叫我，我不认识你··</t>
  </si>
  <si>
    <t>我知道你心里还恨我，无法原理我。但是我毕竟是你父亲啊。</t>
  </si>
  <si>
    <t>我没有你这样的父亲，当初你吸毒。害得我家破人亡，母亲也为了还你欠下的债劳累而死，你还有什么脸做父亲。</t>
  </si>
  <si>
    <t>你父亲有不对的地方，所以你就加入黑龙帮报复你父亲？你这种做法我无法认同。所以我会阻止你。</t>
  </si>
  <si>
    <t>爸爸，对不起。我也没想过会这样。我还害怕。</t>
  </si>
  <si>
    <t>没事，孩子。以后有我在就没有人再会欺负你。</t>
  </si>
  <si>
    <t>乔伊，我一直把你当最亲的人，没想到最后你还是背叛了我。</t>
  </si>
  <si>
    <t>盖文，我没有想过背叛你。但是他是我爸爸。我不想你们任何一个人受到伤害。你能不能放弃黑龙帮？</t>
  </si>
  <si>
    <t>别做梦了，从你背叛我那一刻开始，你就不再是我女朋友了。从今以后我们只是敌人，</t>
  </si>
  <si>
    <t>这是黑龙帮的地盘。你们休想拿走。</t>
  </si>
  <si>
    <t>山羊前辈，你保护好你女儿。这里我来应付。</t>
  </si>
  <si>
    <t>你输了，这个地方不再属于你黑龙帮。</t>
  </si>
  <si>
    <t>丢了据点我也没脸在回去。随你处置。</t>
  </si>
  <si>
    <t>盖文，对不起。我真的不知道该怎么做抉择。我知道无法让你再原谅我。但是我对你是真心的。</t>
  </si>
  <si>
    <t>艾斯克斯，求你放过盖文好不好。</t>
  </si>
  <si>
    <t>让他走吧，远离黑龙帮，去没有人认识他的地方。</t>
  </si>
  <si>
    <t>山羊，你这老不死的手下败将。早知道当初就该把你废掉。现在还让你组成这么一个组织来反抗黑龙帮。</t>
  </si>
  <si>
    <t>别老拿一副正义的嘴脸看我，其实你干的事情不见得有多光彩。今天你来挑事我乐意奉陪到底。</t>
  </si>
  <si>
    <t>闭嘴，你的对手是我。</t>
  </si>
  <si>
    <t>艾斯克斯，亚尔曼大人早就料到你们会是他的大敌。没想到这一天还是到来了。</t>
  </si>
  <si>
    <t>你是谁？为什么会认识我。</t>
  </si>
  <si>
    <t>他是铁手—克莱因斯·福诺。</t>
  </si>
  <si>
    <t>听圆屋公园艾许莉说过你，听说她败在你手下了？</t>
  </si>
  <si>
    <t>连拉劳斯都被我弄残废了，她又怎么会是我的对手。</t>
  </si>
  <si>
    <t>原来拉劳斯前辈是你下的手。我会让你后悔来到这个世界。</t>
  </si>
  <si>
    <t>艾斯克斯，拦住她。别让她跑了。</t>
  </si>
  <si>
    <t>他可是黑龙帮的头目，知道的消息肯定不少。不会让他跑掉的。</t>
  </si>
  <si>
    <t>铁手大哥！你快走。这里我来应付。</t>
  </si>
  <si>
    <t>不行，我不能丢下我的手下不管。</t>
  </si>
  <si>
    <t>我无所谓，但黑龙帮不能没有你。</t>
  </si>
  <si>
    <t>你们谁都别想走！</t>
  </si>
  <si>
    <t>要想过去，就打败我。</t>
  </si>
  <si>
    <t>可惜，让铁手跑掉了。</t>
  </si>
  <si>
    <t>别在意，迟早会再遇见的。</t>
  </si>
  <si>
    <t>卡沃尔，在西四大街你就不是我的对手。如今你还敢出来跳。</t>
  </si>
  <si>
    <t>铁手哥对我有恩，无论如何我不会让你过去。除非你从我身上踩过去！</t>
  </si>
  <si>
    <t>铁手都不是我对手，你认为你能拦得住吗？</t>
  </si>
  <si>
    <t>艾斯克斯，别以为你有多了不起。接下来让你看看黑龙帮真正的实力！</t>
  </si>
  <si>
    <t>这人之前的实力特别差，怎么突然变得如此厉害？</t>
  </si>
  <si>
    <t>这应该就是黑龙帮研究的基因改造。利用他们研制的毒品通过某种手段可以让普通人一段时间内爆发出惊人的战斗力。</t>
  </si>
  <si>
    <t>那这人怎么办？</t>
  </si>
  <si>
    <t>可以带回去交给当地机构做一下研究。阻止这种毒品的蔓延。</t>
  </si>
  <si>
    <t>尤金，别来无恙啊。</t>
  </si>
  <si>
    <t>呵呵，没想到你还是找到了这里。</t>
  </si>
  <si>
    <t>山羊前辈，他是什么人？</t>
  </si>
  <si>
    <t>他可是黑龙帮的大毒枭，黑龙帮的大多数毒品都得经他手来出售。</t>
  </si>
  <si>
    <t>这么说只要占领这里就相当于可以控制黑龙帮的毒品传播了？</t>
  </si>
  <si>
    <t>应该说是能极大的控制吧，毕竟黑龙帮的毒品网络过于庞大，想一举歼灭太困难了。</t>
  </si>
  <si>
    <t>那先收掉这个据点吧。</t>
  </si>
  <si>
    <t>山羊，你费劲心思想要的东西并不在这里。</t>
  </si>
  <si>
    <t>山羊前辈想要找什么东西？</t>
  </si>
  <si>
    <t>没什么。只是想搜查他的毒品。不再祸害人。我们继续去黑龙帮下一个据点。</t>
  </si>
  <si>
    <t>亚尔曼大人，那群人好像朝这里来了。</t>
  </si>
  <si>
    <t>听说你和他们有过节是吧？</t>
  </si>
  <si>
    <t>当初他夺走我守护的地盘，让我太丢面子。我恨不得将他们碾在脚下。</t>
  </si>
  <si>
    <t>你把这个吃了，他会让你体能大增。碾碎他们轻而易举。</t>
  </si>
  <si>
    <t>那太好了，谢亚尔曼大人。</t>
  </si>
  <si>
    <t>好了，这几个人就交给你了。我还有事情要办。</t>
  </si>
  <si>
    <t>这人之前我见过，没想到现在也被基因改造了。</t>
  </si>
  <si>
    <t>黑龙帮真是恶毒，连自己人都不放过。</t>
  </si>
  <si>
    <t>费恩是我黑龙帮的英雄，却被你们用卑鄙手段害死。我黑龙帮跟你们势不两立。</t>
  </si>
  <si>
    <t>明明是你们用毒品强行提升他的体能，然后他身体衰竭而死。你倒还恶人先告状。</t>
  </si>
  <si>
    <t>克里斯提娜，不用跟他们废话，让他们知道黑龙帮左右护法的厉害。</t>
  </si>
  <si>
    <t>你叫海伦娜是吧，费恩真的是吃了你们那些邪门的毒药才发生的意外。所以你不应该来怪我们。</t>
  </si>
  <si>
    <t>这药是亚尔曼大人研究出来的东西，我信任他。</t>
  </si>
  <si>
    <t>冥顽不灵，看来对你说什么都没用了。</t>
  </si>
  <si>
    <t>这东西是不是你所说的那样，我吃了就知道了。</t>
  </si>
  <si>
    <t>不要吃！费恩就是因为吃了这个才会遇害的。</t>
  </si>
  <si>
    <t>你现在应该关注于怎么战胜我才对。</t>
  </si>
  <si>
    <t>啊~！费恩，原来你承受过这样的痛苦。不用担心，我也来陪你了。</t>
  </si>
  <si>
    <t>哎，其实她心里也知道是亚尔曼做的，只是不能接受这个事实吧。</t>
  </si>
  <si>
    <t>不得不佩服你们，连我的右手海伦娜都折在你们手里。</t>
  </si>
  <si>
    <t>你就是那个缩头乌龟帮主是吧，只会不择手段的残害别人。是时候让你付出代价了。</t>
  </si>
  <si>
    <t>亚尔曼大人，不能再犹豫了。</t>
  </si>
  <si>
    <t>趁势出击，拿下黑龙帮。</t>
  </si>
  <si>
    <t>你休想！</t>
  </si>
  <si>
    <t>提娜！提娜！你醒醒！你为什么要私自吃那个药？</t>
  </si>
  <si>
    <t>亚尔曼大人，咳，从我认识你那一天。我就在希望有一天能报答你。做你的棋子是我最大的心愿。</t>
  </si>
  <si>
    <t>你怎么那么傻，我从没把你当做棋子。把你带到黑龙帮的那一天我已经把你当做家人了。</t>
  </si>
  <si>
    <t>不要感到悲伤，我已经做到了，你应该为我高兴才对。</t>
  </si>
  <si>
    <t>你们都该死！啊！！！！</t>
  </si>
  <si>
    <t>一代枭雄已经发狂了。赶紧阻止他。</t>
  </si>
  <si>
    <t>他在服用那个药。</t>
  </si>
  <si>
    <t>小心点，他服用的药量比其他人大。现在已经彻底失去理智了。</t>
  </si>
  <si>
    <t>是你把我逼到这个地步，反正我已经一无所有。就算死我要拉上你垫背。</t>
  </si>
  <si>
    <t>黑龙帮覆灭了！</t>
  </si>
  <si>
    <t>多亏了你们，现在街球界又和平了。后续的事情就交给我们吧。</t>
  </si>
  <si>
    <t>黑龙帮完蛋，不过为什么心里还是特别不安。</t>
  </si>
  <si>
    <t>我也有这种感觉，虽然黑龙帮覆灭了。但是感觉心里总是不踏实。</t>
  </si>
  <si>
    <t>爱丝！小心！！！</t>
  </si>
  <si>
    <t>啊！！</t>
  </si>
  <si>
    <t>山羊，你做什么！</t>
  </si>
  <si>
    <t>你们已经知道太多的事情，想要的东西已经到手。你们也没有留下的必要了。</t>
  </si>
  <si>
    <t>你吃了药为什么会没事？</t>
  </si>
  <si>
    <t>我们的研究室早就研制出了一种调和剂，有这东西在我们就算吃了基因改造的药也不会有什么副作用。</t>
  </si>
  <si>
    <t>爸爸，你不要执迷不悟了好不好。你是我唯一的亲人，我不想看到你这样。</t>
  </si>
  <si>
    <t>住口，你还当是我女儿的话就应该支持我才对。</t>
  </si>
  <si>
    <t>山羊，我敬你是前辈。没想到你居然做出如此丧心病狂的事。</t>
  </si>
  <si>
    <t>我只是想追求更强，我只是想让更多的人永远记得我的辉煌。这有什么错？</t>
  </si>
  <si>
    <t>不管怎么样，牺牲他人来成全自己的人，我是不会认同的。</t>
  </si>
  <si>
    <t>是么，如今我力量充沛。你根本不是我的对手。</t>
  </si>
  <si>
    <t>你们研发的药是有副作用的，你现在停手还能救。</t>
  </si>
  <si>
    <t>胡说，这药不可能有问题，你少来唬我。</t>
  </si>
  <si>
    <t>爸爸，你没事吧！</t>
  </si>
  <si>
    <t>走开！！为什么，为什么会这样。我的荣誉没有结束！我还要创造更多的神话····啊····</t>
  </si>
  <si>
    <t>爸爸，你别说话了。你都这样了。艾斯克斯，求你们放过我爸爸。</t>
  </si>
  <si>
    <t>你带他走吧，我不想再看到他。</t>
  </si>
  <si>
    <t>谢谢，做梦也没想到能拿冠军。今天终于盼到了这一刻。</t>
  </si>
  <si>
    <t>原来你们就是最近风头出尽的那个战队啊。格雷森、艾斯克斯，一起来打一场21分怎么样？</t>
    <phoneticPr fontId="1" type="noConversion"/>
  </si>
  <si>
    <t>作为四大新秀之首，你确实拥有者不亚于职业级的技术。明明有着光明的未来，但是你却不用在正途上。</t>
    <phoneticPr fontId="1" type="noConversion"/>
  </si>
  <si>
    <t>你们这群杂碎，被山羊欺骗还不自知。真是可悲。哈哈哈哈哈</t>
  </si>
  <si>
    <t>icon_level</t>
    <phoneticPr fontId="1" type="noConversion"/>
  </si>
  <si>
    <t>101011</t>
  </si>
  <si>
    <t>101021</t>
  </si>
  <si>
    <t>101031</t>
  </si>
  <si>
    <t>101041</t>
  </si>
  <si>
    <t>101051</t>
  </si>
  <si>
    <t>101061</t>
  </si>
  <si>
    <t>101071</t>
  </si>
  <si>
    <t>102011</t>
  </si>
  <si>
    <t>102021</t>
  </si>
  <si>
    <t>102031</t>
  </si>
  <si>
    <t>102041</t>
  </si>
  <si>
    <t>102051</t>
  </si>
  <si>
    <t>102061</t>
  </si>
  <si>
    <t>102071</t>
  </si>
  <si>
    <t>103011</t>
  </si>
  <si>
    <t>103021</t>
  </si>
  <si>
    <t>103031</t>
  </si>
  <si>
    <t>103041</t>
  </si>
  <si>
    <t>103051</t>
  </si>
  <si>
    <t>103061</t>
  </si>
  <si>
    <t>103071</t>
  </si>
  <si>
    <t>104011</t>
  </si>
  <si>
    <t>104021</t>
  </si>
  <si>
    <t>104031</t>
  </si>
  <si>
    <t>104041</t>
  </si>
  <si>
    <t>104051</t>
  </si>
  <si>
    <t>104061</t>
  </si>
  <si>
    <t>104071</t>
  </si>
  <si>
    <t>105011</t>
  </si>
  <si>
    <t>105021</t>
  </si>
  <si>
    <t>105031</t>
  </si>
  <si>
    <t>105041</t>
  </si>
  <si>
    <t>105051</t>
  </si>
  <si>
    <t>105061</t>
  </si>
  <si>
    <t>105071</t>
  </si>
  <si>
    <t>106011</t>
  </si>
  <si>
    <t>106021</t>
  </si>
  <si>
    <t>106031</t>
  </si>
  <si>
    <t>106041</t>
  </si>
  <si>
    <t>106051</t>
  </si>
  <si>
    <t>106061</t>
  </si>
  <si>
    <t>106071</t>
  </si>
  <si>
    <t>50340</t>
  </si>
  <si>
    <t>50356</t>
  </si>
  <si>
    <t>50363</t>
  </si>
  <si>
    <t>50375</t>
  </si>
  <si>
    <t>50382</t>
  </si>
  <si>
    <t>50389</t>
  </si>
  <si>
    <t>50393</t>
  </si>
  <si>
    <t>50401</t>
  </si>
  <si>
    <t>50468</t>
  </si>
  <si>
    <t>50418</t>
  </si>
  <si>
    <t>50444</t>
  </si>
  <si>
    <t>50434</t>
  </si>
  <si>
    <t xml:space="preserve"> </t>
    <phoneticPr fontId="1" type="noConversion"/>
  </si>
  <si>
    <t>0</t>
    <phoneticPr fontId="1" type="noConversion"/>
  </si>
  <si>
    <t>爱丝的哥哥</t>
  </si>
  <si>
    <t>帮手</t>
  </si>
  <si>
    <t>报名</t>
  </si>
  <si>
    <t>备战</t>
  </si>
  <si>
    <t>不速之客</t>
  </si>
  <si>
    <t>恶人</t>
  </si>
  <si>
    <t>鬼斧</t>
  </si>
  <si>
    <t>激怒</t>
  </si>
  <si>
    <t>惊吓</t>
  </si>
  <si>
    <t>卡罗莉</t>
  </si>
  <si>
    <t>开战</t>
  </si>
  <si>
    <t>理由</t>
  </si>
  <si>
    <t>练习</t>
  </si>
  <si>
    <t>林疯狂</t>
  </si>
  <si>
    <t>罗杰斯传奇</t>
  </si>
  <si>
    <t>磨合</t>
  </si>
  <si>
    <t>魔术师</t>
  </si>
  <si>
    <t>拼搏</t>
  </si>
  <si>
    <t>期许</t>
  </si>
  <si>
    <t>球队初成</t>
  </si>
  <si>
    <t>塞尔特的挑战</t>
  </si>
  <si>
    <t>生死兄弟</t>
  </si>
  <si>
    <t>时隔五年</t>
  </si>
  <si>
    <t>首尾</t>
  </si>
  <si>
    <t>顽强</t>
  </si>
  <si>
    <t>午夜</t>
  </si>
  <si>
    <t>新开始</t>
  </si>
  <si>
    <t>星期二</t>
  </si>
  <si>
    <t>绚烂</t>
  </si>
  <si>
    <t>训练II</t>
  </si>
  <si>
    <t>训练III</t>
  </si>
  <si>
    <t>意志</t>
  </si>
  <si>
    <t>再遇卡尔文</t>
  </si>
  <si>
    <t>战斗</t>
  </si>
  <si>
    <t>准备</t>
  </si>
  <si>
    <t>练习I</t>
  </si>
  <si>
    <t>准备I</t>
  </si>
  <si>
    <t>optional uint32 switch</t>
  </si>
  <si>
    <t>optional uint32 id</t>
  </si>
  <si>
    <t>optional uint32 loop_times</t>
  </si>
  <si>
    <t>optional uint32 multiple_type</t>
  </si>
  <si>
    <t>optional uint32 multiple_value</t>
  </si>
  <si>
    <t>optional uint32 award_pack1</t>
  </si>
  <si>
    <t>optional uint32 award_pack2</t>
  </si>
  <si>
    <t>optional uint32 award_pack3</t>
  </si>
  <si>
    <t>optional uint32 award_pack4</t>
  </si>
  <si>
    <t>id</t>
  </si>
  <si>
    <t>career_bg2_sitew</t>
  </si>
  <si>
    <t>career_bg2_community</t>
  </si>
  <si>
    <t>career_bg1_park</t>
  </si>
  <si>
    <t>career_bg1_train</t>
  </si>
  <si>
    <t>career_bg1_roof</t>
  </si>
  <si>
    <t>career_bg1_beach</t>
  </si>
  <si>
    <t>0</t>
    <phoneticPr fontId="1" type="noConversion"/>
  </si>
  <si>
    <t>0</t>
    <phoneticPr fontId="1" type="noConversion"/>
  </si>
  <si>
    <t>392</t>
    <phoneticPr fontId="1" type="noConversion"/>
  </si>
  <si>
    <t>46</t>
    <phoneticPr fontId="1" type="noConversion"/>
  </si>
  <si>
    <t>950</t>
    <phoneticPr fontId="1" type="noConversion"/>
  </si>
  <si>
    <t>77</t>
    <phoneticPr fontId="1" type="noConversion"/>
  </si>
  <si>
    <t>-28</t>
    <phoneticPr fontId="1" type="noConversion"/>
  </si>
  <si>
    <t>154</t>
    <phoneticPr fontId="1" type="noConversion"/>
  </si>
  <si>
    <t>65</t>
    <phoneticPr fontId="1" type="noConversion"/>
  </si>
  <si>
    <t>285</t>
    <phoneticPr fontId="1" type="noConversion"/>
  </si>
  <si>
    <t>274</t>
    <phoneticPr fontId="1" type="noConversion"/>
  </si>
  <si>
    <t>565</t>
    <phoneticPr fontId="1" type="noConversion"/>
  </si>
  <si>
    <t>518</t>
    <phoneticPr fontId="1" type="noConversion"/>
  </si>
  <si>
    <t>808</t>
    <phoneticPr fontId="1" type="noConversion"/>
  </si>
  <si>
    <t>426</t>
    <phoneticPr fontId="1" type="noConversion"/>
  </si>
  <si>
    <t>578</t>
    <phoneticPr fontId="1" type="noConversion"/>
  </si>
  <si>
    <t>368</t>
    <phoneticPr fontId="1" type="noConversion"/>
  </si>
  <si>
    <t>216</t>
    <phoneticPr fontId="1" type="noConversion"/>
  </si>
  <si>
    <t>63</t>
    <phoneticPr fontId="1" type="noConversion"/>
  </si>
  <si>
    <t>91</t>
    <phoneticPr fontId="1" type="noConversion"/>
  </si>
  <si>
    <t>356</t>
    <phoneticPr fontId="1" type="noConversion"/>
  </si>
  <si>
    <t>320</t>
    <phoneticPr fontId="1" type="noConversion"/>
  </si>
  <si>
    <t>628</t>
    <phoneticPr fontId="1" type="noConversion"/>
  </si>
  <si>
    <t>451</t>
    <phoneticPr fontId="1" type="noConversion"/>
  </si>
  <si>
    <t>660</t>
    <phoneticPr fontId="1" type="noConversion"/>
  </si>
  <si>
    <t>918</t>
    <phoneticPr fontId="1" type="noConversion"/>
  </si>
  <si>
    <t>138</t>
    <phoneticPr fontId="1" type="noConversion"/>
  </si>
  <si>
    <t>80</t>
    <phoneticPr fontId="1" type="noConversion"/>
  </si>
  <si>
    <t>423</t>
    <phoneticPr fontId="1" type="noConversion"/>
  </si>
  <si>
    <t>37</t>
    <phoneticPr fontId="1" type="noConversion"/>
  </si>
  <si>
    <t>153</t>
    <phoneticPr fontId="1" type="noConversion"/>
  </si>
  <si>
    <t>338</t>
    <phoneticPr fontId="1" type="noConversion"/>
  </si>
  <si>
    <t>679</t>
    <phoneticPr fontId="1" type="noConversion"/>
  </si>
  <si>
    <t>427</t>
    <phoneticPr fontId="1" type="noConversion"/>
  </si>
  <si>
    <t>262</t>
    <phoneticPr fontId="1" type="noConversion"/>
  </si>
  <si>
    <t>644</t>
    <phoneticPr fontId="1" type="noConversion"/>
  </si>
  <si>
    <t>445</t>
    <phoneticPr fontId="1" type="noConversion"/>
  </si>
  <si>
    <t>871</t>
    <phoneticPr fontId="1" type="noConversion"/>
  </si>
  <si>
    <t>250</t>
    <phoneticPr fontId="1" type="noConversion"/>
  </si>
  <si>
    <t>0</t>
    <phoneticPr fontId="1" type="noConversion"/>
  </si>
  <si>
    <t>21</t>
    <phoneticPr fontId="1" type="noConversion"/>
  </si>
  <si>
    <t>4025&amp;9342</t>
  </si>
  <si>
    <t>4025&amp;9412</t>
  </si>
  <si>
    <t>4025&amp;9313</t>
  </si>
  <si>
    <t>4025&amp;9333</t>
  </si>
  <si>
    <t>4025&amp;9233</t>
  </si>
  <si>
    <t>4025&amp;9344</t>
  </si>
  <si>
    <t>4025&amp;9214</t>
  </si>
  <si>
    <t>4025&amp;9234</t>
  </si>
  <si>
    <t>4025&amp;9434</t>
  </si>
  <si>
    <t>4025&amp;9314</t>
  </si>
  <si>
    <t>4025&amp;9125</t>
  </si>
  <si>
    <t>64</t>
    <phoneticPr fontId="1" type="noConversion"/>
  </si>
  <si>
    <t>244</t>
    <phoneticPr fontId="1" type="noConversion"/>
  </si>
  <si>
    <t>63</t>
    <phoneticPr fontId="1" type="noConversion"/>
  </si>
  <si>
    <t>359</t>
    <phoneticPr fontId="1" type="noConversion"/>
  </si>
  <si>
    <t>5</t>
  </si>
  <si>
    <t>1</t>
  </si>
  <si>
    <t>2</t>
  </si>
  <si>
    <t>3</t>
  </si>
  <si>
    <t>7</t>
  </si>
  <si>
    <t>6</t>
  </si>
  <si>
    <t>11</t>
  </si>
  <si>
    <t>4</t>
  </si>
  <si>
    <t>8</t>
  </si>
  <si>
    <t>180</t>
    <phoneticPr fontId="1" type="noConversion"/>
  </si>
  <si>
    <t>11</t>
    <phoneticPr fontId="1" type="noConversion"/>
  </si>
  <si>
    <t>3</t>
    <phoneticPr fontId="1" type="noConversion"/>
  </si>
  <si>
    <t>2</t>
    <phoneticPr fontId="1" type="noConversion"/>
  </si>
  <si>
    <t>270</t>
    <phoneticPr fontId="1" type="noConversion"/>
  </si>
  <si>
    <t>220</t>
    <phoneticPr fontId="1" type="noConversion"/>
  </si>
  <si>
    <t>240</t>
    <phoneticPr fontId="1" type="noConversion"/>
  </si>
  <si>
    <t>300</t>
    <phoneticPr fontId="1" type="noConversion"/>
  </si>
  <si>
    <t>240</t>
    <phoneticPr fontId="1" type="noConversion"/>
  </si>
  <si>
    <t>6</t>
    <phoneticPr fontId="1" type="noConversion"/>
  </si>
</sst>
</file>

<file path=xl/styles.xml><?xml version="1.0" encoding="utf-8"?>
<styleSheet xmlns="http://schemas.openxmlformats.org/spreadsheetml/2006/main">
  <fonts count="20">
    <font>
      <sz val="11"/>
      <color theme="1"/>
      <name val="宋体"/>
      <family val="2"/>
      <charset val="134"/>
      <scheme val="minor"/>
    </font>
    <font>
      <sz val="9"/>
      <name val="宋体"/>
      <family val="2"/>
      <charset val="134"/>
      <scheme val="minor"/>
    </font>
    <font>
      <sz val="9"/>
      <color indexed="81"/>
      <name val="Tahoma"/>
      <family val="2"/>
    </font>
    <font>
      <sz val="9"/>
      <color indexed="81"/>
      <name val="宋体"/>
      <family val="3"/>
      <charset val="134"/>
    </font>
    <font>
      <b/>
      <sz val="9"/>
      <color indexed="81"/>
      <name val="宋体"/>
      <family val="3"/>
      <charset val="134"/>
    </font>
    <font>
      <b/>
      <sz val="9"/>
      <color indexed="81"/>
      <name val="Tahoma"/>
      <family val="2"/>
    </font>
    <font>
      <sz val="11"/>
      <color indexed="8"/>
      <name val="宋体"/>
      <family val="2"/>
      <charset val="134"/>
    </font>
    <font>
      <sz val="11"/>
      <name val="宋体"/>
      <family val="3"/>
      <charset val="134"/>
      <scheme val="minor"/>
    </font>
    <font>
      <sz val="11"/>
      <name val="宋体"/>
      <family val="3"/>
      <charset val="134"/>
    </font>
    <font>
      <sz val="11"/>
      <color rgb="FFFF0000"/>
      <name val="宋体"/>
      <family val="3"/>
      <charset val="134"/>
    </font>
    <font>
      <sz val="11"/>
      <color rgb="FF000000"/>
      <name val="宋体"/>
      <family val="2"/>
      <charset val="134"/>
    </font>
    <font>
      <sz val="9"/>
      <name val="宋体"/>
      <family val="2"/>
      <charset val="134"/>
    </font>
    <font>
      <sz val="11"/>
      <color theme="1"/>
      <name val="宋体"/>
      <family val="2"/>
      <charset val="134"/>
    </font>
    <font>
      <b/>
      <sz val="9"/>
      <color rgb="FF000000"/>
      <name val="宋体"/>
      <family val="2"/>
      <charset val="134"/>
    </font>
    <font>
      <b/>
      <sz val="9"/>
      <color rgb="FF000000"/>
      <name val="宋体"/>
      <family val="3"/>
      <charset val="134"/>
    </font>
    <font>
      <sz val="11"/>
      <color theme="1"/>
      <name val="宋体"/>
      <family val="3"/>
      <charset val="134"/>
    </font>
    <font>
      <sz val="11"/>
      <color theme="1"/>
      <name val="宋体"/>
      <family val="3"/>
      <charset val="134"/>
      <scheme val="minor"/>
    </font>
    <font>
      <sz val="11"/>
      <color rgb="FF333333"/>
      <name val="Arial"/>
      <family val="2"/>
    </font>
    <font>
      <sz val="10.5"/>
      <color theme="1"/>
      <name val="宋体"/>
      <family val="3"/>
      <charset val="134"/>
      <scheme val="minor"/>
    </font>
    <font>
      <sz val="10"/>
      <color theme="1"/>
      <name val="微软雅黑"/>
      <family val="2"/>
      <charset val="134"/>
    </font>
  </fonts>
  <fills count="8">
    <fill>
      <patternFill patternType="none"/>
    </fill>
    <fill>
      <patternFill patternType="gray125"/>
    </fill>
    <fill>
      <patternFill patternType="solid">
        <fgColor theme="0" tint="-0.34998626667073579"/>
        <bgColor indexed="64"/>
      </patternFill>
    </fill>
    <fill>
      <patternFill patternType="solid">
        <fgColor indexed="47"/>
        <bgColor indexed="64"/>
      </patternFill>
    </fill>
    <fill>
      <patternFill patternType="solid">
        <fgColor indexed="22"/>
        <bgColor indexed="64"/>
      </patternFill>
    </fill>
    <fill>
      <patternFill patternType="solid">
        <fgColor rgb="FFFFFF00"/>
        <bgColor indexed="64"/>
      </patternFill>
    </fill>
    <fill>
      <patternFill patternType="solid">
        <fgColor theme="0"/>
        <bgColor indexed="64"/>
      </patternFill>
    </fill>
    <fill>
      <patternFill patternType="solid">
        <fgColor rgb="FFFFCC99"/>
        <bgColor rgb="FF000000"/>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17"/>
      </left>
      <right style="thin">
        <color indexed="17"/>
      </right>
      <top style="thin">
        <color indexed="17"/>
      </top>
      <bottom style="thin">
        <color indexed="17"/>
      </bottom>
      <diagonal/>
    </border>
    <border>
      <left style="thin">
        <color indexed="17"/>
      </left>
      <right style="thin">
        <color indexed="17"/>
      </right>
      <top style="thin">
        <color indexed="17"/>
      </top>
      <bottom/>
      <diagonal/>
    </border>
    <border>
      <left/>
      <right style="thin">
        <color indexed="17"/>
      </right>
      <top style="thin">
        <color indexed="17"/>
      </top>
      <bottom style="thin">
        <color indexed="17"/>
      </bottom>
      <diagonal/>
    </border>
    <border>
      <left style="thin">
        <color indexed="17"/>
      </left>
      <right/>
      <top style="thin">
        <color indexed="17"/>
      </top>
      <bottom style="thin">
        <color indexed="17"/>
      </bottom>
      <diagonal/>
    </border>
    <border>
      <left style="thin">
        <color indexed="17"/>
      </left>
      <right style="thin">
        <color indexed="17"/>
      </right>
      <top/>
      <bottom style="thin">
        <color indexed="17"/>
      </bottom>
      <diagonal/>
    </border>
    <border>
      <left/>
      <right style="thin">
        <color indexed="17"/>
      </right>
      <top style="thin">
        <color indexed="17"/>
      </top>
      <bottom/>
      <diagonal/>
    </border>
    <border>
      <left style="thin">
        <color rgb="FF008000"/>
      </left>
      <right style="thin">
        <color rgb="FF008000"/>
      </right>
      <top style="thin">
        <color rgb="FF008000"/>
      </top>
      <bottom style="thin">
        <color rgb="FF00800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17"/>
      </right>
      <top/>
      <bottom style="thin">
        <color indexed="17"/>
      </bottom>
      <diagonal/>
    </border>
    <border>
      <left style="thin">
        <color indexed="17"/>
      </left>
      <right/>
      <top style="thin">
        <color indexed="17"/>
      </top>
      <bottom/>
      <diagonal/>
    </border>
  </borders>
  <cellStyleXfs count="2">
    <xf numFmtId="0" fontId="0" fillId="0" borderId="0">
      <alignment vertical="center"/>
    </xf>
    <xf numFmtId="0" fontId="6" fillId="0" borderId="0">
      <alignment vertical="center"/>
    </xf>
  </cellStyleXfs>
  <cellXfs count="82">
    <xf numFmtId="0" fontId="0" fillId="0" borderId="0" xfId="0">
      <alignment vertical="center"/>
    </xf>
    <xf numFmtId="0" fontId="0" fillId="2" borderId="1" xfId="0" applyFill="1" applyBorder="1">
      <alignment vertical="center"/>
    </xf>
    <xf numFmtId="0" fontId="6" fillId="3" borderId="2" xfId="1" applyNumberFormat="1" applyFill="1" applyBorder="1" applyAlignment="1">
      <alignment horizontal="center" vertical="center"/>
    </xf>
    <xf numFmtId="0" fontId="6" fillId="0" borderId="0" xfId="1">
      <alignment vertical="center"/>
    </xf>
    <xf numFmtId="0" fontId="6" fillId="0" borderId="0" xfId="1" applyNumberFormat="1" applyBorder="1" applyAlignment="1">
      <alignment horizontal="left" vertical="center"/>
    </xf>
    <xf numFmtId="0" fontId="6" fillId="0" borderId="1" xfId="1" applyNumberFormat="1" applyBorder="1" applyAlignment="1">
      <alignment horizontal="left" vertical="center"/>
    </xf>
    <xf numFmtId="0" fontId="6" fillId="0" borderId="2" xfId="1" applyNumberFormat="1" applyFill="1" applyBorder="1">
      <alignment vertical="center"/>
    </xf>
    <xf numFmtId="0" fontId="6" fillId="0" borderId="2" xfId="1" applyNumberFormat="1" applyFont="1" applyFill="1" applyBorder="1" applyAlignment="1">
      <alignment horizontal="left" vertical="center"/>
    </xf>
    <xf numFmtId="0" fontId="6" fillId="0" borderId="0" xfId="1" applyNumberFormat="1" applyFont="1" applyFill="1" applyAlignment="1">
      <alignment horizontal="left" vertical="center"/>
    </xf>
    <xf numFmtId="0" fontId="6" fillId="4" borderId="2" xfId="1" applyNumberFormat="1" applyFill="1" applyBorder="1">
      <alignment vertical="center"/>
    </xf>
    <xf numFmtId="0" fontId="6" fillId="0" borderId="1" xfId="1" applyBorder="1" applyAlignment="1">
      <alignment horizontal="left" vertical="center"/>
    </xf>
    <xf numFmtId="0" fontId="6" fillId="0" borderId="1" xfId="1" applyBorder="1">
      <alignment vertical="center"/>
    </xf>
    <xf numFmtId="0" fontId="6" fillId="3" borderId="1" xfId="1" applyNumberFormat="1" applyFill="1" applyBorder="1" applyAlignment="1">
      <alignment horizontal="center" vertical="center"/>
    </xf>
    <xf numFmtId="0" fontId="6" fillId="3" borderId="4" xfId="1" applyNumberFormat="1" applyFill="1" applyBorder="1" applyAlignment="1">
      <alignment horizontal="center" vertical="center"/>
    </xf>
    <xf numFmtId="0" fontId="6" fillId="3" borderId="5" xfId="1" applyNumberFormat="1" applyFill="1" applyBorder="1" applyAlignment="1">
      <alignment horizontal="center" vertical="center"/>
    </xf>
    <xf numFmtId="0" fontId="0" fillId="0" borderId="1" xfId="0" applyFill="1" applyBorder="1">
      <alignment vertical="center"/>
    </xf>
    <xf numFmtId="0" fontId="0" fillId="0" borderId="0" xfId="0" applyFill="1">
      <alignment vertical="center"/>
    </xf>
    <xf numFmtId="0" fontId="6" fillId="0" borderId="0" xfId="1" applyFill="1">
      <alignment vertical="center"/>
    </xf>
    <xf numFmtId="0" fontId="8" fillId="0" borderId="0" xfId="1" applyFont="1" applyFill="1">
      <alignment vertical="center"/>
    </xf>
    <xf numFmtId="0" fontId="6" fillId="6" borderId="0" xfId="1" applyFill="1">
      <alignment vertical="center"/>
    </xf>
    <xf numFmtId="0" fontId="6" fillId="0" borderId="1" xfId="1" applyBorder="1" applyAlignment="1">
      <alignment vertical="center" wrapText="1"/>
    </xf>
    <xf numFmtId="0" fontId="9" fillId="0" borderId="0" xfId="1" applyFont="1" applyFill="1">
      <alignment vertical="center"/>
    </xf>
    <xf numFmtId="0" fontId="8" fillId="0" borderId="0" xfId="1" applyFont="1">
      <alignment vertical="center"/>
    </xf>
    <xf numFmtId="0" fontId="8" fillId="6" borderId="0" xfId="1" applyFont="1" applyFill="1">
      <alignment vertical="center"/>
    </xf>
    <xf numFmtId="0" fontId="10" fillId="7" borderId="8" xfId="1" applyNumberFormat="1" applyFont="1" applyFill="1" applyBorder="1" applyAlignment="1">
      <alignment horizontal="center" vertical="center"/>
    </xf>
    <xf numFmtId="0" fontId="10" fillId="0" borderId="8" xfId="1" applyNumberFormat="1" applyFont="1" applyFill="1" applyBorder="1">
      <alignment vertical="center"/>
    </xf>
    <xf numFmtId="0" fontId="12" fillId="0" borderId="0" xfId="0" applyFont="1" applyBorder="1">
      <alignment vertical="center"/>
    </xf>
    <xf numFmtId="0" fontId="15" fillId="0" borderId="0" xfId="0" applyFont="1" applyAlignment="1">
      <alignment horizontal="justify" vertical="center"/>
    </xf>
    <xf numFmtId="0" fontId="16" fillId="0" borderId="0" xfId="0" applyFont="1">
      <alignment vertical="center"/>
    </xf>
    <xf numFmtId="0" fontId="6" fillId="0" borderId="2" xfId="1" applyNumberFormat="1" applyFill="1" applyBorder="1" applyAlignment="1">
      <alignment horizontal="left" vertical="center"/>
    </xf>
    <xf numFmtId="0" fontId="0" fillId="0" borderId="8" xfId="0" applyBorder="1">
      <alignment vertical="center"/>
    </xf>
    <xf numFmtId="49" fontId="6" fillId="3" borderId="9" xfId="1" applyNumberFormat="1" applyFill="1" applyBorder="1" applyAlignment="1">
      <alignment horizontal="center" vertical="center"/>
    </xf>
    <xf numFmtId="49" fontId="6" fillId="3" borderId="1" xfId="1" applyNumberFormat="1" applyFill="1" applyBorder="1" applyAlignment="1">
      <alignment horizontal="center" vertical="center"/>
    </xf>
    <xf numFmtId="49" fontId="6" fillId="3" borderId="7" xfId="1" applyNumberFormat="1" applyFill="1" applyBorder="1" applyAlignment="1">
      <alignment horizontal="center" vertical="center"/>
    </xf>
    <xf numFmtId="49" fontId="6" fillId="3" borderId="3" xfId="1" applyNumberFormat="1" applyFill="1" applyBorder="1" applyAlignment="1">
      <alignment horizontal="center" vertical="center"/>
    </xf>
    <xf numFmtId="49" fontId="0" fillId="0" borderId="0" xfId="0" applyNumberFormat="1">
      <alignment vertical="center"/>
    </xf>
    <xf numFmtId="49" fontId="0" fillId="0" borderId="1" xfId="0" applyNumberFormat="1" applyBorder="1">
      <alignment vertical="center"/>
    </xf>
    <xf numFmtId="49" fontId="6" fillId="0" borderId="1" xfId="1" applyNumberFormat="1" applyBorder="1" applyAlignment="1">
      <alignment horizontal="left" vertical="center"/>
    </xf>
    <xf numFmtId="49" fontId="7" fillId="0" borderId="1" xfId="0" applyNumberFormat="1" applyFont="1" applyFill="1" applyBorder="1" applyAlignment="1">
      <alignment horizontal="left" vertical="center"/>
    </xf>
    <xf numFmtId="49" fontId="0" fillId="0" borderId="0" xfId="0" applyNumberFormat="1" applyBorder="1">
      <alignment vertical="center"/>
    </xf>
    <xf numFmtId="49" fontId="0" fillId="0" borderId="0" xfId="0" applyNumberFormat="1" applyBorder="1" applyAlignment="1">
      <alignment horizontal="right" vertical="center"/>
    </xf>
    <xf numFmtId="49" fontId="0" fillId="5" borderId="1" xfId="0" applyNumberFormat="1" applyFill="1" applyBorder="1">
      <alignment vertical="center"/>
    </xf>
    <xf numFmtId="49" fontId="6" fillId="5" borderId="6" xfId="1" applyNumberFormat="1" applyFill="1" applyBorder="1" applyAlignment="1">
      <alignment horizontal="left" vertical="center"/>
    </xf>
    <xf numFmtId="49" fontId="6" fillId="5" borderId="2" xfId="1" applyNumberFormat="1" applyFill="1" applyBorder="1" applyAlignment="1">
      <alignment horizontal="left" vertical="center"/>
    </xf>
    <xf numFmtId="49" fontId="0" fillId="0" borderId="0" xfId="0" applyNumberFormat="1" applyFill="1">
      <alignment vertical="center"/>
    </xf>
    <xf numFmtId="49" fontId="0" fillId="0" borderId="0" xfId="0" applyNumberFormat="1" applyFill="1" applyBorder="1">
      <alignment vertical="center"/>
    </xf>
    <xf numFmtId="49" fontId="6" fillId="3" borderId="4" xfId="1" applyNumberFormat="1" applyFill="1" applyBorder="1" applyAlignment="1">
      <alignment horizontal="center" vertical="center"/>
    </xf>
    <xf numFmtId="49" fontId="6" fillId="3" borderId="2" xfId="1" applyNumberFormat="1" applyFill="1" applyBorder="1" applyAlignment="1">
      <alignment horizontal="center" vertical="center"/>
    </xf>
    <xf numFmtId="49" fontId="6" fillId="3" borderId="5" xfId="1" applyNumberFormat="1" applyFill="1" applyBorder="1" applyAlignment="1">
      <alignment horizontal="center" vertical="center"/>
    </xf>
    <xf numFmtId="49" fontId="6" fillId="0" borderId="5" xfId="1" applyNumberFormat="1" applyBorder="1" applyAlignment="1">
      <alignment horizontal="left" vertical="center"/>
    </xf>
    <xf numFmtId="49" fontId="6" fillId="0" borderId="0" xfId="1" applyNumberFormat="1" applyBorder="1" applyAlignment="1">
      <alignment horizontal="left" vertical="center"/>
    </xf>
    <xf numFmtId="49" fontId="6" fillId="0" borderId="0" xfId="1" applyNumberFormat="1" applyFill="1" applyBorder="1" applyAlignment="1">
      <alignment horizontal="left" vertical="center"/>
    </xf>
    <xf numFmtId="49" fontId="7" fillId="0" borderId="0" xfId="0" applyNumberFormat="1" applyFont="1" applyFill="1" applyBorder="1" applyAlignment="1">
      <alignment horizontal="left" vertical="center"/>
    </xf>
    <xf numFmtId="49" fontId="6" fillId="0" borderId="5" xfId="1" applyNumberFormat="1" applyFill="1" applyBorder="1" applyAlignment="1">
      <alignment horizontal="left" vertical="center"/>
    </xf>
    <xf numFmtId="49" fontId="6" fillId="5" borderId="10" xfId="1" applyNumberFormat="1" applyFill="1" applyBorder="1" applyAlignment="1">
      <alignment horizontal="left" vertical="center"/>
    </xf>
    <xf numFmtId="49" fontId="6" fillId="5" borderId="11" xfId="1" applyNumberFormat="1" applyFill="1" applyBorder="1" applyAlignment="1">
      <alignment horizontal="left" vertical="center"/>
    </xf>
    <xf numFmtId="49" fontId="6" fillId="5" borderId="4" xfId="1" applyNumberFormat="1" applyFill="1" applyBorder="1" applyAlignment="1">
      <alignment horizontal="left" vertical="center"/>
    </xf>
    <xf numFmtId="49" fontId="7" fillId="0" borderId="0" xfId="0" applyNumberFormat="1" applyFont="1" applyFill="1" applyBorder="1">
      <alignment vertical="center"/>
    </xf>
    <xf numFmtId="49" fontId="6" fillId="0" borderId="0" xfId="1" applyNumberFormat="1" applyBorder="1" applyAlignment="1">
      <alignment horizontal="right" vertical="center"/>
    </xf>
    <xf numFmtId="49" fontId="6" fillId="3" borderId="0" xfId="1" applyNumberFormat="1" applyFill="1" applyBorder="1" applyAlignment="1">
      <alignment horizontal="center" vertical="center"/>
    </xf>
    <xf numFmtId="49" fontId="18" fillId="0" borderId="1" xfId="0" applyNumberFormat="1" applyFont="1" applyBorder="1">
      <alignment vertical="center"/>
    </xf>
    <xf numFmtId="49" fontId="16" fillId="0" borderId="1" xfId="0" applyNumberFormat="1" applyFont="1" applyBorder="1">
      <alignment vertical="center"/>
    </xf>
    <xf numFmtId="49" fontId="6" fillId="0" borderId="1" xfId="1" applyNumberFormat="1" applyFill="1" applyBorder="1" applyAlignment="1">
      <alignment horizontal="left" vertical="center"/>
    </xf>
    <xf numFmtId="49" fontId="0" fillId="2" borderId="1" xfId="0" applyNumberFormat="1" applyFill="1" applyBorder="1">
      <alignment vertical="center"/>
    </xf>
    <xf numFmtId="0" fontId="6" fillId="0" borderId="0" xfId="1" applyNumberFormat="1" applyFill="1" applyBorder="1" applyAlignment="1">
      <alignment horizontal="left" vertical="center"/>
    </xf>
    <xf numFmtId="49" fontId="6" fillId="3" borderId="0" xfId="1" applyNumberFormat="1" applyFill="1" applyBorder="1" applyAlignment="1">
      <alignment horizontal="right" vertical="center"/>
    </xf>
    <xf numFmtId="49" fontId="0" fillId="0" borderId="0" xfId="0" applyNumberFormat="1" applyAlignment="1">
      <alignment horizontal="right" vertical="center"/>
    </xf>
    <xf numFmtId="49" fontId="6" fillId="0" borderId="12" xfId="1" applyNumberFormat="1" applyFill="1" applyBorder="1" applyAlignment="1">
      <alignment horizontal="left" vertical="center"/>
    </xf>
    <xf numFmtId="0" fontId="19" fillId="0" borderId="0" xfId="0" applyFont="1">
      <alignment vertical="center"/>
    </xf>
    <xf numFmtId="0" fontId="0" fillId="0" borderId="1" xfId="0" applyFill="1" applyBorder="1">
      <alignment vertical="center"/>
    </xf>
    <xf numFmtId="0" fontId="6" fillId="3" borderId="0" xfId="1" applyNumberFormat="1" applyFill="1" applyBorder="1" applyAlignment="1">
      <alignment horizontal="right" vertical="center"/>
    </xf>
    <xf numFmtId="0" fontId="0" fillId="0" borderId="0" xfId="0" applyNumberFormat="1" applyBorder="1" applyAlignment="1">
      <alignment horizontal="right" vertical="center"/>
    </xf>
    <xf numFmtId="0" fontId="6" fillId="0" borderId="0" xfId="1" applyNumberFormat="1" applyBorder="1" applyAlignment="1">
      <alignment horizontal="right" vertical="center"/>
    </xf>
    <xf numFmtId="0" fontId="0" fillId="0" borderId="0" xfId="0" applyNumberFormat="1" applyAlignment="1">
      <alignment horizontal="right" vertical="center"/>
    </xf>
    <xf numFmtId="49" fontId="6" fillId="0" borderId="4" xfId="1" applyNumberFormat="1" applyFill="1" applyBorder="1" applyAlignment="1">
      <alignment horizontal="left" vertical="center"/>
    </xf>
    <xf numFmtId="49" fontId="6" fillId="0" borderId="2" xfId="1" applyNumberFormat="1" applyFill="1" applyBorder="1" applyAlignment="1">
      <alignment horizontal="left" vertical="center"/>
    </xf>
    <xf numFmtId="49" fontId="0" fillId="0" borderId="1" xfId="0" applyNumberFormat="1" applyFill="1" applyBorder="1">
      <alignment vertical="center"/>
    </xf>
    <xf numFmtId="49" fontId="6" fillId="0" borderId="3" xfId="1" applyNumberFormat="1" applyFill="1" applyBorder="1" applyAlignment="1">
      <alignment horizontal="left" vertical="center"/>
    </xf>
    <xf numFmtId="49" fontId="6" fillId="0" borderId="6" xfId="1" applyNumberFormat="1" applyFill="1" applyBorder="1" applyAlignment="1">
      <alignment horizontal="left" vertical="center"/>
    </xf>
    <xf numFmtId="0" fontId="17" fillId="0" borderId="1" xfId="0" applyFont="1" applyFill="1" applyBorder="1">
      <alignment vertical="center"/>
    </xf>
    <xf numFmtId="0" fontId="16" fillId="0" borderId="1" xfId="0" applyFont="1" applyFill="1" applyBorder="1">
      <alignment vertical="center"/>
    </xf>
    <xf numFmtId="0" fontId="6" fillId="0" borderId="1" xfId="1" applyNumberFormat="1" applyFill="1" applyBorder="1" applyAlignment="1">
      <alignment horizontal="left" vertical="center"/>
    </xf>
  </cellXfs>
  <cellStyles count="2">
    <cellStyle name="常规" xfId="0" builtinId="0"/>
    <cellStyle name="常规 2" xfId="1"/>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sheet1.xml><?xml version="1.0" encoding="utf-8"?>
<worksheet xmlns="http://schemas.openxmlformats.org/spreadsheetml/2006/main" xmlns:r="http://schemas.openxmlformats.org/officeDocument/2006/relationships">
  <sheetPr codeName="Sheet1"/>
  <dimension ref="A1:S19"/>
  <sheetViews>
    <sheetView workbookViewId="0">
      <selection activeCell="D9" sqref="A3:D9"/>
    </sheetView>
  </sheetViews>
  <sheetFormatPr defaultRowHeight="13.5"/>
  <cols>
    <col min="1" max="1" width="6.5" bestFit="1" customWidth="1"/>
    <col min="2" max="2" width="15.125" bestFit="1" customWidth="1"/>
    <col min="3" max="3" width="17.25" bestFit="1" customWidth="1"/>
    <col min="4" max="4" width="18.375" bestFit="1" customWidth="1"/>
    <col min="5" max="5" width="25" bestFit="1" customWidth="1"/>
    <col min="6" max="10" width="13.875" bestFit="1" customWidth="1"/>
    <col min="11" max="12" width="11.625" bestFit="1" customWidth="1"/>
    <col min="13" max="13" width="10.75" customWidth="1"/>
    <col min="14" max="14" width="9.875" customWidth="1"/>
    <col min="15" max="15" width="36.125" bestFit="1" customWidth="1"/>
    <col min="16" max="16" width="1.125" customWidth="1"/>
    <col min="17" max="17" width="1.25" customWidth="1"/>
    <col min="18" max="18" width="1.375" customWidth="1"/>
    <col min="19" max="19" width="25.25" bestFit="1" customWidth="1"/>
  </cols>
  <sheetData>
    <row r="1" spans="1:19" ht="24.95" customHeight="1">
      <c r="A1" s="34" t="s">
        <v>18</v>
      </c>
      <c r="B1" s="34" t="s">
        <v>0</v>
      </c>
      <c r="C1" s="34" t="s">
        <v>37</v>
      </c>
      <c r="D1" s="34" t="s">
        <v>24</v>
      </c>
      <c r="E1" s="34" t="s">
        <v>16</v>
      </c>
      <c r="F1" s="34" t="s">
        <v>17</v>
      </c>
      <c r="G1" s="34" t="s">
        <v>25</v>
      </c>
      <c r="H1" s="34" t="s">
        <v>26</v>
      </c>
      <c r="I1" s="34" t="s">
        <v>27</v>
      </c>
      <c r="J1" s="34" t="s">
        <v>28</v>
      </c>
      <c r="K1" s="34" t="s">
        <v>29</v>
      </c>
      <c r="L1" s="34" t="s">
        <v>30</v>
      </c>
    </row>
    <row r="2" spans="1:19" ht="15" customHeight="1">
      <c r="A2" s="37">
        <v>10001</v>
      </c>
      <c r="B2" s="37" t="s">
        <v>41</v>
      </c>
      <c r="C2" s="37">
        <v>10002</v>
      </c>
      <c r="D2" s="37">
        <v>10101</v>
      </c>
      <c r="E2" s="37" t="s">
        <v>474</v>
      </c>
      <c r="F2" s="36">
        <v>1</v>
      </c>
      <c r="G2" s="37" t="s">
        <v>1128</v>
      </c>
      <c r="H2" s="37">
        <v>20101</v>
      </c>
      <c r="I2" s="37">
        <v>12</v>
      </c>
      <c r="J2" s="37">
        <v>20102</v>
      </c>
      <c r="K2" s="37" t="s">
        <v>1094</v>
      </c>
      <c r="L2" s="37">
        <v>20103</v>
      </c>
      <c r="M2" s="4"/>
      <c r="O2" s="1" t="str">
        <f t="shared" ref="O2:O12" si="0">CONCATENATE("optional uint32 ",LOWER(INDEX(A:L,CEILING((ROW()-1)/30,1),MOD(ROW()-2,30)+1)))</f>
        <v>optional uint32 id</v>
      </c>
      <c r="P2" s="1"/>
      <c r="Q2" s="1"/>
      <c r="R2" s="1"/>
      <c r="S2" s="1" t="e">
        <f t="shared" ref="S2:S12" ca="1" si="1">CONCATENATE("= ",ROW()-1,"; // ",GetComment(INDEX(A:L,CEILING((ROW()-1)/30,1),MOD(ROW()-2,30)+1)))</f>
        <v>#NAME?</v>
      </c>
    </row>
    <row r="3" spans="1:19" ht="15" customHeight="1">
      <c r="A3" s="37">
        <v>10002</v>
      </c>
      <c r="B3" s="60" t="s">
        <v>650</v>
      </c>
      <c r="C3" s="37">
        <v>10003</v>
      </c>
      <c r="D3" s="37">
        <v>10201</v>
      </c>
      <c r="E3" s="37" t="s">
        <v>475</v>
      </c>
      <c r="F3" s="36">
        <v>1</v>
      </c>
      <c r="G3" s="37">
        <v>6</v>
      </c>
      <c r="H3" s="37">
        <v>20201</v>
      </c>
      <c r="I3" s="37">
        <v>12</v>
      </c>
      <c r="J3" s="37">
        <v>20202</v>
      </c>
      <c r="K3" s="37" t="s">
        <v>1094</v>
      </c>
      <c r="L3" s="37">
        <v>20203</v>
      </c>
      <c r="M3" s="4"/>
      <c r="O3" s="1" t="str">
        <f t="shared" si="0"/>
        <v>optional uint32 name</v>
      </c>
      <c r="P3" s="1"/>
      <c r="Q3" s="1"/>
      <c r="R3" s="1"/>
      <c r="S3" s="1" t="e">
        <f t="shared" ca="1" si="1"/>
        <v>#NAME?</v>
      </c>
    </row>
    <row r="4" spans="1:19" ht="15" customHeight="1">
      <c r="A4" s="37">
        <v>10003</v>
      </c>
      <c r="B4" s="61" t="s">
        <v>651</v>
      </c>
      <c r="C4" s="37">
        <v>10004</v>
      </c>
      <c r="D4" s="37">
        <v>10301</v>
      </c>
      <c r="E4" s="37" t="s">
        <v>476</v>
      </c>
      <c r="F4" s="36">
        <v>1</v>
      </c>
      <c r="G4" s="37">
        <v>6</v>
      </c>
      <c r="H4" s="37">
        <v>20301</v>
      </c>
      <c r="I4" s="37">
        <v>12</v>
      </c>
      <c r="J4" s="37">
        <v>20302</v>
      </c>
      <c r="K4" s="37" t="s">
        <v>1094</v>
      </c>
      <c r="L4" s="37">
        <v>20303</v>
      </c>
      <c r="M4" s="4"/>
      <c r="O4" s="1" t="str">
        <f t="shared" si="0"/>
        <v>optional uint32 next_chapter_id</v>
      </c>
      <c r="P4" s="1"/>
      <c r="Q4" s="1"/>
      <c r="R4" s="1"/>
      <c r="S4" s="1" t="e">
        <f t="shared" ca="1" si="1"/>
        <v>#NAME?</v>
      </c>
    </row>
    <row r="5" spans="1:19" ht="15" customHeight="1">
      <c r="A5" s="37">
        <v>10004</v>
      </c>
      <c r="B5" s="60" t="s">
        <v>652</v>
      </c>
      <c r="C5" s="37">
        <v>10005</v>
      </c>
      <c r="D5" s="37">
        <v>10401</v>
      </c>
      <c r="E5" s="37" t="s">
        <v>477</v>
      </c>
      <c r="F5" s="36">
        <v>1</v>
      </c>
      <c r="G5" s="37">
        <v>6</v>
      </c>
      <c r="H5" s="37">
        <v>20401</v>
      </c>
      <c r="I5" s="37">
        <v>12</v>
      </c>
      <c r="J5" s="37">
        <v>20402</v>
      </c>
      <c r="K5" s="37" t="s">
        <v>1094</v>
      </c>
      <c r="L5" s="37">
        <v>20403</v>
      </c>
      <c r="M5" s="4"/>
      <c r="O5" s="1" t="str">
        <f t="shared" si="0"/>
        <v>optional uint32 first_section_id</v>
      </c>
      <c r="P5" s="1"/>
      <c r="Q5" s="1"/>
      <c r="R5" s="1"/>
      <c r="S5" s="1" t="e">
        <f t="shared" ca="1" si="1"/>
        <v>#NAME?</v>
      </c>
    </row>
    <row r="6" spans="1:19" ht="15" customHeight="1">
      <c r="A6" s="37">
        <v>10005</v>
      </c>
      <c r="B6" s="60" t="s">
        <v>653</v>
      </c>
      <c r="C6" s="37">
        <v>10006</v>
      </c>
      <c r="D6" s="37">
        <v>10501</v>
      </c>
      <c r="E6" s="37" t="s">
        <v>475</v>
      </c>
      <c r="F6" s="36">
        <v>1</v>
      </c>
      <c r="G6" s="37">
        <v>6</v>
      </c>
      <c r="H6" s="37">
        <v>20501</v>
      </c>
      <c r="I6" s="37">
        <v>12</v>
      </c>
      <c r="J6" s="37">
        <v>20502</v>
      </c>
      <c r="K6" s="37" t="s">
        <v>1094</v>
      </c>
      <c r="L6" s="37">
        <v>20503</v>
      </c>
      <c r="M6" s="4"/>
      <c r="O6" s="1" t="str">
        <f t="shared" si="0"/>
        <v>optional uint32 area</v>
      </c>
      <c r="P6" s="1"/>
      <c r="Q6" s="1"/>
      <c r="R6" s="1"/>
      <c r="S6" s="1" t="e">
        <f t="shared" ca="1" si="1"/>
        <v>#NAME?</v>
      </c>
    </row>
    <row r="7" spans="1:19" ht="15" customHeight="1">
      <c r="A7" s="37">
        <v>10006</v>
      </c>
      <c r="B7" s="61" t="s">
        <v>654</v>
      </c>
      <c r="C7" s="37" t="s">
        <v>1093</v>
      </c>
      <c r="D7" s="37">
        <v>10601</v>
      </c>
      <c r="E7" s="37" t="s">
        <v>473</v>
      </c>
      <c r="F7" s="36">
        <v>1</v>
      </c>
      <c r="G7" s="37">
        <v>6</v>
      </c>
      <c r="H7" s="37">
        <v>20601</v>
      </c>
      <c r="I7" s="37">
        <v>12</v>
      </c>
      <c r="J7" s="37">
        <v>20602</v>
      </c>
      <c r="K7" s="37" t="s">
        <v>1094</v>
      </c>
      <c r="L7" s="37">
        <v>20603</v>
      </c>
      <c r="M7" s="4"/>
      <c r="O7" s="1" t="str">
        <f t="shared" si="0"/>
        <v>optional uint32 unlock_level</v>
      </c>
      <c r="P7" s="1"/>
      <c r="Q7" s="1"/>
      <c r="R7" s="1"/>
      <c r="S7" s="1" t="e">
        <f t="shared" ca="1" si="1"/>
        <v>#NAME?</v>
      </c>
    </row>
    <row r="8" spans="1:19">
      <c r="A8" s="37"/>
      <c r="B8" s="61"/>
      <c r="C8" s="37"/>
      <c r="D8" s="37"/>
      <c r="E8" s="37"/>
      <c r="F8" s="36"/>
      <c r="G8" s="37"/>
      <c r="H8" s="37"/>
      <c r="I8" s="37"/>
      <c r="J8" s="37"/>
      <c r="K8" s="37"/>
      <c r="L8" s="37"/>
      <c r="O8" s="1" t="str">
        <f t="shared" si="0"/>
        <v>optional uint32 bronze_value</v>
      </c>
      <c r="P8" s="1"/>
      <c r="Q8" s="1"/>
      <c r="R8" s="1"/>
      <c r="S8" s="1" t="e">
        <f t="shared" ca="1" si="1"/>
        <v>#NAME?</v>
      </c>
    </row>
    <row r="9" spans="1:19">
      <c r="A9" s="37"/>
      <c r="B9" s="60"/>
      <c r="C9" s="37"/>
      <c r="D9" s="37"/>
      <c r="E9" s="37"/>
      <c r="F9" s="36"/>
      <c r="G9" s="37"/>
      <c r="H9" s="37"/>
      <c r="I9" s="37"/>
      <c r="J9" s="37"/>
      <c r="K9" s="37"/>
      <c r="L9" s="37"/>
      <c r="O9" s="1" t="str">
        <f t="shared" si="0"/>
        <v>optional uint32 bronze_award</v>
      </c>
      <c r="P9" s="1"/>
      <c r="Q9" s="1"/>
      <c r="R9" s="1"/>
      <c r="S9" s="1" t="e">
        <f t="shared" ca="1" si="1"/>
        <v>#NAME?</v>
      </c>
    </row>
    <row r="10" spans="1:19">
      <c r="A10" s="37"/>
      <c r="B10" s="61"/>
      <c r="C10" s="37"/>
      <c r="D10" s="37"/>
      <c r="E10" s="37"/>
      <c r="F10" s="36"/>
      <c r="G10" s="37"/>
      <c r="H10" s="37"/>
      <c r="I10" s="37"/>
      <c r="J10" s="37"/>
      <c r="K10" s="37"/>
      <c r="L10" s="37"/>
      <c r="O10" s="1" t="str">
        <f t="shared" si="0"/>
        <v>optional uint32 silver_value</v>
      </c>
      <c r="P10" s="1"/>
      <c r="Q10" s="1"/>
      <c r="R10" s="1"/>
      <c r="S10" s="1" t="e">
        <f t="shared" ca="1" si="1"/>
        <v>#NAME?</v>
      </c>
    </row>
    <row r="11" spans="1:19">
      <c r="A11" s="37"/>
      <c r="B11" s="60"/>
      <c r="C11" s="37"/>
      <c r="D11" s="37"/>
      <c r="E11" s="37"/>
      <c r="F11" s="36"/>
      <c r="G11" s="37"/>
      <c r="H11" s="37"/>
      <c r="I11" s="37"/>
      <c r="J11" s="37"/>
      <c r="K11" s="37"/>
      <c r="L11" s="37"/>
      <c r="O11" s="1" t="str">
        <f t="shared" si="0"/>
        <v>optional uint32 silver_award</v>
      </c>
      <c r="P11" s="1"/>
      <c r="Q11" s="1"/>
      <c r="R11" s="1"/>
      <c r="S11" s="1" t="e">
        <f t="shared" ca="1" si="1"/>
        <v>#NAME?</v>
      </c>
    </row>
    <row r="12" spans="1:19">
      <c r="A12" s="37"/>
      <c r="B12" s="61"/>
      <c r="C12" s="37"/>
      <c r="D12" s="37"/>
      <c r="E12" s="37"/>
      <c r="F12" s="36"/>
      <c r="G12" s="37"/>
      <c r="H12" s="37"/>
      <c r="I12" s="37"/>
      <c r="J12" s="37"/>
      <c r="K12" s="37"/>
      <c r="L12" s="37"/>
      <c r="O12" s="1" t="str">
        <f t="shared" si="0"/>
        <v>optional uint32 gold_value</v>
      </c>
      <c r="P12" s="1"/>
      <c r="Q12" s="1"/>
      <c r="R12" s="1"/>
      <c r="S12" s="1" t="e">
        <f t="shared" ca="1" si="1"/>
        <v>#NAME?</v>
      </c>
    </row>
    <row r="13" spans="1:19">
      <c r="A13" s="62"/>
      <c r="B13" s="60"/>
      <c r="C13" s="62"/>
      <c r="D13" s="62"/>
      <c r="E13" s="37"/>
      <c r="F13" s="36"/>
      <c r="G13" s="37"/>
      <c r="H13" s="37"/>
      <c r="I13" s="37"/>
      <c r="J13" s="37"/>
      <c r="K13" s="37"/>
      <c r="L13" s="37"/>
    </row>
    <row r="14" spans="1:19">
      <c r="A14" s="62"/>
      <c r="B14" s="61"/>
      <c r="C14" s="37"/>
      <c r="D14" s="62"/>
      <c r="E14" s="37"/>
      <c r="F14" s="36"/>
      <c r="G14" s="37"/>
      <c r="H14" s="37"/>
      <c r="I14" s="37"/>
      <c r="J14" s="37"/>
      <c r="K14" s="37"/>
      <c r="L14" s="37"/>
    </row>
    <row r="15" spans="1:19">
      <c r="A15" s="37"/>
      <c r="B15" s="36"/>
      <c r="C15" s="62"/>
      <c r="D15" s="62"/>
      <c r="E15" s="37"/>
      <c r="F15" s="36"/>
      <c r="G15" s="37"/>
      <c r="H15" s="37"/>
      <c r="I15" s="37"/>
      <c r="J15" s="37"/>
      <c r="K15" s="37"/>
      <c r="L15" s="37"/>
    </row>
    <row r="16" spans="1:19">
      <c r="A16" s="62"/>
      <c r="B16" s="36"/>
      <c r="C16" s="37"/>
      <c r="D16" s="62"/>
      <c r="E16" s="37"/>
      <c r="F16" s="36"/>
      <c r="G16" s="37"/>
      <c r="H16" s="37"/>
      <c r="I16" s="37"/>
      <c r="J16" s="37"/>
      <c r="K16" s="37"/>
      <c r="L16" s="37"/>
    </row>
    <row r="17" spans="1:12">
      <c r="A17" s="37"/>
      <c r="B17" s="36"/>
      <c r="C17" s="62"/>
      <c r="D17" s="62"/>
      <c r="E17" s="37"/>
      <c r="F17" s="36"/>
      <c r="G17" s="37"/>
      <c r="H17" s="37"/>
      <c r="I17" s="37"/>
      <c r="J17" s="37"/>
      <c r="K17" s="37"/>
      <c r="L17" s="37"/>
    </row>
    <row r="18" spans="1:12">
      <c r="A18" s="62"/>
      <c r="B18" s="36"/>
      <c r="C18" s="37"/>
      <c r="D18" s="62"/>
      <c r="E18" s="37"/>
      <c r="F18" s="36"/>
      <c r="G18" s="37"/>
      <c r="H18" s="37"/>
      <c r="I18" s="37"/>
      <c r="J18" s="37"/>
      <c r="K18" s="37"/>
      <c r="L18" s="37"/>
    </row>
    <row r="19" spans="1:12">
      <c r="A19" s="37"/>
      <c r="B19" s="36"/>
      <c r="C19" s="62"/>
      <c r="D19" s="62"/>
      <c r="E19" s="37"/>
      <c r="F19" s="36"/>
      <c r="G19" s="37"/>
      <c r="H19" s="37"/>
      <c r="I19" s="37"/>
      <c r="J19" s="37"/>
      <c r="K19" s="37"/>
      <c r="L19" s="37"/>
    </row>
  </sheetData>
  <phoneticPr fontId="1" type="noConversion"/>
  <pageMargins left="0.7" right="0.7" top="0.75" bottom="0.75" header="0.3" footer="0.3"/>
  <pageSetup paperSize="9" orientation="portrait" horizontalDpi="200" verticalDpi="200" r:id="rId1"/>
  <legacyDrawing r:id="rId2"/>
</worksheet>
</file>

<file path=xl/worksheets/sheet2.xml><?xml version="1.0" encoding="utf-8"?>
<worksheet xmlns="http://schemas.openxmlformats.org/spreadsheetml/2006/main" xmlns:r="http://schemas.openxmlformats.org/officeDocument/2006/relationships">
  <sheetPr codeName="Sheet2"/>
  <dimension ref="A1:FJ127"/>
  <sheetViews>
    <sheetView tabSelected="1" zoomScale="85" zoomScaleNormal="85" workbookViewId="0">
      <pane xSplit="2" ySplit="1" topLeftCell="J2" activePane="bottomRight" state="frozen"/>
      <selection pane="topRight" activeCell="C1" sqref="C1"/>
      <selection pane="bottomLeft" activeCell="A2" sqref="A2"/>
      <selection pane="bottomRight" activeCell="A37" sqref="A37:XFD37"/>
    </sheetView>
  </sheetViews>
  <sheetFormatPr defaultRowHeight="13.5"/>
  <cols>
    <col min="1" max="2" width="7.5" bestFit="1" customWidth="1"/>
    <col min="3" max="3" width="15.125" bestFit="1" customWidth="1"/>
    <col min="4" max="5" width="15.125" customWidth="1"/>
    <col min="6" max="6" width="23.875" bestFit="1" customWidth="1"/>
    <col min="7" max="8" width="8.5" bestFit="1" customWidth="1"/>
    <col min="9" max="9" width="17.25" bestFit="1" customWidth="1"/>
    <col min="10" max="10" width="8.5" bestFit="1" customWidth="1"/>
    <col min="11" max="11" width="11.625" bestFit="1" customWidth="1"/>
    <col min="12" max="14" width="12.75" bestFit="1" customWidth="1"/>
    <col min="15" max="15" width="11.625" bestFit="1" customWidth="1"/>
    <col min="16" max="16" width="13.875" bestFit="1" customWidth="1"/>
    <col min="17" max="17" width="17.25" bestFit="1" customWidth="1"/>
    <col min="18" max="18" width="9.5" bestFit="1" customWidth="1"/>
    <col min="19" max="19" width="16.125" bestFit="1" customWidth="1"/>
    <col min="20" max="20" width="12.75" bestFit="1" customWidth="1"/>
    <col min="21" max="21" width="16.125" bestFit="1" customWidth="1"/>
    <col min="22" max="22" width="12.75" bestFit="1" customWidth="1"/>
    <col min="23" max="23" width="16.125" bestFit="1" customWidth="1"/>
    <col min="24" max="24" width="15" bestFit="1" customWidth="1"/>
    <col min="25" max="25" width="18.375" bestFit="1" customWidth="1"/>
    <col min="26" max="26" width="15" bestFit="1" customWidth="1"/>
    <col min="27" max="27" width="12.75" bestFit="1" customWidth="1"/>
    <col min="28" max="28" width="117.375" bestFit="1" customWidth="1"/>
    <col min="30" max="30" width="37.125" bestFit="1" customWidth="1"/>
    <col min="32" max="32" width="10.5" bestFit="1" customWidth="1"/>
    <col min="33" max="33" width="11.625" bestFit="1" customWidth="1"/>
    <col min="34" max="34" width="11.625" customWidth="1"/>
    <col min="38" max="38" width="13.875" bestFit="1" customWidth="1"/>
    <col min="39" max="39" width="17.25" bestFit="1" customWidth="1"/>
    <col min="40" max="40" width="31.625" style="35" bestFit="1" customWidth="1"/>
    <col min="41" max="41" width="17.25" customWidth="1"/>
    <col min="42" max="42" width="23.875" customWidth="1"/>
    <col min="43" max="43" width="28.25" customWidth="1"/>
    <col min="44" max="44" width="38.25" bestFit="1" customWidth="1"/>
    <col min="45" max="45" width="0.75" customWidth="1"/>
    <col min="46" max="46" width="0.625" customWidth="1"/>
    <col min="47" max="47" width="0.875" customWidth="1"/>
    <col min="48" max="48" width="37.75" bestFit="1" customWidth="1"/>
  </cols>
  <sheetData>
    <row r="1" spans="1:166" s="2" customFormat="1" ht="24.95" customHeight="1">
      <c r="A1" s="32" t="s">
        <v>74</v>
      </c>
      <c r="B1" s="32" t="s">
        <v>1047</v>
      </c>
      <c r="C1" s="32" t="s">
        <v>481</v>
      </c>
      <c r="D1" s="32" t="s">
        <v>520</v>
      </c>
      <c r="E1" s="32" t="s">
        <v>519</v>
      </c>
      <c r="F1" s="32" t="s">
        <v>76</v>
      </c>
      <c r="G1" s="32" t="s">
        <v>39</v>
      </c>
      <c r="H1" s="32" t="s">
        <v>40</v>
      </c>
      <c r="I1" s="32" t="s">
        <v>38</v>
      </c>
      <c r="J1" s="46" t="s">
        <v>1</v>
      </c>
      <c r="K1" s="46" t="s">
        <v>82</v>
      </c>
      <c r="L1" s="47" t="s">
        <v>2</v>
      </c>
      <c r="M1" s="47" t="s">
        <v>23</v>
      </c>
      <c r="N1" s="47" t="s">
        <v>3</v>
      </c>
      <c r="O1" s="47" t="s">
        <v>4</v>
      </c>
      <c r="P1" s="47" t="s">
        <v>5</v>
      </c>
      <c r="Q1" s="47" t="s">
        <v>6</v>
      </c>
      <c r="R1" s="47" t="s">
        <v>7</v>
      </c>
      <c r="S1" s="34" t="s">
        <v>480</v>
      </c>
      <c r="T1" s="47" t="s">
        <v>36</v>
      </c>
      <c r="U1" s="47" t="s">
        <v>35</v>
      </c>
      <c r="V1" s="47" t="s">
        <v>33</v>
      </c>
      <c r="W1" s="47" t="s">
        <v>34</v>
      </c>
      <c r="X1" s="47" t="s">
        <v>31</v>
      </c>
      <c r="Y1" s="47" t="s">
        <v>32</v>
      </c>
      <c r="Z1" s="47" t="s">
        <v>8</v>
      </c>
      <c r="AA1" s="47" t="s">
        <v>9</v>
      </c>
      <c r="AB1" s="34" t="s">
        <v>10</v>
      </c>
      <c r="AC1" s="47" t="s">
        <v>11</v>
      </c>
      <c r="AD1" s="47" t="s">
        <v>12</v>
      </c>
      <c r="AE1" s="47" t="s">
        <v>13</v>
      </c>
      <c r="AF1" s="47" t="s">
        <v>59</v>
      </c>
      <c r="AG1" s="47" t="s">
        <v>14</v>
      </c>
      <c r="AH1" s="47" t="s">
        <v>15</v>
      </c>
      <c r="AI1" s="47" t="s">
        <v>20</v>
      </c>
      <c r="AJ1" s="48" t="s">
        <v>21</v>
      </c>
      <c r="AK1" s="32" t="s">
        <v>22</v>
      </c>
      <c r="AL1" s="32" t="s">
        <v>72</v>
      </c>
      <c r="AM1" s="32" t="s">
        <v>73</v>
      </c>
      <c r="AN1" s="32" t="s">
        <v>786</v>
      </c>
      <c r="AO1" s="32" t="s">
        <v>80</v>
      </c>
      <c r="AP1" s="32" t="s">
        <v>944</v>
      </c>
      <c r="AQ1"/>
      <c r="AR1"/>
      <c r="AS1"/>
      <c r="AT1"/>
      <c r="AU1"/>
      <c r="AV1"/>
      <c r="AW1"/>
      <c r="AX1"/>
      <c r="AY1"/>
      <c r="AZ1"/>
      <c r="BA1"/>
      <c r="BB1"/>
      <c r="BC1"/>
      <c r="BD1"/>
      <c r="BE1"/>
      <c r="BF1"/>
      <c r="BG1"/>
      <c r="BH1"/>
      <c r="BI1"/>
      <c r="BJ1"/>
      <c r="BK1"/>
      <c r="BL1"/>
      <c r="BM1"/>
      <c r="BN1"/>
      <c r="BO1"/>
      <c r="BP1"/>
      <c r="BQ1"/>
      <c r="BR1"/>
      <c r="BS1"/>
      <c r="BT1"/>
      <c r="BU1"/>
      <c r="BV1"/>
      <c r="BW1"/>
      <c r="BX1"/>
      <c r="BY1"/>
      <c r="BZ1"/>
      <c r="CA1"/>
      <c r="CB1"/>
      <c r="CC1"/>
      <c r="CD1"/>
      <c r="CE1"/>
      <c r="CF1"/>
      <c r="CG1"/>
      <c r="CH1"/>
      <c r="CI1"/>
      <c r="CJ1"/>
      <c r="CK1"/>
      <c r="CL1"/>
      <c r="CM1"/>
      <c r="CN1"/>
      <c r="CO1"/>
      <c r="CP1"/>
      <c r="CQ1"/>
      <c r="CR1"/>
      <c r="CS1"/>
      <c r="CT1"/>
      <c r="CU1"/>
      <c r="CV1"/>
      <c r="CW1"/>
      <c r="CX1"/>
      <c r="CY1"/>
      <c r="CZ1"/>
      <c r="DA1"/>
      <c r="DB1"/>
      <c r="DC1"/>
      <c r="DD1"/>
      <c r="DE1"/>
      <c r="DF1"/>
      <c r="DG1"/>
      <c r="DH1"/>
      <c r="DI1"/>
      <c r="DJ1"/>
      <c r="DK1"/>
      <c r="DL1"/>
      <c r="DM1"/>
      <c r="DN1"/>
      <c r="DO1"/>
      <c r="DP1"/>
      <c r="DQ1"/>
      <c r="DR1"/>
      <c r="DS1"/>
      <c r="DT1"/>
      <c r="DU1"/>
      <c r="DV1"/>
      <c r="DW1"/>
      <c r="DX1"/>
      <c r="DY1"/>
      <c r="DZ1"/>
      <c r="EA1"/>
      <c r="EB1"/>
      <c r="EC1"/>
      <c r="ED1"/>
      <c r="EE1"/>
      <c r="EF1"/>
      <c r="EG1"/>
      <c r="EH1"/>
      <c r="EI1"/>
      <c r="EJ1"/>
      <c r="EK1"/>
      <c r="EL1"/>
      <c r="EM1"/>
      <c r="EN1"/>
      <c r="EO1"/>
      <c r="EP1"/>
      <c r="EQ1"/>
      <c r="ER1"/>
      <c r="ES1"/>
      <c r="ET1"/>
      <c r="EU1"/>
      <c r="EV1"/>
      <c r="EW1"/>
      <c r="EX1"/>
      <c r="EY1"/>
      <c r="EZ1"/>
      <c r="FA1"/>
      <c r="FB1"/>
      <c r="FC1"/>
      <c r="FD1"/>
      <c r="FE1"/>
      <c r="FF1"/>
      <c r="FG1"/>
      <c r="FH1"/>
      <c r="FI1"/>
      <c r="FJ1"/>
    </row>
    <row r="2" spans="1:166" s="16" customFormat="1" ht="15" customHeight="1">
      <c r="A2" s="53"/>
      <c r="B2" s="81">
        <v>10101</v>
      </c>
      <c r="C2" s="62" t="s">
        <v>1020</v>
      </c>
      <c r="D2" s="62" t="s">
        <v>518</v>
      </c>
      <c r="E2" s="62" t="s">
        <v>788</v>
      </c>
      <c r="F2" s="62" t="s">
        <v>472</v>
      </c>
      <c r="G2" s="74" t="s">
        <v>1081</v>
      </c>
      <c r="H2" s="75" t="s">
        <v>1082</v>
      </c>
      <c r="I2" s="81">
        <v>10102</v>
      </c>
      <c r="J2" s="75" t="s">
        <v>1054</v>
      </c>
      <c r="K2" s="75" t="s">
        <v>1000</v>
      </c>
      <c r="L2" s="75">
        <v>0</v>
      </c>
      <c r="M2" s="75" t="s">
        <v>787</v>
      </c>
      <c r="N2" s="75">
        <v>3</v>
      </c>
      <c r="O2" s="75">
        <v>3</v>
      </c>
      <c r="P2" s="75">
        <v>11</v>
      </c>
      <c r="Q2" s="75">
        <v>1</v>
      </c>
      <c r="R2" s="38">
        <v>101</v>
      </c>
      <c r="S2" s="38" t="s">
        <v>608</v>
      </c>
      <c r="T2" s="75">
        <v>11</v>
      </c>
      <c r="U2" s="75">
        <v>1</v>
      </c>
      <c r="V2" s="75" t="s">
        <v>1110</v>
      </c>
      <c r="W2" s="75" t="s">
        <v>1111</v>
      </c>
      <c r="X2" s="75" t="s">
        <v>1110</v>
      </c>
      <c r="Y2" s="75" t="s">
        <v>1112</v>
      </c>
      <c r="Z2" s="75" t="s">
        <v>524</v>
      </c>
      <c r="AA2" s="75" t="s">
        <v>524</v>
      </c>
      <c r="AB2" s="76" t="s">
        <v>785</v>
      </c>
      <c r="AC2" s="74"/>
      <c r="AD2" s="75" t="s">
        <v>81</v>
      </c>
      <c r="AE2" s="75" t="s">
        <v>570</v>
      </c>
      <c r="AF2" s="75">
        <v>1</v>
      </c>
      <c r="AG2" s="75" t="s">
        <v>524</v>
      </c>
      <c r="AH2" s="75">
        <v>0</v>
      </c>
      <c r="AI2" s="75">
        <v>20002</v>
      </c>
      <c r="AJ2" s="75">
        <v>20003</v>
      </c>
      <c r="AK2" s="75">
        <v>20004</v>
      </c>
      <c r="AL2" s="75">
        <v>0</v>
      </c>
      <c r="AM2" s="75">
        <v>1</v>
      </c>
      <c r="AN2" s="44">
        <v>4025</v>
      </c>
      <c r="AO2" s="75" t="s">
        <v>532</v>
      </c>
      <c r="AP2" t="s">
        <v>1051</v>
      </c>
      <c r="AR2" s="69" t="str">
        <f>CONCATENATE("optional uint32 ",LOWER(INDEX(B:AO,CEILING((ROW()-1)/51,1),MOD(ROW()-2,51)+1)))</f>
        <v>optional uint32 id</v>
      </c>
      <c r="AS2" s="69"/>
      <c r="AT2" s="69"/>
      <c r="AU2" s="69"/>
      <c r="AV2" s="69" t="e">
        <f ca="1">CONCATENATE("= ",ROW()-1,"; // ",GetComment(INDEX(B:AO,CEILING((ROW()-1)/51,1),MOD(ROW()-2,51)+1)))</f>
        <v>#NAME?</v>
      </c>
    </row>
    <row r="3" spans="1:166" s="16" customFormat="1" ht="15" customHeight="1">
      <c r="A3" s="53"/>
      <c r="B3" s="81">
        <v>10102</v>
      </c>
      <c r="C3" s="62" t="s">
        <v>1013</v>
      </c>
      <c r="D3" s="62" t="s">
        <v>518</v>
      </c>
      <c r="E3" s="62" t="s">
        <v>518</v>
      </c>
      <c r="F3" s="62" t="s">
        <v>472</v>
      </c>
      <c r="G3" s="74" t="s">
        <v>1083</v>
      </c>
      <c r="H3" s="75" t="s">
        <v>1084</v>
      </c>
      <c r="I3" s="81">
        <v>10103</v>
      </c>
      <c r="J3" s="75" t="s">
        <v>1054</v>
      </c>
      <c r="K3" s="75" t="s">
        <v>1000</v>
      </c>
      <c r="L3" s="75">
        <v>0</v>
      </c>
      <c r="M3" s="75">
        <v>10001</v>
      </c>
      <c r="N3" s="75">
        <v>3</v>
      </c>
      <c r="O3" s="75">
        <v>3</v>
      </c>
      <c r="P3" s="75">
        <v>11</v>
      </c>
      <c r="Q3" s="75">
        <v>1</v>
      </c>
      <c r="R3" s="38" t="s">
        <v>574</v>
      </c>
      <c r="S3" s="38" t="s">
        <v>609</v>
      </c>
      <c r="T3" s="75">
        <v>11</v>
      </c>
      <c r="U3" s="75">
        <v>1</v>
      </c>
      <c r="V3" s="75">
        <v>1</v>
      </c>
      <c r="W3" s="75">
        <v>4</v>
      </c>
      <c r="X3" s="75">
        <v>1</v>
      </c>
      <c r="Y3" s="75">
        <v>8</v>
      </c>
      <c r="Z3" s="75" t="s">
        <v>782</v>
      </c>
      <c r="AA3" s="53" t="s">
        <v>782</v>
      </c>
      <c r="AB3" s="76" t="s">
        <v>785</v>
      </c>
      <c r="AC3" s="74"/>
      <c r="AD3" s="75" t="s">
        <v>81</v>
      </c>
      <c r="AE3" s="75" t="s">
        <v>570</v>
      </c>
      <c r="AF3" s="75">
        <v>1</v>
      </c>
      <c r="AG3" s="75" t="s">
        <v>524</v>
      </c>
      <c r="AH3" s="75">
        <v>0</v>
      </c>
      <c r="AI3" s="75">
        <v>20002</v>
      </c>
      <c r="AJ3" s="75">
        <v>20003</v>
      </c>
      <c r="AK3" s="75">
        <v>20004</v>
      </c>
      <c r="AL3" s="75">
        <v>0</v>
      </c>
      <c r="AM3" s="75">
        <v>1</v>
      </c>
      <c r="AN3" s="44">
        <v>4025</v>
      </c>
      <c r="AO3" s="75" t="s">
        <v>533</v>
      </c>
      <c r="AP3" t="s">
        <v>1051</v>
      </c>
      <c r="AR3" s="69"/>
      <c r="AS3" s="69"/>
      <c r="AT3" s="69"/>
      <c r="AU3" s="69"/>
      <c r="AV3" s="69"/>
    </row>
    <row r="4" spans="1:166" s="16" customFormat="1" ht="15" customHeight="1">
      <c r="A4" s="53"/>
      <c r="B4" s="81">
        <v>10103</v>
      </c>
      <c r="C4" s="62" t="s">
        <v>1016</v>
      </c>
      <c r="D4" s="62" t="s">
        <v>518</v>
      </c>
      <c r="E4" s="62" t="s">
        <v>518</v>
      </c>
      <c r="F4" s="62" t="s">
        <v>472</v>
      </c>
      <c r="G4" s="74" t="s">
        <v>1085</v>
      </c>
      <c r="H4" s="75" t="s">
        <v>1057</v>
      </c>
      <c r="I4" s="81">
        <v>10104</v>
      </c>
      <c r="J4" s="75" t="s">
        <v>1054</v>
      </c>
      <c r="K4" s="75" t="s">
        <v>1000</v>
      </c>
      <c r="L4" s="75">
        <v>0</v>
      </c>
      <c r="M4" s="75">
        <v>10001</v>
      </c>
      <c r="N4" s="75">
        <v>3</v>
      </c>
      <c r="O4" s="75">
        <v>3</v>
      </c>
      <c r="P4" s="75">
        <v>11</v>
      </c>
      <c r="Q4" s="75">
        <v>1</v>
      </c>
      <c r="R4" s="38" t="s">
        <v>565</v>
      </c>
      <c r="S4" s="38" t="s">
        <v>610</v>
      </c>
      <c r="T4" s="75" t="s">
        <v>1116</v>
      </c>
      <c r="U4" s="75" t="s">
        <v>1111</v>
      </c>
      <c r="V4" s="75" t="s">
        <v>1111</v>
      </c>
      <c r="W4" s="75" t="s">
        <v>1117</v>
      </c>
      <c r="X4" s="75" t="s">
        <v>1111</v>
      </c>
      <c r="Y4" s="75" t="s">
        <v>1118</v>
      </c>
      <c r="Z4" s="75" t="s">
        <v>523</v>
      </c>
      <c r="AA4" s="75" t="s">
        <v>523</v>
      </c>
      <c r="AB4" s="76" t="s">
        <v>785</v>
      </c>
      <c r="AC4" s="74"/>
      <c r="AD4" s="75" t="s">
        <v>81</v>
      </c>
      <c r="AE4" s="75" t="s">
        <v>570</v>
      </c>
      <c r="AF4" s="75">
        <v>1</v>
      </c>
      <c r="AG4" s="75" t="s">
        <v>524</v>
      </c>
      <c r="AH4" s="75">
        <v>0</v>
      </c>
      <c r="AI4" s="75">
        <v>20002</v>
      </c>
      <c r="AJ4" s="75">
        <v>20003</v>
      </c>
      <c r="AK4" s="75">
        <v>20004</v>
      </c>
      <c r="AL4" s="75">
        <v>0</v>
      </c>
      <c r="AM4" s="75">
        <v>1</v>
      </c>
      <c r="AN4" s="44">
        <v>4025</v>
      </c>
      <c r="AO4" s="77" t="s">
        <v>522</v>
      </c>
      <c r="AP4" t="s">
        <v>1051</v>
      </c>
      <c r="AR4" s="69"/>
      <c r="AS4" s="69"/>
      <c r="AT4" s="69"/>
      <c r="AU4" s="69"/>
      <c r="AV4" s="69"/>
    </row>
    <row r="5" spans="1:166" s="16" customFormat="1" ht="15" customHeight="1">
      <c r="A5" s="53"/>
      <c r="B5" s="81">
        <v>10104</v>
      </c>
      <c r="C5" s="62" t="s">
        <v>1002</v>
      </c>
      <c r="D5" s="62" t="s">
        <v>518</v>
      </c>
      <c r="E5" s="62" t="s">
        <v>518</v>
      </c>
      <c r="F5" s="62" t="s">
        <v>472</v>
      </c>
      <c r="G5" s="74" t="s">
        <v>1086</v>
      </c>
      <c r="H5" s="75" t="s">
        <v>1072</v>
      </c>
      <c r="I5" s="81">
        <v>10105</v>
      </c>
      <c r="J5" s="75" t="s">
        <v>1054</v>
      </c>
      <c r="K5" s="75" t="s">
        <v>1000</v>
      </c>
      <c r="L5" s="75">
        <v>0</v>
      </c>
      <c r="M5" s="75">
        <v>10001</v>
      </c>
      <c r="N5" s="75">
        <v>3</v>
      </c>
      <c r="O5" s="75">
        <v>3</v>
      </c>
      <c r="P5" s="75">
        <v>11</v>
      </c>
      <c r="Q5" s="75">
        <v>1</v>
      </c>
      <c r="R5" s="38" t="s">
        <v>566</v>
      </c>
      <c r="S5" s="38" t="s">
        <v>611</v>
      </c>
      <c r="T5" s="75" t="s">
        <v>1120</v>
      </c>
      <c r="U5" s="75" t="s">
        <v>1111</v>
      </c>
      <c r="V5" s="75" t="s">
        <v>1115</v>
      </c>
      <c r="W5" s="75" t="s">
        <v>1125</v>
      </c>
      <c r="X5" s="75" t="s">
        <v>1115</v>
      </c>
      <c r="Y5" s="75" t="s">
        <v>1126</v>
      </c>
      <c r="Z5" s="75" t="s">
        <v>523</v>
      </c>
      <c r="AA5" s="53" t="s">
        <v>523</v>
      </c>
      <c r="AB5" s="76" t="s">
        <v>785</v>
      </c>
      <c r="AC5" s="74"/>
      <c r="AD5" s="75" t="s">
        <v>81</v>
      </c>
      <c r="AE5" s="75" t="s">
        <v>570</v>
      </c>
      <c r="AF5" s="75">
        <v>1</v>
      </c>
      <c r="AG5" s="75" t="s">
        <v>524</v>
      </c>
      <c r="AH5" s="75">
        <v>0</v>
      </c>
      <c r="AI5" s="75">
        <v>20002</v>
      </c>
      <c r="AJ5" s="75">
        <v>20003</v>
      </c>
      <c r="AK5" s="75">
        <v>20004</v>
      </c>
      <c r="AL5" s="75">
        <v>0</v>
      </c>
      <c r="AM5" s="75">
        <v>1</v>
      </c>
      <c r="AN5" s="44" t="s">
        <v>1095</v>
      </c>
      <c r="AO5" s="62" t="s">
        <v>521</v>
      </c>
      <c r="AP5" t="s">
        <v>1051</v>
      </c>
      <c r="AR5" s="69" t="str">
        <f>CONCATENATE("optional uint32 ",LOWER(INDEX(B:AO,CEILING((ROW()-1)/51,1),MOD(ROW()-2,51)+1)))</f>
        <v>optional uint32 role_gift</v>
      </c>
      <c r="AS5" s="69"/>
      <c r="AT5" s="69"/>
      <c r="AU5" s="69"/>
      <c r="AV5" s="69" t="e">
        <f ca="1">CONCATENATE("= ",ROW()-1,"; // ",GetComment(INDEX(B:AO,CEILING((ROW()-1)/51,1),MOD(ROW()-2,51)+1)))</f>
        <v>#NAME?</v>
      </c>
    </row>
    <row r="6" spans="1:166" s="16" customFormat="1" ht="15" customHeight="1">
      <c r="A6" s="53"/>
      <c r="B6" s="81">
        <v>10105</v>
      </c>
      <c r="C6" s="62" t="s">
        <v>1004</v>
      </c>
      <c r="D6" s="62" t="s">
        <v>518</v>
      </c>
      <c r="E6" s="62" t="s">
        <v>518</v>
      </c>
      <c r="F6" s="62" t="s">
        <v>472</v>
      </c>
      <c r="G6" s="74" t="s">
        <v>1087</v>
      </c>
      <c r="H6" s="75" t="s">
        <v>1088</v>
      </c>
      <c r="I6" s="81">
        <v>10106</v>
      </c>
      <c r="J6" s="75" t="s">
        <v>1054</v>
      </c>
      <c r="K6" s="75" t="s">
        <v>1000</v>
      </c>
      <c r="L6" s="75">
        <v>0</v>
      </c>
      <c r="M6" s="75">
        <v>10001</v>
      </c>
      <c r="N6" s="75">
        <v>3</v>
      </c>
      <c r="O6" s="75">
        <v>3</v>
      </c>
      <c r="P6" s="75">
        <v>11</v>
      </c>
      <c r="Q6" s="75">
        <v>1</v>
      </c>
      <c r="R6" s="38" t="s">
        <v>567</v>
      </c>
      <c r="S6" s="38" t="s">
        <v>612</v>
      </c>
      <c r="T6" s="75" t="s">
        <v>1114</v>
      </c>
      <c r="U6" s="75" t="s">
        <v>1119</v>
      </c>
      <c r="V6" s="75" t="s">
        <v>1114</v>
      </c>
      <c r="W6" s="75" t="s">
        <v>1124</v>
      </c>
      <c r="X6" s="75" t="s">
        <v>1114</v>
      </c>
      <c r="Y6" s="75" t="s">
        <v>1123</v>
      </c>
      <c r="Z6" s="75" t="s">
        <v>523</v>
      </c>
      <c r="AA6" s="75" t="s">
        <v>523</v>
      </c>
      <c r="AB6" s="76" t="s">
        <v>785</v>
      </c>
      <c r="AC6" s="74"/>
      <c r="AD6" s="75" t="s">
        <v>81</v>
      </c>
      <c r="AE6" s="75" t="s">
        <v>570</v>
      </c>
      <c r="AF6" s="75">
        <v>1</v>
      </c>
      <c r="AG6" s="75" t="s">
        <v>524</v>
      </c>
      <c r="AH6" s="75">
        <v>0</v>
      </c>
      <c r="AI6" s="75">
        <v>20002</v>
      </c>
      <c r="AJ6" s="75">
        <v>20003</v>
      </c>
      <c r="AK6" s="75">
        <v>20004</v>
      </c>
      <c r="AL6" s="75">
        <v>0</v>
      </c>
      <c r="AM6" s="75">
        <v>1</v>
      </c>
      <c r="AN6" s="44">
        <v>4025</v>
      </c>
      <c r="AO6" s="62" t="s">
        <v>534</v>
      </c>
      <c r="AP6" t="s">
        <v>1051</v>
      </c>
      <c r="AR6" s="69"/>
      <c r="AS6" s="69"/>
      <c r="AT6" s="69"/>
      <c r="AU6" s="69"/>
      <c r="AV6" s="69"/>
    </row>
    <row r="7" spans="1:166" s="16" customFormat="1" ht="15" customHeight="1">
      <c r="A7" s="53"/>
      <c r="B7" s="81">
        <v>10106</v>
      </c>
      <c r="C7" s="62" t="s">
        <v>1036</v>
      </c>
      <c r="D7" s="62" t="s">
        <v>518</v>
      </c>
      <c r="E7" s="62" t="s">
        <v>518</v>
      </c>
      <c r="F7" s="62" t="s">
        <v>472</v>
      </c>
      <c r="G7" s="74" t="s">
        <v>1089</v>
      </c>
      <c r="H7" s="75" t="s">
        <v>1090</v>
      </c>
      <c r="I7" s="81">
        <v>10107</v>
      </c>
      <c r="J7" s="75" t="s">
        <v>1054</v>
      </c>
      <c r="K7" s="75" t="s">
        <v>1000</v>
      </c>
      <c r="L7" s="75">
        <v>0</v>
      </c>
      <c r="M7" s="75">
        <v>10001</v>
      </c>
      <c r="N7" s="75">
        <v>3</v>
      </c>
      <c r="O7" s="75">
        <v>3</v>
      </c>
      <c r="P7" s="75">
        <v>11</v>
      </c>
      <c r="Q7" s="75">
        <v>1</v>
      </c>
      <c r="R7" s="38" t="s">
        <v>568</v>
      </c>
      <c r="S7" s="38" t="s">
        <v>613</v>
      </c>
      <c r="T7" s="75">
        <v>11</v>
      </c>
      <c r="U7" s="75">
        <v>1</v>
      </c>
      <c r="V7" s="75">
        <v>1</v>
      </c>
      <c r="W7" s="75" t="s">
        <v>1122</v>
      </c>
      <c r="X7" s="75">
        <v>1</v>
      </c>
      <c r="Y7" s="75" t="s">
        <v>1121</v>
      </c>
      <c r="Z7" s="75" t="s">
        <v>523</v>
      </c>
      <c r="AA7" s="53" t="s">
        <v>523</v>
      </c>
      <c r="AB7" s="76" t="s">
        <v>785</v>
      </c>
      <c r="AC7" s="74"/>
      <c r="AD7" s="75" t="s">
        <v>81</v>
      </c>
      <c r="AE7" s="75" t="s">
        <v>570</v>
      </c>
      <c r="AF7" s="75">
        <v>1</v>
      </c>
      <c r="AG7" s="75" t="s">
        <v>524</v>
      </c>
      <c r="AH7" s="75">
        <v>0</v>
      </c>
      <c r="AI7" s="75">
        <v>20002</v>
      </c>
      <c r="AJ7" s="75">
        <v>20003</v>
      </c>
      <c r="AK7" s="75">
        <v>20004</v>
      </c>
      <c r="AL7" s="75">
        <v>0</v>
      </c>
      <c r="AM7" s="75">
        <v>1</v>
      </c>
      <c r="AN7" s="44">
        <v>4025</v>
      </c>
      <c r="AO7" s="62" t="s">
        <v>535</v>
      </c>
      <c r="AP7" t="s">
        <v>1051</v>
      </c>
      <c r="AR7" s="69"/>
      <c r="AS7" s="69"/>
      <c r="AT7" s="69"/>
      <c r="AU7" s="69"/>
      <c r="AV7" s="69"/>
    </row>
    <row r="8" spans="1:166" s="16" customFormat="1" ht="15" customHeight="1">
      <c r="A8" s="53"/>
      <c r="B8" s="81">
        <v>10107</v>
      </c>
      <c r="C8" s="62" t="s">
        <v>1005</v>
      </c>
      <c r="D8" s="62" t="s">
        <v>518</v>
      </c>
      <c r="E8" s="62" t="s">
        <v>518</v>
      </c>
      <c r="F8" s="62" t="s">
        <v>472</v>
      </c>
      <c r="G8" s="74" t="s">
        <v>1091</v>
      </c>
      <c r="H8" s="75" t="s">
        <v>1092</v>
      </c>
      <c r="I8" s="75" t="s">
        <v>1055</v>
      </c>
      <c r="J8" s="75" t="s">
        <v>1054</v>
      </c>
      <c r="K8" s="75" t="s">
        <v>1000</v>
      </c>
      <c r="L8" s="75">
        <v>0</v>
      </c>
      <c r="M8" s="75">
        <v>10001</v>
      </c>
      <c r="N8" s="75">
        <v>3</v>
      </c>
      <c r="O8" s="75">
        <v>3</v>
      </c>
      <c r="P8" s="75">
        <v>11</v>
      </c>
      <c r="Q8" s="75">
        <v>1</v>
      </c>
      <c r="R8" s="38" t="s">
        <v>569</v>
      </c>
      <c r="S8" s="38" t="s">
        <v>614</v>
      </c>
      <c r="T8" s="75">
        <v>11</v>
      </c>
      <c r="U8" s="75">
        <v>1</v>
      </c>
      <c r="V8" s="75">
        <v>1</v>
      </c>
      <c r="W8" s="75">
        <v>4</v>
      </c>
      <c r="X8" s="75">
        <v>1</v>
      </c>
      <c r="Y8" s="75">
        <v>8</v>
      </c>
      <c r="Z8" s="75" t="s">
        <v>523</v>
      </c>
      <c r="AA8" s="75" t="s">
        <v>523</v>
      </c>
      <c r="AB8" s="76" t="s">
        <v>785</v>
      </c>
      <c r="AC8" s="74"/>
      <c r="AD8" s="75" t="s">
        <v>81</v>
      </c>
      <c r="AE8" s="75" t="s">
        <v>570</v>
      </c>
      <c r="AF8" s="75">
        <v>1</v>
      </c>
      <c r="AG8" s="75" t="s">
        <v>524</v>
      </c>
      <c r="AH8" s="75">
        <v>0</v>
      </c>
      <c r="AI8" s="75">
        <v>20002</v>
      </c>
      <c r="AJ8" s="75">
        <v>20003</v>
      </c>
      <c r="AK8" s="75">
        <v>20004</v>
      </c>
      <c r="AL8" s="75">
        <v>0</v>
      </c>
      <c r="AM8" s="75">
        <v>1</v>
      </c>
      <c r="AN8" s="44" t="s">
        <v>1096</v>
      </c>
      <c r="AO8" s="78" t="s">
        <v>536</v>
      </c>
      <c r="AP8" t="s">
        <v>1051</v>
      </c>
      <c r="AR8" s="69" t="str">
        <f>CONCATENATE("optional uint32 ",LOWER(INDEX(B:AO,CEILING((ROW()-1)/51,1),MOD(ROW()-2,51)+1)))</f>
        <v>optional uint32 coord_y</v>
      </c>
      <c r="AS8" s="69"/>
      <c r="AT8" s="69"/>
      <c r="AU8" s="69"/>
      <c r="AV8" s="69" t="e">
        <f ca="1">CONCATENATE("= ",ROW()-1,"; // ",GetComment(INDEX(B:AO,CEILING((ROW()-1)/51,1),MOD(ROW()-2,51)+1)))</f>
        <v>#NAME?</v>
      </c>
    </row>
    <row r="9" spans="1:166" s="16" customFormat="1" ht="15" customHeight="1">
      <c r="A9" s="53"/>
      <c r="B9" s="81">
        <v>10201</v>
      </c>
      <c r="C9" s="62" t="s">
        <v>1021</v>
      </c>
      <c r="D9" s="62" t="s">
        <v>518</v>
      </c>
      <c r="E9" s="62" t="s">
        <v>518</v>
      </c>
      <c r="F9" s="62" t="s">
        <v>472</v>
      </c>
      <c r="G9" s="74" t="s">
        <v>1060</v>
      </c>
      <c r="H9" s="75" t="s">
        <v>1061</v>
      </c>
      <c r="I9" s="81">
        <v>10202</v>
      </c>
      <c r="J9" s="75" t="s">
        <v>1054</v>
      </c>
      <c r="K9" s="75" t="s">
        <v>1000</v>
      </c>
      <c r="L9" s="75">
        <v>0</v>
      </c>
      <c r="M9" s="75">
        <v>10001</v>
      </c>
      <c r="N9" s="75">
        <v>3</v>
      </c>
      <c r="O9" s="75">
        <v>3</v>
      </c>
      <c r="P9" s="75">
        <v>11</v>
      </c>
      <c r="Q9" s="75">
        <v>1</v>
      </c>
      <c r="R9" s="38" t="s">
        <v>575</v>
      </c>
      <c r="S9" s="38" t="s">
        <v>615</v>
      </c>
      <c r="T9" s="75">
        <v>11</v>
      </c>
      <c r="U9" s="75">
        <v>1</v>
      </c>
      <c r="V9" s="75">
        <v>1</v>
      </c>
      <c r="W9" s="75" t="s">
        <v>1112</v>
      </c>
      <c r="X9" s="75">
        <v>1</v>
      </c>
      <c r="Y9" s="75" t="s">
        <v>1113</v>
      </c>
      <c r="Z9" s="75" t="s">
        <v>523</v>
      </c>
      <c r="AA9" s="75" t="s">
        <v>523</v>
      </c>
      <c r="AB9" s="76" t="s">
        <v>785</v>
      </c>
      <c r="AC9" s="74"/>
      <c r="AD9" s="75" t="s">
        <v>81</v>
      </c>
      <c r="AE9" s="75" t="s">
        <v>570</v>
      </c>
      <c r="AF9" s="75">
        <v>1</v>
      </c>
      <c r="AG9" s="75" t="s">
        <v>524</v>
      </c>
      <c r="AH9" s="75">
        <v>0</v>
      </c>
      <c r="AI9" s="75">
        <v>20002</v>
      </c>
      <c r="AJ9" s="75">
        <v>20003</v>
      </c>
      <c r="AK9" s="75">
        <v>20004</v>
      </c>
      <c r="AL9" s="75">
        <v>0</v>
      </c>
      <c r="AM9" s="75">
        <v>1</v>
      </c>
      <c r="AN9" s="44">
        <v>4025</v>
      </c>
      <c r="AO9" s="75" t="s">
        <v>525</v>
      </c>
      <c r="AP9" t="s">
        <v>1050</v>
      </c>
      <c r="AR9" s="69" t="str">
        <f>CONCATENATE("optional uint32 ",LOWER(INDEX(B:AO,CEILING((ROW()-1)/51,1),MOD(ROW()-2,51)+1)))</f>
        <v>optional uint32 next_section_id</v>
      </c>
      <c r="AS9" s="69"/>
      <c r="AT9" s="69"/>
      <c r="AU9" s="69"/>
      <c r="AV9" s="69" t="e">
        <f ca="1">CONCATENATE("= ",ROW()-1,"; // ",GetComment(INDEX(B:AO,CEILING((ROW()-1)/51,1),MOD(ROW()-2,51)+1)))</f>
        <v>#NAME?</v>
      </c>
    </row>
    <row r="10" spans="1:166" s="16" customFormat="1" ht="15" customHeight="1">
      <c r="A10" s="53"/>
      <c r="B10" s="81">
        <v>10202</v>
      </c>
      <c r="C10" s="62" t="s">
        <v>1030</v>
      </c>
      <c r="D10" s="62" t="s">
        <v>518</v>
      </c>
      <c r="E10" s="62" t="s">
        <v>518</v>
      </c>
      <c r="F10" s="62" t="s">
        <v>472</v>
      </c>
      <c r="G10" s="74" t="s">
        <v>1062</v>
      </c>
      <c r="H10" s="75" t="s">
        <v>1056</v>
      </c>
      <c r="I10" s="81">
        <v>10203</v>
      </c>
      <c r="J10" s="75" t="s">
        <v>1054</v>
      </c>
      <c r="K10" s="75" t="s">
        <v>1000</v>
      </c>
      <c r="L10" s="75">
        <v>0</v>
      </c>
      <c r="M10" s="75">
        <v>10001</v>
      </c>
      <c r="N10" s="75">
        <v>3</v>
      </c>
      <c r="O10" s="75">
        <v>3</v>
      </c>
      <c r="P10" s="75">
        <v>11</v>
      </c>
      <c r="Q10" s="75">
        <v>1</v>
      </c>
      <c r="R10" s="38" t="s">
        <v>573</v>
      </c>
      <c r="S10" s="38" t="s">
        <v>616</v>
      </c>
      <c r="T10" s="75">
        <v>11</v>
      </c>
      <c r="U10" s="75">
        <v>1</v>
      </c>
      <c r="V10" s="75">
        <v>1</v>
      </c>
      <c r="W10" s="75">
        <v>4</v>
      </c>
      <c r="X10" s="75">
        <v>1</v>
      </c>
      <c r="Y10" s="75">
        <v>8</v>
      </c>
      <c r="Z10" s="75" t="s">
        <v>523</v>
      </c>
      <c r="AA10" s="53" t="s">
        <v>523</v>
      </c>
      <c r="AB10" s="76" t="s">
        <v>785</v>
      </c>
      <c r="AC10" s="74"/>
      <c r="AD10" s="75" t="s">
        <v>81</v>
      </c>
      <c r="AE10" s="75" t="s">
        <v>570</v>
      </c>
      <c r="AF10" s="75">
        <v>1</v>
      </c>
      <c r="AG10" s="75" t="s">
        <v>524</v>
      </c>
      <c r="AH10" s="75">
        <v>0</v>
      </c>
      <c r="AI10" s="75">
        <v>20002</v>
      </c>
      <c r="AJ10" s="75">
        <v>20003</v>
      </c>
      <c r="AK10" s="75">
        <v>20004</v>
      </c>
      <c r="AL10" s="75">
        <v>0</v>
      </c>
      <c r="AM10" s="75">
        <v>1</v>
      </c>
      <c r="AN10" s="44">
        <v>4025</v>
      </c>
      <c r="AO10" s="75" t="s">
        <v>526</v>
      </c>
      <c r="AP10" t="s">
        <v>1050</v>
      </c>
      <c r="AR10" s="69"/>
      <c r="AS10" s="69"/>
      <c r="AT10" s="69"/>
      <c r="AU10" s="69"/>
      <c r="AV10" s="69"/>
    </row>
    <row r="11" spans="1:166" s="16" customFormat="1" ht="15" customHeight="1">
      <c r="A11" s="53"/>
      <c r="B11" s="81">
        <v>10203</v>
      </c>
      <c r="C11" s="62" t="s">
        <v>1031</v>
      </c>
      <c r="D11" s="62" t="s">
        <v>518</v>
      </c>
      <c r="E11" s="62" t="s">
        <v>518</v>
      </c>
      <c r="F11" s="62" t="s">
        <v>472</v>
      </c>
      <c r="G11" s="74" t="s">
        <v>1063</v>
      </c>
      <c r="H11" s="75" t="s">
        <v>1064</v>
      </c>
      <c r="I11" s="81">
        <v>10204</v>
      </c>
      <c r="J11" s="75" t="s">
        <v>1054</v>
      </c>
      <c r="K11" s="75" t="s">
        <v>1000</v>
      </c>
      <c r="L11" s="75">
        <v>0</v>
      </c>
      <c r="M11" s="75">
        <v>10001</v>
      </c>
      <c r="N11" s="75">
        <v>3</v>
      </c>
      <c r="O11" s="75">
        <v>3</v>
      </c>
      <c r="P11" s="75">
        <v>11</v>
      </c>
      <c r="Q11" s="75">
        <v>1</v>
      </c>
      <c r="R11" s="38" t="s">
        <v>576</v>
      </c>
      <c r="S11" s="38" t="s">
        <v>617</v>
      </c>
      <c r="T11" s="75">
        <v>11</v>
      </c>
      <c r="U11" s="75">
        <v>1</v>
      </c>
      <c r="V11" s="75">
        <v>1</v>
      </c>
      <c r="W11" s="75">
        <v>4</v>
      </c>
      <c r="X11" s="75">
        <v>1</v>
      </c>
      <c r="Y11" s="75">
        <v>8</v>
      </c>
      <c r="Z11" s="75" t="s">
        <v>523</v>
      </c>
      <c r="AA11" s="75" t="s">
        <v>523</v>
      </c>
      <c r="AB11" s="76" t="s">
        <v>785</v>
      </c>
      <c r="AC11" s="74"/>
      <c r="AD11" s="75" t="s">
        <v>81</v>
      </c>
      <c r="AE11" s="75" t="s">
        <v>570</v>
      </c>
      <c r="AF11" s="75">
        <v>1</v>
      </c>
      <c r="AG11" s="75" t="s">
        <v>524</v>
      </c>
      <c r="AH11" s="75">
        <v>0</v>
      </c>
      <c r="AI11" s="75">
        <v>20002</v>
      </c>
      <c r="AJ11" s="75">
        <v>20003</v>
      </c>
      <c r="AK11" s="75">
        <v>20004</v>
      </c>
      <c r="AL11" s="75">
        <v>0</v>
      </c>
      <c r="AM11" s="75">
        <v>1</v>
      </c>
      <c r="AN11" s="44">
        <v>4025</v>
      </c>
      <c r="AO11" s="75" t="s">
        <v>528</v>
      </c>
      <c r="AP11" t="s">
        <v>1050</v>
      </c>
      <c r="AR11" s="69"/>
      <c r="AS11" s="69"/>
      <c r="AT11" s="69"/>
      <c r="AU11" s="69"/>
      <c r="AV11" s="69"/>
    </row>
    <row r="12" spans="1:166" s="16" customFormat="1" ht="15" customHeight="1">
      <c r="A12" s="53"/>
      <c r="B12" s="81">
        <v>10204</v>
      </c>
      <c r="C12" s="62" t="s">
        <v>1003</v>
      </c>
      <c r="D12" s="62" t="s">
        <v>518</v>
      </c>
      <c r="E12" s="62" t="s">
        <v>518</v>
      </c>
      <c r="F12" s="62" t="s">
        <v>472</v>
      </c>
      <c r="G12" s="74" t="s">
        <v>1065</v>
      </c>
      <c r="H12" s="75" t="s">
        <v>1056</v>
      </c>
      <c r="I12" s="81">
        <v>10205</v>
      </c>
      <c r="J12" s="75" t="s">
        <v>1054</v>
      </c>
      <c r="K12" s="75" t="s">
        <v>518</v>
      </c>
      <c r="L12" s="75">
        <v>0</v>
      </c>
      <c r="M12" s="75">
        <v>10001</v>
      </c>
      <c r="N12" s="75">
        <v>3</v>
      </c>
      <c r="O12" s="75">
        <v>3</v>
      </c>
      <c r="P12" s="75">
        <v>11</v>
      </c>
      <c r="Q12" s="75">
        <v>1</v>
      </c>
      <c r="R12" s="38" t="s">
        <v>577</v>
      </c>
      <c r="S12" s="38" t="s">
        <v>618</v>
      </c>
      <c r="T12" s="75">
        <v>11</v>
      </c>
      <c r="U12" s="75">
        <v>1</v>
      </c>
      <c r="V12" s="75">
        <v>1</v>
      </c>
      <c r="W12" s="75">
        <v>4</v>
      </c>
      <c r="X12" s="75">
        <v>1</v>
      </c>
      <c r="Y12" s="75">
        <v>8</v>
      </c>
      <c r="Z12" s="75" t="s">
        <v>523</v>
      </c>
      <c r="AA12" s="53" t="s">
        <v>523</v>
      </c>
      <c r="AB12" s="76" t="s">
        <v>785</v>
      </c>
      <c r="AC12" s="74"/>
      <c r="AD12" s="75" t="s">
        <v>81</v>
      </c>
      <c r="AE12" s="75" t="s">
        <v>570</v>
      </c>
      <c r="AF12" s="75">
        <v>1</v>
      </c>
      <c r="AG12" s="75" t="s">
        <v>524</v>
      </c>
      <c r="AH12" s="75">
        <v>0</v>
      </c>
      <c r="AI12" s="75">
        <v>20002</v>
      </c>
      <c r="AJ12" s="75">
        <v>20003</v>
      </c>
      <c r="AK12" s="75">
        <v>20004</v>
      </c>
      <c r="AL12" s="75">
        <v>0</v>
      </c>
      <c r="AM12" s="75">
        <v>1</v>
      </c>
      <c r="AN12" s="44" t="s">
        <v>1097</v>
      </c>
      <c r="AO12" s="75" t="s">
        <v>527</v>
      </c>
      <c r="AP12" t="s">
        <v>1050</v>
      </c>
      <c r="AR12" s="69" t="str">
        <f>CONCATENATE("optional uint32 ",LOWER(INDEX(B:AO,CEILING((ROW()-1)/51,1),MOD(ROW()-2,51)+1)))</f>
        <v>optional uint32 daily_times</v>
      </c>
      <c r="AS12" s="69"/>
      <c r="AT12" s="69"/>
      <c r="AU12" s="69"/>
      <c r="AV12" s="69" t="e">
        <f ca="1">CONCATENATE("= ",ROW()-1,"; // ",GetComment(INDEX(B:AO,CEILING((ROW()-1)/51,1),MOD(ROW()-2,51)+1)))</f>
        <v>#NAME?</v>
      </c>
    </row>
    <row r="13" spans="1:166" s="16" customFormat="1" ht="15" customHeight="1">
      <c r="A13" s="53"/>
      <c r="B13" s="81">
        <v>10205</v>
      </c>
      <c r="C13" s="62" t="s">
        <v>1035</v>
      </c>
      <c r="D13" s="62" t="s">
        <v>518</v>
      </c>
      <c r="E13" s="62" t="s">
        <v>518</v>
      </c>
      <c r="F13" s="62" t="s">
        <v>472</v>
      </c>
      <c r="G13" s="74" t="s">
        <v>1066</v>
      </c>
      <c r="H13" s="75" t="s">
        <v>1061</v>
      </c>
      <c r="I13" s="81">
        <v>10206</v>
      </c>
      <c r="J13" s="75" t="s">
        <v>1054</v>
      </c>
      <c r="K13" s="75" t="s">
        <v>1000</v>
      </c>
      <c r="L13" s="75">
        <v>0</v>
      </c>
      <c r="M13" s="75">
        <v>10001</v>
      </c>
      <c r="N13" s="75">
        <v>3</v>
      </c>
      <c r="O13" s="75">
        <v>3</v>
      </c>
      <c r="P13" s="75">
        <v>11</v>
      </c>
      <c r="Q13" s="75">
        <v>1</v>
      </c>
      <c r="R13" s="38" t="s">
        <v>578</v>
      </c>
      <c r="S13" s="38" t="s">
        <v>619</v>
      </c>
      <c r="T13" s="75" t="s">
        <v>1120</v>
      </c>
      <c r="U13" s="75" t="s">
        <v>1111</v>
      </c>
      <c r="V13" s="75" t="s">
        <v>1115</v>
      </c>
      <c r="W13" s="75" t="s">
        <v>1125</v>
      </c>
      <c r="X13" s="75" t="s">
        <v>1115</v>
      </c>
      <c r="Y13" s="75" t="s">
        <v>1126</v>
      </c>
      <c r="Z13" s="75" t="s">
        <v>523</v>
      </c>
      <c r="AA13" s="75" t="s">
        <v>523</v>
      </c>
      <c r="AB13" s="76" t="s">
        <v>785</v>
      </c>
      <c r="AC13" s="74"/>
      <c r="AD13" s="75" t="s">
        <v>81</v>
      </c>
      <c r="AE13" s="75" t="s">
        <v>570</v>
      </c>
      <c r="AF13" s="75">
        <v>1</v>
      </c>
      <c r="AG13" s="75" t="s">
        <v>524</v>
      </c>
      <c r="AH13" s="75">
        <v>0</v>
      </c>
      <c r="AI13" s="75">
        <v>20002</v>
      </c>
      <c r="AJ13" s="75">
        <v>20003</v>
      </c>
      <c r="AK13" s="75">
        <v>20004</v>
      </c>
      <c r="AL13" s="75">
        <v>0</v>
      </c>
      <c r="AM13" s="75">
        <v>1</v>
      </c>
      <c r="AN13" s="44">
        <v>4025</v>
      </c>
      <c r="AO13" s="75" t="s">
        <v>529</v>
      </c>
      <c r="AP13" t="s">
        <v>1050</v>
      </c>
      <c r="AR13" s="69"/>
      <c r="AS13" s="69"/>
      <c r="AT13" s="69"/>
      <c r="AU13" s="69"/>
      <c r="AV13" s="69"/>
      <c r="AY13" s="64"/>
    </row>
    <row r="14" spans="1:166" s="16" customFormat="1" ht="15" customHeight="1">
      <c r="A14" s="53"/>
      <c r="B14" s="81">
        <v>10206</v>
      </c>
      <c r="C14" s="62" t="s">
        <v>1037</v>
      </c>
      <c r="D14" s="62" t="s">
        <v>518</v>
      </c>
      <c r="E14" s="62" t="s">
        <v>518</v>
      </c>
      <c r="F14" s="62" t="s">
        <v>472</v>
      </c>
      <c r="G14" s="74" t="s">
        <v>1067</v>
      </c>
      <c r="H14" s="75" t="s">
        <v>1064</v>
      </c>
      <c r="I14" s="81">
        <v>10207</v>
      </c>
      <c r="J14" s="75" t="s">
        <v>1054</v>
      </c>
      <c r="K14" s="75" t="s">
        <v>1000</v>
      </c>
      <c r="L14" s="75">
        <v>0</v>
      </c>
      <c r="M14" s="75">
        <v>10001</v>
      </c>
      <c r="N14" s="75">
        <v>3</v>
      </c>
      <c r="O14" s="75">
        <v>3</v>
      </c>
      <c r="P14" s="75">
        <v>11</v>
      </c>
      <c r="Q14" s="75">
        <v>1</v>
      </c>
      <c r="R14" s="38" t="s">
        <v>579</v>
      </c>
      <c r="S14" s="38" t="s">
        <v>620</v>
      </c>
      <c r="T14" s="75">
        <v>11</v>
      </c>
      <c r="U14" s="75">
        <v>1</v>
      </c>
      <c r="V14" s="75">
        <v>1</v>
      </c>
      <c r="W14" s="75">
        <v>4</v>
      </c>
      <c r="X14" s="75">
        <v>1</v>
      </c>
      <c r="Y14" s="75">
        <v>8</v>
      </c>
      <c r="Z14" s="75" t="s">
        <v>523</v>
      </c>
      <c r="AA14" s="53" t="s">
        <v>523</v>
      </c>
      <c r="AB14" s="76" t="s">
        <v>785</v>
      </c>
      <c r="AC14" s="74"/>
      <c r="AD14" s="75" t="s">
        <v>81</v>
      </c>
      <c r="AE14" s="75" t="s">
        <v>570</v>
      </c>
      <c r="AF14" s="75">
        <v>1</v>
      </c>
      <c r="AG14" s="75" t="s">
        <v>524</v>
      </c>
      <c r="AH14" s="75">
        <v>0</v>
      </c>
      <c r="AI14" s="75">
        <v>20002</v>
      </c>
      <c r="AJ14" s="75">
        <v>20003</v>
      </c>
      <c r="AK14" s="75">
        <v>20004</v>
      </c>
      <c r="AL14" s="75">
        <v>0</v>
      </c>
      <c r="AM14" s="75">
        <v>1</v>
      </c>
      <c r="AN14" s="44">
        <v>4025</v>
      </c>
      <c r="AO14" s="75" t="s">
        <v>530</v>
      </c>
      <c r="AP14" t="s">
        <v>1050</v>
      </c>
      <c r="AR14" s="69"/>
      <c r="AS14" s="69"/>
      <c r="AT14" s="69"/>
      <c r="AU14" s="69"/>
      <c r="AV14" s="69"/>
      <c r="AY14" s="64"/>
    </row>
    <row r="15" spans="1:166" s="16" customFormat="1" ht="15" customHeight="1">
      <c r="A15" s="53"/>
      <c r="B15" s="81">
        <v>10207</v>
      </c>
      <c r="C15" s="62" t="s">
        <v>1017</v>
      </c>
      <c r="D15" s="62" t="s">
        <v>518</v>
      </c>
      <c r="E15" s="62" t="s">
        <v>518</v>
      </c>
      <c r="F15" s="62" t="s">
        <v>472</v>
      </c>
      <c r="G15" s="74" t="s">
        <v>1058</v>
      </c>
      <c r="H15" s="75" t="s">
        <v>1059</v>
      </c>
      <c r="I15" s="75" t="s">
        <v>1055</v>
      </c>
      <c r="J15" s="75" t="s">
        <v>1054</v>
      </c>
      <c r="K15" s="75" t="s">
        <v>1000</v>
      </c>
      <c r="L15" s="75">
        <v>0</v>
      </c>
      <c r="M15" s="75">
        <v>10001</v>
      </c>
      <c r="N15" s="75">
        <v>3</v>
      </c>
      <c r="O15" s="75">
        <v>3</v>
      </c>
      <c r="P15" s="75">
        <v>11</v>
      </c>
      <c r="Q15" s="75">
        <v>1</v>
      </c>
      <c r="R15" s="38" t="s">
        <v>580</v>
      </c>
      <c r="S15" s="38" t="s">
        <v>621</v>
      </c>
      <c r="T15" s="75">
        <v>11</v>
      </c>
      <c r="U15" s="75">
        <v>1</v>
      </c>
      <c r="V15" s="75">
        <v>1</v>
      </c>
      <c r="W15" s="75">
        <v>4</v>
      </c>
      <c r="X15" s="75">
        <v>1</v>
      </c>
      <c r="Y15" s="75">
        <v>8</v>
      </c>
      <c r="Z15" s="75" t="s">
        <v>523</v>
      </c>
      <c r="AA15" s="75" t="s">
        <v>523</v>
      </c>
      <c r="AB15" s="76" t="s">
        <v>785</v>
      </c>
      <c r="AC15" s="74"/>
      <c r="AD15" s="75" t="s">
        <v>81</v>
      </c>
      <c r="AE15" s="75" t="s">
        <v>570</v>
      </c>
      <c r="AF15" s="75">
        <v>1</v>
      </c>
      <c r="AG15" s="75" t="s">
        <v>524</v>
      </c>
      <c r="AH15" s="75">
        <v>0</v>
      </c>
      <c r="AI15" s="75">
        <v>20002</v>
      </c>
      <c r="AJ15" s="75">
        <v>20003</v>
      </c>
      <c r="AK15" s="75">
        <v>20004</v>
      </c>
      <c r="AL15" s="75">
        <v>0</v>
      </c>
      <c r="AM15" s="75">
        <v>1</v>
      </c>
      <c r="AN15" s="44" t="s">
        <v>1097</v>
      </c>
      <c r="AO15" s="75" t="s">
        <v>531</v>
      </c>
      <c r="AP15" t="s">
        <v>1050</v>
      </c>
      <c r="AR15" s="69" t="str">
        <f>CONCATENATE("optional uint32 ",LOWER(INDEX(B:AO,CEILING((ROW()-1)/51,1),MOD(ROW()-2,51)+1)))</f>
        <v>optional uint32 space_need</v>
      </c>
      <c r="AS15" s="69"/>
      <c r="AT15" s="69"/>
      <c r="AU15" s="69"/>
      <c r="AV15" s="69" t="e">
        <f ca="1">CONCATENATE("= ",ROW()-1,"; // ",GetComment(INDEX(B:AO,CEILING((ROW()-1)/51,1),MOD(ROW()-2,51)+1)))</f>
        <v>#NAME?</v>
      </c>
      <c r="AY15" s="64"/>
    </row>
    <row r="16" spans="1:166" s="16" customFormat="1">
      <c r="A16" s="53"/>
      <c r="B16" s="81">
        <v>10301</v>
      </c>
      <c r="C16" s="62" t="s">
        <v>1033</v>
      </c>
      <c r="D16" s="62" t="s">
        <v>518</v>
      </c>
      <c r="E16" s="62" t="s">
        <v>518</v>
      </c>
      <c r="F16" s="62" t="s">
        <v>472</v>
      </c>
      <c r="G16" s="74" t="s">
        <v>1106</v>
      </c>
      <c r="H16" s="75" t="s">
        <v>1107</v>
      </c>
      <c r="I16" s="81">
        <v>10302</v>
      </c>
      <c r="J16" s="75" t="s">
        <v>1054</v>
      </c>
      <c r="K16" s="75" t="s">
        <v>1000</v>
      </c>
      <c r="L16" s="75">
        <v>0</v>
      </c>
      <c r="M16" s="75">
        <v>10001</v>
      </c>
      <c r="N16" s="75">
        <v>3</v>
      </c>
      <c r="O16" s="75">
        <v>3</v>
      </c>
      <c r="P16" s="75">
        <v>11</v>
      </c>
      <c r="Q16" s="75">
        <v>1</v>
      </c>
      <c r="R16" s="38" t="s">
        <v>581</v>
      </c>
      <c r="S16" s="38" t="s">
        <v>622</v>
      </c>
      <c r="T16" s="75">
        <v>11</v>
      </c>
      <c r="U16" s="75">
        <v>1</v>
      </c>
      <c r="V16" s="75">
        <v>1</v>
      </c>
      <c r="W16" s="75" t="s">
        <v>1112</v>
      </c>
      <c r="X16" s="75">
        <v>1</v>
      </c>
      <c r="Y16" s="75" t="s">
        <v>1113</v>
      </c>
      <c r="Z16" s="75" t="s">
        <v>523</v>
      </c>
      <c r="AA16" s="75" t="s">
        <v>523</v>
      </c>
      <c r="AB16" s="76" t="s">
        <v>785</v>
      </c>
      <c r="AC16" s="74"/>
      <c r="AD16" s="75" t="s">
        <v>81</v>
      </c>
      <c r="AE16" s="75" t="s">
        <v>570</v>
      </c>
      <c r="AF16" s="75">
        <v>1</v>
      </c>
      <c r="AG16" s="75" t="s">
        <v>524</v>
      </c>
      <c r="AH16" s="75">
        <v>0</v>
      </c>
      <c r="AI16" s="75">
        <v>20002</v>
      </c>
      <c r="AJ16" s="75">
        <v>20003</v>
      </c>
      <c r="AK16" s="75">
        <v>20004</v>
      </c>
      <c r="AL16" s="75">
        <v>0</v>
      </c>
      <c r="AM16" s="75">
        <v>1</v>
      </c>
      <c r="AN16" s="44">
        <v>4025</v>
      </c>
      <c r="AO16" s="75" t="s">
        <v>537</v>
      </c>
      <c r="AP16" t="s">
        <v>1053</v>
      </c>
      <c r="AR16" s="69" t="str">
        <f>CONCATENATE("optional uint32 ",LOWER(INDEX(B:AO,CEILING((ROW()-1)/51,1),MOD(ROW()-2,51)+1)))</f>
        <v>optional uint32 condition_id</v>
      </c>
      <c r="AS16" s="69"/>
      <c r="AT16" s="69"/>
      <c r="AU16" s="69"/>
      <c r="AV16" s="69" t="e">
        <f ca="1">CONCATENATE("= ",ROW()-1,"; // ",GetComment(INDEX(B:AO,CEILING((ROW()-1)/51,1),MOD(ROW()-2,51)+1)))</f>
        <v>#NAME?</v>
      </c>
      <c r="AY16" s="29"/>
      <c r="AZ16" s="29"/>
    </row>
    <row r="17" spans="1:52" s="16" customFormat="1">
      <c r="A17" s="53"/>
      <c r="B17" s="81">
        <v>10302</v>
      </c>
      <c r="C17" s="62" t="s">
        <v>1011</v>
      </c>
      <c r="D17" s="62" t="s">
        <v>518</v>
      </c>
      <c r="E17" s="62" t="s">
        <v>518</v>
      </c>
      <c r="F17" s="62" t="s">
        <v>472</v>
      </c>
      <c r="G17" s="74" t="s">
        <v>1064</v>
      </c>
      <c r="H17" s="75" t="s">
        <v>1068</v>
      </c>
      <c r="I17" s="81">
        <v>10303</v>
      </c>
      <c r="J17" s="75" t="s">
        <v>1054</v>
      </c>
      <c r="K17" s="75" t="s">
        <v>1000</v>
      </c>
      <c r="L17" s="75">
        <v>0</v>
      </c>
      <c r="M17" s="75">
        <v>10001</v>
      </c>
      <c r="N17" s="75">
        <v>3</v>
      </c>
      <c r="O17" s="75">
        <v>3</v>
      </c>
      <c r="P17" s="75">
        <v>11</v>
      </c>
      <c r="Q17" s="75">
        <v>1</v>
      </c>
      <c r="R17" s="38" t="s">
        <v>572</v>
      </c>
      <c r="S17" s="38" t="s">
        <v>623</v>
      </c>
      <c r="T17" s="75">
        <v>11</v>
      </c>
      <c r="U17" s="75">
        <v>1</v>
      </c>
      <c r="V17" s="75">
        <v>1</v>
      </c>
      <c r="W17" s="75">
        <v>4</v>
      </c>
      <c r="X17" s="75">
        <v>1</v>
      </c>
      <c r="Y17" s="75">
        <v>8</v>
      </c>
      <c r="Z17" s="75" t="s">
        <v>523</v>
      </c>
      <c r="AA17" s="53" t="s">
        <v>523</v>
      </c>
      <c r="AB17" s="76" t="s">
        <v>785</v>
      </c>
      <c r="AC17" s="74"/>
      <c r="AD17" s="75" t="s">
        <v>81</v>
      </c>
      <c r="AE17" s="75" t="s">
        <v>570</v>
      </c>
      <c r="AF17" s="75">
        <v>1</v>
      </c>
      <c r="AG17" s="75" t="s">
        <v>524</v>
      </c>
      <c r="AH17" s="75">
        <v>0</v>
      </c>
      <c r="AI17" s="75">
        <v>20002</v>
      </c>
      <c r="AJ17" s="75">
        <v>20003</v>
      </c>
      <c r="AK17" s="75">
        <v>20004</v>
      </c>
      <c r="AL17" s="75">
        <v>0</v>
      </c>
      <c r="AM17" s="75">
        <v>1</v>
      </c>
      <c r="AN17" s="44">
        <v>4025</v>
      </c>
      <c r="AO17" s="75" t="s">
        <v>539</v>
      </c>
      <c r="AP17" t="s">
        <v>1053</v>
      </c>
      <c r="AR17" s="69"/>
      <c r="AS17" s="69"/>
      <c r="AT17" s="69"/>
      <c r="AU17" s="69"/>
      <c r="AV17" s="69"/>
      <c r="AY17" s="29"/>
      <c r="AZ17" s="29"/>
    </row>
    <row r="18" spans="1:52" s="16" customFormat="1">
      <c r="A18" s="53"/>
      <c r="B18" s="81">
        <v>10303</v>
      </c>
      <c r="C18" s="62" t="s">
        <v>1034</v>
      </c>
      <c r="D18" s="62" t="s">
        <v>518</v>
      </c>
      <c r="E18" s="62" t="s">
        <v>518</v>
      </c>
      <c r="F18" s="62" t="s">
        <v>472</v>
      </c>
      <c r="G18" s="74" t="s">
        <v>1069</v>
      </c>
      <c r="H18" s="75" t="s">
        <v>1068</v>
      </c>
      <c r="I18" s="81">
        <v>10304</v>
      </c>
      <c r="J18" s="75" t="s">
        <v>1054</v>
      </c>
      <c r="K18" s="75" t="s">
        <v>1000</v>
      </c>
      <c r="L18" s="75">
        <v>0</v>
      </c>
      <c r="M18" s="75">
        <v>10001</v>
      </c>
      <c r="N18" s="75">
        <v>3</v>
      </c>
      <c r="O18" s="75">
        <v>3</v>
      </c>
      <c r="P18" s="75">
        <v>11</v>
      </c>
      <c r="Q18" s="75">
        <v>1</v>
      </c>
      <c r="R18" s="38" t="s">
        <v>582</v>
      </c>
      <c r="S18" s="38" t="s">
        <v>624</v>
      </c>
      <c r="T18" s="75">
        <v>11</v>
      </c>
      <c r="U18" s="75">
        <v>1</v>
      </c>
      <c r="V18" s="75">
        <v>1</v>
      </c>
      <c r="W18" s="75">
        <v>4</v>
      </c>
      <c r="X18" s="75">
        <v>1</v>
      </c>
      <c r="Y18" s="75">
        <v>8</v>
      </c>
      <c r="Z18" s="75" t="s">
        <v>523</v>
      </c>
      <c r="AA18" s="75" t="s">
        <v>523</v>
      </c>
      <c r="AB18" s="76" t="s">
        <v>785</v>
      </c>
      <c r="AC18" s="74"/>
      <c r="AD18" s="75" t="s">
        <v>81</v>
      </c>
      <c r="AE18" s="75" t="s">
        <v>570</v>
      </c>
      <c r="AF18" s="75">
        <v>1</v>
      </c>
      <c r="AG18" s="75" t="s">
        <v>524</v>
      </c>
      <c r="AH18" s="75">
        <v>0</v>
      </c>
      <c r="AI18" s="75">
        <v>20002</v>
      </c>
      <c r="AJ18" s="75">
        <v>20003</v>
      </c>
      <c r="AK18" s="75">
        <v>20004</v>
      </c>
      <c r="AL18" s="75">
        <v>0</v>
      </c>
      <c r="AM18" s="75">
        <v>1</v>
      </c>
      <c r="AN18" s="44">
        <v>4025</v>
      </c>
      <c r="AO18" s="75" t="s">
        <v>540</v>
      </c>
      <c r="AP18" t="s">
        <v>1053</v>
      </c>
      <c r="AR18" s="69"/>
      <c r="AS18" s="69"/>
      <c r="AT18" s="69"/>
      <c r="AU18" s="69"/>
      <c r="AV18" s="69"/>
      <c r="AY18" s="29"/>
      <c r="AZ18" s="29"/>
    </row>
    <row r="19" spans="1:52" s="16" customFormat="1">
      <c r="A19" s="53"/>
      <c r="B19" s="81">
        <v>10304</v>
      </c>
      <c r="C19" s="62" t="s">
        <v>1001</v>
      </c>
      <c r="D19" s="62" t="s">
        <v>518</v>
      </c>
      <c r="E19" s="62" t="s">
        <v>518</v>
      </c>
      <c r="F19" s="62" t="s">
        <v>472</v>
      </c>
      <c r="G19" s="74" t="s">
        <v>1070</v>
      </c>
      <c r="H19" s="75" t="s">
        <v>1071</v>
      </c>
      <c r="I19" s="81">
        <v>10305</v>
      </c>
      <c r="J19" s="75" t="s">
        <v>1054</v>
      </c>
      <c r="K19" s="75" t="s">
        <v>1000</v>
      </c>
      <c r="L19" s="75">
        <v>0</v>
      </c>
      <c r="M19" s="75">
        <v>10001</v>
      </c>
      <c r="N19" s="75">
        <v>3</v>
      </c>
      <c r="O19" s="75">
        <v>3</v>
      </c>
      <c r="P19" s="75">
        <v>11</v>
      </c>
      <c r="Q19" s="75">
        <v>1</v>
      </c>
      <c r="R19" s="38" t="s">
        <v>583</v>
      </c>
      <c r="S19" s="38" t="s">
        <v>625</v>
      </c>
      <c r="T19" s="75">
        <v>11</v>
      </c>
      <c r="U19" s="75">
        <v>1</v>
      </c>
      <c r="V19" s="75">
        <v>1</v>
      </c>
      <c r="W19" s="75">
        <v>4</v>
      </c>
      <c r="X19" s="75">
        <v>1</v>
      </c>
      <c r="Y19" s="75">
        <v>8</v>
      </c>
      <c r="Z19" s="75" t="s">
        <v>523</v>
      </c>
      <c r="AA19" s="53" t="s">
        <v>523</v>
      </c>
      <c r="AB19" s="76" t="s">
        <v>785</v>
      </c>
      <c r="AC19" s="74"/>
      <c r="AD19" s="75" t="s">
        <v>81</v>
      </c>
      <c r="AE19" s="75" t="s">
        <v>570</v>
      </c>
      <c r="AF19" s="75">
        <v>1</v>
      </c>
      <c r="AG19" s="75" t="s">
        <v>524</v>
      </c>
      <c r="AH19" s="75">
        <v>0</v>
      </c>
      <c r="AI19" s="75">
        <v>20002</v>
      </c>
      <c r="AJ19" s="75">
        <v>20003</v>
      </c>
      <c r="AK19" s="75">
        <v>20004</v>
      </c>
      <c r="AL19" s="75">
        <v>0</v>
      </c>
      <c r="AM19" s="75">
        <v>1</v>
      </c>
      <c r="AN19" s="44" t="s">
        <v>1098</v>
      </c>
      <c r="AO19" s="75" t="s">
        <v>538</v>
      </c>
      <c r="AP19" t="s">
        <v>1053</v>
      </c>
      <c r="AR19" s="69" t="str">
        <f>CONCATENATE("optional uint32 ",LOWER(INDEX(B:AO,CEILING((ROW()-1)/51,1),MOD(ROW()-2,51)+1)))</f>
        <v>optional uint32 sweep_award_id</v>
      </c>
      <c r="AS19" s="69"/>
      <c r="AT19" s="69"/>
      <c r="AU19" s="69"/>
      <c r="AV19" s="69" t="e">
        <f ca="1">CONCATENATE("= ",ROW()-1,"; // ",GetComment(INDEX(B:AO,CEILING((ROW()-1)/51,1),MOD(ROW()-2,51)+1)))</f>
        <v>#NAME?</v>
      </c>
      <c r="AY19" s="29"/>
      <c r="AZ19" s="29"/>
    </row>
    <row r="20" spans="1:52" s="16" customFormat="1">
      <c r="A20" s="53"/>
      <c r="B20" s="81">
        <v>10305</v>
      </c>
      <c r="C20" s="62" t="s">
        <v>1012</v>
      </c>
      <c r="D20" s="62" t="s">
        <v>518</v>
      </c>
      <c r="E20" s="62" t="s">
        <v>518</v>
      </c>
      <c r="F20" s="62" t="s">
        <v>472</v>
      </c>
      <c r="G20" s="74" t="s">
        <v>1069</v>
      </c>
      <c r="H20" s="75" t="s">
        <v>1059</v>
      </c>
      <c r="I20" s="81">
        <v>10306</v>
      </c>
      <c r="J20" s="75" t="s">
        <v>1054</v>
      </c>
      <c r="K20" s="75" t="s">
        <v>1000</v>
      </c>
      <c r="L20" s="75">
        <v>0</v>
      </c>
      <c r="M20" s="75">
        <v>10001</v>
      </c>
      <c r="N20" s="75">
        <v>3</v>
      </c>
      <c r="O20" s="75">
        <v>3</v>
      </c>
      <c r="P20" s="75">
        <v>11</v>
      </c>
      <c r="Q20" s="75">
        <v>1</v>
      </c>
      <c r="R20" s="38" t="s">
        <v>584</v>
      </c>
      <c r="S20" s="38" t="s">
        <v>626</v>
      </c>
      <c r="T20" s="75" t="s">
        <v>1114</v>
      </c>
      <c r="U20" s="75" t="s">
        <v>1119</v>
      </c>
      <c r="V20" s="75" t="s">
        <v>1114</v>
      </c>
      <c r="W20" s="75" t="s">
        <v>1124</v>
      </c>
      <c r="X20" s="75" t="s">
        <v>1114</v>
      </c>
      <c r="Y20" s="75" t="s">
        <v>1123</v>
      </c>
      <c r="Z20" s="75" t="s">
        <v>523</v>
      </c>
      <c r="AA20" s="75" t="s">
        <v>523</v>
      </c>
      <c r="AB20" s="76" t="s">
        <v>785</v>
      </c>
      <c r="AC20" s="74"/>
      <c r="AD20" s="75" t="s">
        <v>81</v>
      </c>
      <c r="AE20" s="75" t="s">
        <v>570</v>
      </c>
      <c r="AF20" s="75">
        <v>1</v>
      </c>
      <c r="AG20" s="75" t="s">
        <v>524</v>
      </c>
      <c r="AH20" s="75">
        <v>0</v>
      </c>
      <c r="AI20" s="75">
        <v>20002</v>
      </c>
      <c r="AJ20" s="75">
        <v>20003</v>
      </c>
      <c r="AK20" s="75">
        <v>20004</v>
      </c>
      <c r="AL20" s="75">
        <v>0</v>
      </c>
      <c r="AM20" s="75">
        <v>1</v>
      </c>
      <c r="AN20" s="44">
        <v>4025</v>
      </c>
      <c r="AO20" s="75" t="s">
        <v>541</v>
      </c>
      <c r="AP20" t="s">
        <v>1053</v>
      </c>
      <c r="AR20" s="69"/>
      <c r="AS20" s="69"/>
      <c r="AT20" s="69"/>
      <c r="AU20" s="69"/>
      <c r="AV20" s="69"/>
      <c r="AY20" s="29"/>
      <c r="AZ20" s="29"/>
    </row>
    <row r="21" spans="1:52" s="16" customFormat="1" ht="14.25">
      <c r="A21" s="53"/>
      <c r="B21" s="81">
        <v>10306</v>
      </c>
      <c r="C21" s="79" t="s">
        <v>571</v>
      </c>
      <c r="D21" s="62" t="s">
        <v>518</v>
      </c>
      <c r="E21" s="62" t="s">
        <v>518</v>
      </c>
      <c r="F21" s="62" t="s">
        <v>472</v>
      </c>
      <c r="G21" s="74" t="s">
        <v>1067</v>
      </c>
      <c r="H21" s="75" t="s">
        <v>1064</v>
      </c>
      <c r="I21" s="81">
        <v>10307</v>
      </c>
      <c r="J21" s="75" t="s">
        <v>1054</v>
      </c>
      <c r="K21" s="75" t="s">
        <v>1000</v>
      </c>
      <c r="L21" s="75">
        <v>0</v>
      </c>
      <c r="M21" s="75">
        <v>10001</v>
      </c>
      <c r="N21" s="75">
        <v>3</v>
      </c>
      <c r="O21" s="75">
        <v>3</v>
      </c>
      <c r="P21" s="75">
        <v>11</v>
      </c>
      <c r="Q21" s="75">
        <v>1</v>
      </c>
      <c r="R21" s="38" t="s">
        <v>585</v>
      </c>
      <c r="S21" s="38" t="s">
        <v>627</v>
      </c>
      <c r="T21" s="75">
        <v>11</v>
      </c>
      <c r="U21" s="75">
        <v>1</v>
      </c>
      <c r="V21" s="75">
        <v>1</v>
      </c>
      <c r="W21" s="75">
        <v>4</v>
      </c>
      <c r="X21" s="75">
        <v>1</v>
      </c>
      <c r="Y21" s="75">
        <v>8</v>
      </c>
      <c r="Z21" s="75" t="s">
        <v>523</v>
      </c>
      <c r="AA21" s="53" t="s">
        <v>523</v>
      </c>
      <c r="AB21" s="76" t="s">
        <v>785</v>
      </c>
      <c r="AC21" s="74"/>
      <c r="AD21" s="75" t="s">
        <v>81</v>
      </c>
      <c r="AE21" s="75" t="s">
        <v>570</v>
      </c>
      <c r="AF21" s="75">
        <v>1</v>
      </c>
      <c r="AG21" s="75" t="s">
        <v>524</v>
      </c>
      <c r="AH21" s="75">
        <v>0</v>
      </c>
      <c r="AI21" s="75">
        <v>20002</v>
      </c>
      <c r="AJ21" s="75">
        <v>20003</v>
      </c>
      <c r="AK21" s="75">
        <v>20004</v>
      </c>
      <c r="AL21" s="75">
        <v>0</v>
      </c>
      <c r="AM21" s="75">
        <v>1</v>
      </c>
      <c r="AN21" s="44">
        <v>4025</v>
      </c>
      <c r="AO21" s="75" t="s">
        <v>542</v>
      </c>
      <c r="AP21" t="s">
        <v>1053</v>
      </c>
      <c r="AR21" s="69"/>
      <c r="AS21" s="69"/>
      <c r="AT21" s="69"/>
      <c r="AU21" s="69"/>
      <c r="AV21" s="69"/>
      <c r="AY21" s="29"/>
      <c r="AZ21" s="29"/>
    </row>
    <row r="22" spans="1:52" s="16" customFormat="1">
      <c r="A22" s="53" t="s">
        <v>999</v>
      </c>
      <c r="B22" s="81">
        <v>10307</v>
      </c>
      <c r="C22" s="62" t="s">
        <v>1010</v>
      </c>
      <c r="D22" s="62" t="s">
        <v>518</v>
      </c>
      <c r="E22" s="62" t="s">
        <v>518</v>
      </c>
      <c r="F22" s="62" t="s">
        <v>472</v>
      </c>
      <c r="G22" s="74" t="s">
        <v>1058</v>
      </c>
      <c r="H22" s="75" t="s">
        <v>1059</v>
      </c>
      <c r="I22" s="75" t="s">
        <v>1055</v>
      </c>
      <c r="J22" s="75" t="s">
        <v>1054</v>
      </c>
      <c r="K22" s="75" t="s">
        <v>1000</v>
      </c>
      <c r="L22" s="75">
        <v>0</v>
      </c>
      <c r="M22" s="75">
        <v>10001</v>
      </c>
      <c r="N22" s="75">
        <v>3</v>
      </c>
      <c r="O22" s="75">
        <v>3</v>
      </c>
      <c r="P22" s="75">
        <v>11</v>
      </c>
      <c r="Q22" s="75">
        <v>1</v>
      </c>
      <c r="R22" s="38" t="s">
        <v>586</v>
      </c>
      <c r="S22" s="38" t="s">
        <v>628</v>
      </c>
      <c r="T22" s="75">
        <v>11</v>
      </c>
      <c r="U22" s="75">
        <v>1</v>
      </c>
      <c r="V22" s="75">
        <v>1</v>
      </c>
      <c r="W22" s="75">
        <v>4</v>
      </c>
      <c r="X22" s="75">
        <v>1</v>
      </c>
      <c r="Y22" s="75">
        <v>8</v>
      </c>
      <c r="Z22" s="75" t="s">
        <v>523</v>
      </c>
      <c r="AA22" s="75" t="s">
        <v>523</v>
      </c>
      <c r="AB22" s="76" t="s">
        <v>785</v>
      </c>
      <c r="AC22" s="74"/>
      <c r="AD22" s="75" t="s">
        <v>81</v>
      </c>
      <c r="AE22" s="75" t="s">
        <v>570</v>
      </c>
      <c r="AF22" s="75">
        <v>1</v>
      </c>
      <c r="AG22" s="75" t="s">
        <v>524</v>
      </c>
      <c r="AH22" s="75">
        <v>0</v>
      </c>
      <c r="AI22" s="75">
        <v>20002</v>
      </c>
      <c r="AJ22" s="75">
        <v>20003</v>
      </c>
      <c r="AK22" s="75">
        <v>20004</v>
      </c>
      <c r="AL22" s="75">
        <v>0</v>
      </c>
      <c r="AM22" s="75">
        <v>1</v>
      </c>
      <c r="AN22" s="44" t="s">
        <v>1099</v>
      </c>
      <c r="AO22" s="75" t="s">
        <v>543</v>
      </c>
      <c r="AP22" t="s">
        <v>1053</v>
      </c>
      <c r="AR22" s="69" t="str">
        <f>CONCATENATE("optional uint32 ",LOWER(INDEX(B:AO,CEILING((ROW()-1)/51,1),MOD(ROW()-2,51)+1)))</f>
        <v>optional uint32 two_star_id</v>
      </c>
      <c r="AS22" s="69"/>
      <c r="AT22" s="69"/>
      <c r="AU22" s="69"/>
      <c r="AV22" s="69" t="e">
        <f ca="1">CONCATENATE("= ",ROW()-1,"; // ",GetComment(INDEX(B:AO,CEILING((ROW()-1)/51,1),MOD(ROW()-2,51)+1)))</f>
        <v>#NAME?</v>
      </c>
      <c r="AY22" s="29"/>
      <c r="AZ22" s="29"/>
    </row>
    <row r="23" spans="1:52" s="16" customFormat="1">
      <c r="A23" s="53"/>
      <c r="B23" s="81">
        <v>10401</v>
      </c>
      <c r="C23" s="80" t="s">
        <v>60</v>
      </c>
      <c r="D23" s="62" t="s">
        <v>518</v>
      </c>
      <c r="E23" s="62" t="s">
        <v>518</v>
      </c>
      <c r="F23" s="62" t="s">
        <v>472</v>
      </c>
      <c r="G23" s="74" t="s">
        <v>1108</v>
      </c>
      <c r="H23" s="75" t="s">
        <v>1109</v>
      </c>
      <c r="I23" s="81">
        <v>10402</v>
      </c>
      <c r="J23" s="75" t="s">
        <v>1054</v>
      </c>
      <c r="K23" s="75" t="s">
        <v>1000</v>
      </c>
      <c r="L23" s="75">
        <v>0</v>
      </c>
      <c r="M23" s="75">
        <v>10001</v>
      </c>
      <c r="N23" s="75">
        <v>3</v>
      </c>
      <c r="O23" s="75">
        <v>3</v>
      </c>
      <c r="P23" s="75">
        <v>11</v>
      </c>
      <c r="Q23" s="75">
        <v>1</v>
      </c>
      <c r="R23" s="38" t="s">
        <v>587</v>
      </c>
      <c r="S23" s="38" t="s">
        <v>629</v>
      </c>
      <c r="T23" s="75">
        <v>11</v>
      </c>
      <c r="U23" s="75">
        <v>1</v>
      </c>
      <c r="V23" s="75">
        <v>1</v>
      </c>
      <c r="W23" s="75">
        <v>4</v>
      </c>
      <c r="X23" s="75">
        <v>1</v>
      </c>
      <c r="Y23" s="75">
        <v>8</v>
      </c>
      <c r="Z23" s="75" t="s">
        <v>523</v>
      </c>
      <c r="AA23" s="75" t="s">
        <v>523</v>
      </c>
      <c r="AB23" s="76" t="s">
        <v>785</v>
      </c>
      <c r="AC23" s="74"/>
      <c r="AD23" s="75" t="s">
        <v>81</v>
      </c>
      <c r="AE23" s="75" t="s">
        <v>570</v>
      </c>
      <c r="AF23" s="75">
        <v>1</v>
      </c>
      <c r="AG23" s="75" t="s">
        <v>524</v>
      </c>
      <c r="AH23" s="75">
        <v>0</v>
      </c>
      <c r="AI23" s="75">
        <v>20002</v>
      </c>
      <c r="AJ23" s="75">
        <v>20003</v>
      </c>
      <c r="AK23" s="75">
        <v>20004</v>
      </c>
      <c r="AL23" s="75">
        <v>0</v>
      </c>
      <c r="AM23" s="75">
        <v>1</v>
      </c>
      <c r="AN23" s="44">
        <v>4025</v>
      </c>
      <c r="AO23" s="75" t="s">
        <v>544</v>
      </c>
      <c r="AP23" t="s">
        <v>1052</v>
      </c>
      <c r="AR23" s="69" t="str">
        <f>CONCATENATE("optional uint32 ",LOWER(INDEX(B:AO,CEILING((ROW()-1)/51,1),MOD(ROW()-2,51)+1)))</f>
        <v>optional uint32 two_star_value</v>
      </c>
      <c r="AS23" s="69"/>
      <c r="AT23" s="69"/>
      <c r="AU23" s="69"/>
      <c r="AV23" s="69" t="e">
        <f ca="1">CONCATENATE("= ",ROW()-1,"; // ",GetComment(INDEX(B:AO,CEILING((ROW()-1)/51,1),MOD(ROW()-2,51)+1)))</f>
        <v>#NAME?</v>
      </c>
      <c r="AY23" s="29"/>
      <c r="AZ23" s="29"/>
    </row>
    <row r="24" spans="1:52" s="16" customFormat="1">
      <c r="A24" s="53"/>
      <c r="B24" s="81">
        <v>10402</v>
      </c>
      <c r="C24" s="62" t="s">
        <v>1028</v>
      </c>
      <c r="D24" s="62" t="s">
        <v>518</v>
      </c>
      <c r="E24" s="62" t="s">
        <v>518</v>
      </c>
      <c r="F24" s="62" t="s">
        <v>472</v>
      </c>
      <c r="G24" s="74" t="s">
        <v>1072</v>
      </c>
      <c r="H24" s="75" t="s">
        <v>1073</v>
      </c>
      <c r="I24" s="81">
        <v>10403</v>
      </c>
      <c r="J24" s="75" t="s">
        <v>1054</v>
      </c>
      <c r="K24" s="75" t="s">
        <v>1000</v>
      </c>
      <c r="L24" s="75">
        <v>0</v>
      </c>
      <c r="M24" s="75">
        <v>10001</v>
      </c>
      <c r="N24" s="75">
        <v>3</v>
      </c>
      <c r="O24" s="75">
        <v>3</v>
      </c>
      <c r="P24" s="75">
        <v>11</v>
      </c>
      <c r="Q24" s="75">
        <v>1</v>
      </c>
      <c r="R24" s="38" t="s">
        <v>588</v>
      </c>
      <c r="S24" s="38" t="s">
        <v>630</v>
      </c>
      <c r="T24" s="75">
        <v>11</v>
      </c>
      <c r="U24" s="75">
        <v>1</v>
      </c>
      <c r="V24" s="75">
        <v>1</v>
      </c>
      <c r="W24" s="75">
        <v>4</v>
      </c>
      <c r="X24" s="75">
        <v>1</v>
      </c>
      <c r="Y24" s="75">
        <v>8</v>
      </c>
      <c r="Z24" s="75" t="s">
        <v>523</v>
      </c>
      <c r="AA24" s="53" t="s">
        <v>523</v>
      </c>
      <c r="AB24" s="76" t="s">
        <v>785</v>
      </c>
      <c r="AC24" s="74"/>
      <c r="AD24" s="75" t="s">
        <v>81</v>
      </c>
      <c r="AE24" s="75" t="s">
        <v>570</v>
      </c>
      <c r="AF24" s="75">
        <v>1</v>
      </c>
      <c r="AG24" s="75" t="s">
        <v>524</v>
      </c>
      <c r="AH24" s="75">
        <v>0</v>
      </c>
      <c r="AI24" s="75">
        <v>20002</v>
      </c>
      <c r="AJ24" s="75">
        <v>20003</v>
      </c>
      <c r="AK24" s="75">
        <v>20004</v>
      </c>
      <c r="AL24" s="75">
        <v>0</v>
      </c>
      <c r="AM24" s="75">
        <v>1</v>
      </c>
      <c r="AN24" s="44">
        <v>4025</v>
      </c>
      <c r="AO24" s="75" t="s">
        <v>545</v>
      </c>
      <c r="AP24" t="s">
        <v>1052</v>
      </c>
      <c r="AR24" s="69"/>
      <c r="AS24" s="69"/>
      <c r="AT24" s="69"/>
      <c r="AU24" s="69"/>
      <c r="AV24" s="69"/>
      <c r="AY24" s="29"/>
      <c r="AZ24" s="29"/>
    </row>
    <row r="25" spans="1:52" s="16" customFormat="1">
      <c r="A25" s="53"/>
      <c r="B25" s="81">
        <v>10403</v>
      </c>
      <c r="C25" s="62" t="s">
        <v>1026</v>
      </c>
      <c r="D25" s="62" t="s">
        <v>518</v>
      </c>
      <c r="E25" s="62" t="s">
        <v>518</v>
      </c>
      <c r="F25" s="62" t="s">
        <v>472</v>
      </c>
      <c r="G25" s="74" t="s">
        <v>1074</v>
      </c>
      <c r="H25" s="75" t="s">
        <v>1059</v>
      </c>
      <c r="I25" s="81">
        <v>10404</v>
      </c>
      <c r="J25" s="75" t="s">
        <v>1054</v>
      </c>
      <c r="K25" s="75" t="s">
        <v>1000</v>
      </c>
      <c r="L25" s="75">
        <v>0</v>
      </c>
      <c r="M25" s="75">
        <v>10001</v>
      </c>
      <c r="N25" s="75">
        <v>3</v>
      </c>
      <c r="O25" s="75">
        <v>3</v>
      </c>
      <c r="P25" s="75">
        <v>11</v>
      </c>
      <c r="Q25" s="75">
        <v>1</v>
      </c>
      <c r="R25" s="38" t="s">
        <v>589</v>
      </c>
      <c r="S25" s="38" t="s">
        <v>631</v>
      </c>
      <c r="T25" s="75">
        <v>11</v>
      </c>
      <c r="U25" s="75">
        <v>1</v>
      </c>
      <c r="V25" s="75">
        <v>1</v>
      </c>
      <c r="W25" s="75">
        <v>4</v>
      </c>
      <c r="X25" s="75">
        <v>1</v>
      </c>
      <c r="Y25" s="75">
        <v>8</v>
      </c>
      <c r="Z25" s="75" t="s">
        <v>523</v>
      </c>
      <c r="AA25" s="75" t="s">
        <v>523</v>
      </c>
      <c r="AB25" s="76" t="s">
        <v>785</v>
      </c>
      <c r="AC25" s="74"/>
      <c r="AD25" s="75" t="s">
        <v>81</v>
      </c>
      <c r="AE25" s="75" t="s">
        <v>570</v>
      </c>
      <c r="AF25" s="75">
        <v>1</v>
      </c>
      <c r="AG25" s="75" t="s">
        <v>524</v>
      </c>
      <c r="AH25" s="75">
        <v>0</v>
      </c>
      <c r="AI25" s="75">
        <v>20002</v>
      </c>
      <c r="AJ25" s="75">
        <v>20003</v>
      </c>
      <c r="AK25" s="75">
        <v>20004</v>
      </c>
      <c r="AL25" s="75">
        <v>0</v>
      </c>
      <c r="AM25" s="75">
        <v>1</v>
      </c>
      <c r="AN25" s="44">
        <v>4025</v>
      </c>
      <c r="AO25" s="75" t="s">
        <v>546</v>
      </c>
      <c r="AP25" t="s">
        <v>1052</v>
      </c>
      <c r="AR25" s="69"/>
      <c r="AS25" s="69"/>
      <c r="AT25" s="69"/>
      <c r="AU25" s="69"/>
      <c r="AV25" s="69"/>
      <c r="AY25" s="29"/>
      <c r="AZ25" s="29"/>
    </row>
    <row r="26" spans="1:52" s="16" customFormat="1">
      <c r="A26" s="53"/>
      <c r="B26" s="81">
        <v>10404</v>
      </c>
      <c r="C26" s="80" t="s">
        <v>61</v>
      </c>
      <c r="D26" s="62" t="s">
        <v>518</v>
      </c>
      <c r="E26" s="62" t="s">
        <v>518</v>
      </c>
      <c r="F26" s="62" t="s">
        <v>472</v>
      </c>
      <c r="G26" s="74" t="s">
        <v>1074</v>
      </c>
      <c r="H26" s="75" t="s">
        <v>1075</v>
      </c>
      <c r="I26" s="81">
        <v>10405</v>
      </c>
      <c r="J26" s="75" t="s">
        <v>1054</v>
      </c>
      <c r="K26" s="75" t="s">
        <v>1000</v>
      </c>
      <c r="L26" s="75">
        <v>0</v>
      </c>
      <c r="M26" s="75">
        <v>10001</v>
      </c>
      <c r="N26" s="75">
        <v>3</v>
      </c>
      <c r="O26" s="75">
        <v>3</v>
      </c>
      <c r="P26" s="75">
        <v>11</v>
      </c>
      <c r="Q26" s="75">
        <v>1</v>
      </c>
      <c r="R26" s="38" t="s">
        <v>590</v>
      </c>
      <c r="S26" s="38" t="s">
        <v>632</v>
      </c>
      <c r="T26" s="75">
        <v>11</v>
      </c>
      <c r="U26" s="75">
        <v>1</v>
      </c>
      <c r="V26" s="75">
        <v>1</v>
      </c>
      <c r="W26" s="75">
        <v>4</v>
      </c>
      <c r="X26" s="75">
        <v>1</v>
      </c>
      <c r="Y26" s="75">
        <v>8</v>
      </c>
      <c r="Z26" s="75" t="s">
        <v>523</v>
      </c>
      <c r="AA26" s="53" t="s">
        <v>523</v>
      </c>
      <c r="AB26" s="76" t="s">
        <v>785</v>
      </c>
      <c r="AC26" s="74"/>
      <c r="AD26" s="75" t="s">
        <v>81</v>
      </c>
      <c r="AE26" s="75" t="s">
        <v>570</v>
      </c>
      <c r="AF26" s="75">
        <v>1</v>
      </c>
      <c r="AG26" s="75" t="s">
        <v>524</v>
      </c>
      <c r="AH26" s="75">
        <v>0</v>
      </c>
      <c r="AI26" s="75">
        <v>20002</v>
      </c>
      <c r="AJ26" s="75">
        <v>20003</v>
      </c>
      <c r="AK26" s="75">
        <v>20004</v>
      </c>
      <c r="AL26" s="75">
        <v>0</v>
      </c>
      <c r="AM26" s="75">
        <v>1</v>
      </c>
      <c r="AN26" s="44" t="s">
        <v>1100</v>
      </c>
      <c r="AO26" s="75" t="s">
        <v>547</v>
      </c>
      <c r="AP26" t="s">
        <v>1052</v>
      </c>
      <c r="AR26" s="69" t="str">
        <f>CONCATENATE("optional uint32 ",LOWER(INDEX(B:AO,CEILING((ROW()-1)/51,1),MOD(ROW()-2,51)+1)))</f>
        <v>optional uint32 plot_begin_id</v>
      </c>
      <c r="AS26" s="69"/>
      <c r="AT26" s="69"/>
      <c r="AU26" s="69"/>
      <c r="AV26" s="69" t="e">
        <f ca="1">CONCATENATE("= ",ROW()-1,"; // ",GetComment(INDEX(B:AO,CEILING((ROW()-1)/51,1),MOD(ROW()-2,51)+1)))</f>
        <v>#NAME?</v>
      </c>
      <c r="AY26" s="29"/>
      <c r="AZ26" s="29"/>
    </row>
    <row r="27" spans="1:52" s="16" customFormat="1">
      <c r="A27" s="53"/>
      <c r="B27" s="81">
        <v>10405</v>
      </c>
      <c r="C27" s="62" t="s">
        <v>1022</v>
      </c>
      <c r="D27" s="62" t="s">
        <v>518</v>
      </c>
      <c r="E27" s="62" t="s">
        <v>518</v>
      </c>
      <c r="F27" s="62" t="s">
        <v>472</v>
      </c>
      <c r="G27" s="74" t="s">
        <v>1076</v>
      </c>
      <c r="H27" s="75" t="s">
        <v>1077</v>
      </c>
      <c r="I27" s="81">
        <v>10406</v>
      </c>
      <c r="J27" s="75" t="s">
        <v>1054</v>
      </c>
      <c r="K27" s="75" t="s">
        <v>1000</v>
      </c>
      <c r="L27" s="75">
        <v>0</v>
      </c>
      <c r="M27" s="75">
        <v>10001</v>
      </c>
      <c r="N27" s="75">
        <v>3</v>
      </c>
      <c r="O27" s="75">
        <v>3</v>
      </c>
      <c r="P27" s="75">
        <v>11</v>
      </c>
      <c r="Q27" s="75">
        <v>1</v>
      </c>
      <c r="R27" s="38" t="s">
        <v>591</v>
      </c>
      <c r="S27" s="38" t="s">
        <v>633</v>
      </c>
      <c r="T27" s="75" t="s">
        <v>1120</v>
      </c>
      <c r="U27" s="75" t="s">
        <v>1111</v>
      </c>
      <c r="V27" s="75" t="s">
        <v>1115</v>
      </c>
      <c r="W27" s="75" t="s">
        <v>1127</v>
      </c>
      <c r="X27" s="75" t="s">
        <v>1115</v>
      </c>
      <c r="Y27" s="75" t="s">
        <v>1126</v>
      </c>
      <c r="Z27" s="75" t="s">
        <v>523</v>
      </c>
      <c r="AA27" s="75" t="s">
        <v>523</v>
      </c>
      <c r="AB27" s="76" t="s">
        <v>785</v>
      </c>
      <c r="AC27" s="74"/>
      <c r="AD27" s="75" t="s">
        <v>81</v>
      </c>
      <c r="AE27" s="75" t="s">
        <v>570</v>
      </c>
      <c r="AF27" s="75">
        <v>1</v>
      </c>
      <c r="AG27" s="75" t="s">
        <v>524</v>
      </c>
      <c r="AH27" s="75">
        <v>0</v>
      </c>
      <c r="AI27" s="75">
        <v>20002</v>
      </c>
      <c r="AJ27" s="75">
        <v>20003</v>
      </c>
      <c r="AK27" s="75">
        <v>20004</v>
      </c>
      <c r="AL27" s="75">
        <v>0</v>
      </c>
      <c r="AM27" s="75">
        <v>1</v>
      </c>
      <c r="AN27" s="44">
        <v>4025</v>
      </c>
      <c r="AO27" s="75" t="s">
        <v>548</v>
      </c>
      <c r="AP27" t="s">
        <v>1052</v>
      </c>
      <c r="AR27" s="69"/>
      <c r="AS27" s="69"/>
      <c r="AT27" s="69"/>
      <c r="AU27" s="69"/>
      <c r="AV27" s="69"/>
      <c r="AY27" s="29"/>
      <c r="AZ27" s="29"/>
    </row>
    <row r="28" spans="1:52" s="16" customFormat="1">
      <c r="A28" s="53"/>
      <c r="B28" s="81">
        <v>10406</v>
      </c>
      <c r="C28" s="62" t="s">
        <v>1032</v>
      </c>
      <c r="D28" s="62" t="s">
        <v>518</v>
      </c>
      <c r="E28" s="62" t="s">
        <v>518</v>
      </c>
      <c r="F28" s="62" t="s">
        <v>472</v>
      </c>
      <c r="G28" s="74" t="s">
        <v>1078</v>
      </c>
      <c r="H28" s="75" t="s">
        <v>1071</v>
      </c>
      <c r="I28" s="81">
        <v>10407</v>
      </c>
      <c r="J28" s="75" t="s">
        <v>1054</v>
      </c>
      <c r="K28" s="75" t="s">
        <v>1000</v>
      </c>
      <c r="L28" s="75">
        <v>0</v>
      </c>
      <c r="M28" s="75">
        <v>10001</v>
      </c>
      <c r="N28" s="75">
        <v>3</v>
      </c>
      <c r="O28" s="75">
        <v>3</v>
      </c>
      <c r="P28" s="75">
        <v>11</v>
      </c>
      <c r="Q28" s="75">
        <v>1</v>
      </c>
      <c r="R28" s="38" t="s">
        <v>592</v>
      </c>
      <c r="S28" s="38" t="s">
        <v>634</v>
      </c>
      <c r="T28" s="75">
        <v>11</v>
      </c>
      <c r="U28" s="75">
        <v>1</v>
      </c>
      <c r="V28" s="75">
        <v>1</v>
      </c>
      <c r="W28" s="75">
        <v>4</v>
      </c>
      <c r="X28" s="75">
        <v>1</v>
      </c>
      <c r="Y28" s="75">
        <v>8</v>
      </c>
      <c r="Z28" s="75" t="s">
        <v>523</v>
      </c>
      <c r="AA28" s="53" t="s">
        <v>523</v>
      </c>
      <c r="AB28" s="76" t="s">
        <v>785</v>
      </c>
      <c r="AC28" s="74"/>
      <c r="AD28" s="75" t="s">
        <v>81</v>
      </c>
      <c r="AE28" s="75" t="s">
        <v>570</v>
      </c>
      <c r="AF28" s="75">
        <v>1</v>
      </c>
      <c r="AG28" s="75" t="s">
        <v>524</v>
      </c>
      <c r="AH28" s="75">
        <v>0</v>
      </c>
      <c r="AI28" s="75">
        <v>20002</v>
      </c>
      <c r="AJ28" s="75">
        <v>20003</v>
      </c>
      <c r="AK28" s="75">
        <v>20004</v>
      </c>
      <c r="AL28" s="75">
        <v>0</v>
      </c>
      <c r="AM28" s="75">
        <v>1</v>
      </c>
      <c r="AN28" s="44">
        <v>4025</v>
      </c>
      <c r="AO28" s="75" t="s">
        <v>549</v>
      </c>
      <c r="AP28" t="s">
        <v>1052</v>
      </c>
      <c r="AR28" s="69"/>
      <c r="AS28" s="69"/>
      <c r="AT28" s="69"/>
      <c r="AU28" s="69"/>
      <c r="AV28" s="69"/>
      <c r="AY28" s="29"/>
      <c r="AZ28" s="29"/>
    </row>
    <row r="29" spans="1:52" s="16" customFormat="1">
      <c r="A29" s="53"/>
      <c r="B29" s="81">
        <v>10407</v>
      </c>
      <c r="C29" s="62" t="s">
        <v>62</v>
      </c>
      <c r="D29" s="62" t="s">
        <v>518</v>
      </c>
      <c r="E29" s="62" t="s">
        <v>518</v>
      </c>
      <c r="F29" s="62" t="s">
        <v>472</v>
      </c>
      <c r="G29" s="74" t="s">
        <v>1079</v>
      </c>
      <c r="H29" s="75" t="s">
        <v>1080</v>
      </c>
      <c r="I29" s="75" t="s">
        <v>1055</v>
      </c>
      <c r="J29" s="75" t="s">
        <v>1054</v>
      </c>
      <c r="K29" s="75" t="s">
        <v>1000</v>
      </c>
      <c r="L29" s="75">
        <v>0</v>
      </c>
      <c r="M29" s="75">
        <v>10001</v>
      </c>
      <c r="N29" s="75">
        <v>3</v>
      </c>
      <c r="O29" s="75">
        <v>3</v>
      </c>
      <c r="P29" s="75">
        <v>11</v>
      </c>
      <c r="Q29" s="75">
        <v>1</v>
      </c>
      <c r="R29" s="38" t="s">
        <v>593</v>
      </c>
      <c r="S29" s="38" t="s">
        <v>635</v>
      </c>
      <c r="T29" s="75">
        <v>11</v>
      </c>
      <c r="U29" s="75">
        <v>1</v>
      </c>
      <c r="V29" s="75">
        <v>1</v>
      </c>
      <c r="W29" s="75">
        <v>4</v>
      </c>
      <c r="X29" s="75">
        <v>1</v>
      </c>
      <c r="Y29" s="75">
        <v>8</v>
      </c>
      <c r="Z29" s="75" t="s">
        <v>523</v>
      </c>
      <c r="AA29" s="75" t="s">
        <v>523</v>
      </c>
      <c r="AB29" s="76" t="s">
        <v>785</v>
      </c>
      <c r="AC29" s="74"/>
      <c r="AD29" s="75" t="s">
        <v>81</v>
      </c>
      <c r="AE29" s="75" t="s">
        <v>570</v>
      </c>
      <c r="AF29" s="75">
        <v>1</v>
      </c>
      <c r="AG29" s="75" t="s">
        <v>524</v>
      </c>
      <c r="AH29" s="75">
        <v>0</v>
      </c>
      <c r="AI29" s="75">
        <v>20002</v>
      </c>
      <c r="AJ29" s="75">
        <v>20003</v>
      </c>
      <c r="AK29" s="75">
        <v>20004</v>
      </c>
      <c r="AL29" s="75">
        <v>0</v>
      </c>
      <c r="AM29" s="75">
        <v>1</v>
      </c>
      <c r="AN29" s="44" t="s">
        <v>1101</v>
      </c>
      <c r="AO29" s="75" t="s">
        <v>550</v>
      </c>
      <c r="AP29" t="s">
        <v>1052</v>
      </c>
      <c r="AR29" s="69" t="str">
        <f>CONCATENATE("optional uint32 ",LOWER(INDEX(B:AO,CEILING((ROW()-1)/51,1),MOD(ROW()-2,51)+1)))</f>
        <v>optional uint32 scene</v>
      </c>
      <c r="AS29" s="69"/>
      <c r="AT29" s="69"/>
      <c r="AU29" s="69"/>
      <c r="AV29" s="69" t="e">
        <f ca="1">CONCATENATE("= ",ROW()-1,"; // ",GetComment(INDEX(B:AO,CEILING((ROW()-1)/51,1),MOD(ROW()-2,51)+1)))</f>
        <v>#NAME?</v>
      </c>
      <c r="AY29" s="29"/>
      <c r="AZ29" s="29"/>
    </row>
    <row r="30" spans="1:52" s="16" customFormat="1">
      <c r="A30" s="53"/>
      <c r="B30" s="81">
        <v>10501</v>
      </c>
      <c r="C30" s="62" t="s">
        <v>1023</v>
      </c>
      <c r="D30" s="62" t="s">
        <v>518</v>
      </c>
      <c r="E30" s="62" t="s">
        <v>518</v>
      </c>
      <c r="F30" s="62" t="s">
        <v>472</v>
      </c>
      <c r="G30" s="74" t="s">
        <v>1081</v>
      </c>
      <c r="H30" s="75" t="s">
        <v>1082</v>
      </c>
      <c r="I30" s="81">
        <v>10502</v>
      </c>
      <c r="J30" s="75" t="s">
        <v>1054</v>
      </c>
      <c r="K30" s="75" t="s">
        <v>1000</v>
      </c>
      <c r="L30" s="75">
        <v>0</v>
      </c>
      <c r="M30" s="75">
        <v>10001</v>
      </c>
      <c r="N30" s="75">
        <v>3</v>
      </c>
      <c r="O30" s="75">
        <v>3</v>
      </c>
      <c r="P30" s="75">
        <v>11</v>
      </c>
      <c r="Q30" s="75">
        <v>1</v>
      </c>
      <c r="R30" s="38" t="s">
        <v>594</v>
      </c>
      <c r="S30" s="38" t="s">
        <v>636</v>
      </c>
      <c r="T30" s="75" t="s">
        <v>1116</v>
      </c>
      <c r="U30" s="75" t="s">
        <v>1111</v>
      </c>
      <c r="V30" s="75" t="s">
        <v>1111</v>
      </c>
      <c r="W30" s="75" t="s">
        <v>1117</v>
      </c>
      <c r="X30" s="75" t="s">
        <v>1111</v>
      </c>
      <c r="Y30" s="75" t="s">
        <v>1118</v>
      </c>
      <c r="Z30" s="75" t="s">
        <v>523</v>
      </c>
      <c r="AA30" s="75" t="s">
        <v>523</v>
      </c>
      <c r="AB30" s="76" t="s">
        <v>785</v>
      </c>
      <c r="AC30" s="74"/>
      <c r="AD30" s="75" t="s">
        <v>81</v>
      </c>
      <c r="AE30" s="75" t="s">
        <v>570</v>
      </c>
      <c r="AF30" s="75">
        <v>1</v>
      </c>
      <c r="AG30" s="75" t="s">
        <v>524</v>
      </c>
      <c r="AH30" s="75">
        <v>0</v>
      </c>
      <c r="AI30" s="75">
        <v>20002</v>
      </c>
      <c r="AJ30" s="75">
        <v>20003</v>
      </c>
      <c r="AK30" s="75">
        <v>20004</v>
      </c>
      <c r="AL30" s="75">
        <v>0</v>
      </c>
      <c r="AM30" s="75">
        <v>1</v>
      </c>
      <c r="AN30" s="44">
        <v>4025</v>
      </c>
      <c r="AO30" s="75" t="s">
        <v>551</v>
      </c>
      <c r="AP30" t="s">
        <v>1049</v>
      </c>
      <c r="AR30" s="69" t="str">
        <f>CONCATENATE("optional uint32 ",LOWER(INDEX(B:AO,CEILING((ROW()-1)/51,1),MOD(ROW()-2,51)+1)))</f>
        <v>optional uint32 music</v>
      </c>
      <c r="AS30" s="69"/>
      <c r="AT30" s="69"/>
      <c r="AU30" s="69"/>
      <c r="AV30" s="69" t="e">
        <f ca="1">CONCATENATE("= ",ROW()-1,"; // ",GetComment(INDEX(B:AO,CEILING((ROW()-1)/51,1),MOD(ROW()-2,51)+1)))</f>
        <v>#NAME?</v>
      </c>
      <c r="AY30" s="29"/>
      <c r="AZ30" s="29"/>
    </row>
    <row r="31" spans="1:52" s="16" customFormat="1">
      <c r="A31" s="53"/>
      <c r="B31" s="81">
        <v>10502</v>
      </c>
      <c r="C31" s="62" t="s">
        <v>1019</v>
      </c>
      <c r="D31" s="62" t="s">
        <v>518</v>
      </c>
      <c r="E31" s="62" t="s">
        <v>518</v>
      </c>
      <c r="F31" s="62" t="s">
        <v>472</v>
      </c>
      <c r="G31" s="74" t="s">
        <v>1083</v>
      </c>
      <c r="H31" s="75" t="s">
        <v>1084</v>
      </c>
      <c r="I31" s="81">
        <v>10503</v>
      </c>
      <c r="J31" s="75" t="s">
        <v>1054</v>
      </c>
      <c r="K31" s="75" t="s">
        <v>1000</v>
      </c>
      <c r="L31" s="75">
        <v>0</v>
      </c>
      <c r="M31" s="75">
        <v>10001</v>
      </c>
      <c r="N31" s="75">
        <v>3</v>
      </c>
      <c r="O31" s="75">
        <v>3</v>
      </c>
      <c r="P31" s="75">
        <v>11</v>
      </c>
      <c r="Q31" s="75">
        <v>1</v>
      </c>
      <c r="R31" s="38" t="s">
        <v>595</v>
      </c>
      <c r="S31" s="38" t="s">
        <v>637</v>
      </c>
      <c r="T31" s="75">
        <v>11</v>
      </c>
      <c r="U31" s="75">
        <v>1</v>
      </c>
      <c r="V31" s="75">
        <v>1</v>
      </c>
      <c r="W31" s="75">
        <v>4</v>
      </c>
      <c r="X31" s="75">
        <v>1</v>
      </c>
      <c r="Y31" s="75">
        <v>8</v>
      </c>
      <c r="Z31" s="75" t="s">
        <v>523</v>
      </c>
      <c r="AA31" s="53" t="s">
        <v>523</v>
      </c>
      <c r="AB31" s="76" t="s">
        <v>785</v>
      </c>
      <c r="AC31" s="74"/>
      <c r="AD31" s="75" t="s">
        <v>81</v>
      </c>
      <c r="AE31" s="75" t="s">
        <v>570</v>
      </c>
      <c r="AF31" s="75">
        <v>1</v>
      </c>
      <c r="AG31" s="75" t="s">
        <v>524</v>
      </c>
      <c r="AH31" s="75">
        <v>0</v>
      </c>
      <c r="AI31" s="75">
        <v>20002</v>
      </c>
      <c r="AJ31" s="75">
        <v>20003</v>
      </c>
      <c r="AK31" s="75">
        <v>20004</v>
      </c>
      <c r="AL31" s="75">
        <v>0</v>
      </c>
      <c r="AM31" s="75">
        <v>1</v>
      </c>
      <c r="AN31" s="44">
        <v>4025</v>
      </c>
      <c r="AO31" s="75" t="s">
        <v>552</v>
      </c>
      <c r="AP31" t="s">
        <v>1049</v>
      </c>
      <c r="AR31" s="69"/>
      <c r="AS31" s="69"/>
      <c r="AT31" s="69"/>
      <c r="AU31" s="69"/>
      <c r="AV31" s="69"/>
      <c r="AY31" s="29"/>
      <c r="AZ31" s="29"/>
    </row>
    <row r="32" spans="1:52" s="16" customFormat="1">
      <c r="A32" s="53"/>
      <c r="B32" s="81">
        <v>10503</v>
      </c>
      <c r="C32" s="62" t="s">
        <v>1027</v>
      </c>
      <c r="D32" s="62" t="s">
        <v>518</v>
      </c>
      <c r="E32" s="62" t="s">
        <v>518</v>
      </c>
      <c r="F32" s="62" t="s">
        <v>472</v>
      </c>
      <c r="G32" s="74" t="s">
        <v>1085</v>
      </c>
      <c r="H32" s="75" t="s">
        <v>1057</v>
      </c>
      <c r="I32" s="81">
        <v>10504</v>
      </c>
      <c r="J32" s="75" t="s">
        <v>1054</v>
      </c>
      <c r="K32" s="75" t="s">
        <v>1000</v>
      </c>
      <c r="L32" s="75">
        <v>0</v>
      </c>
      <c r="M32" s="75">
        <v>10001</v>
      </c>
      <c r="N32" s="75">
        <v>3</v>
      </c>
      <c r="O32" s="75">
        <v>3</v>
      </c>
      <c r="P32" s="75">
        <v>11</v>
      </c>
      <c r="Q32" s="75">
        <v>1</v>
      </c>
      <c r="R32" s="38" t="s">
        <v>596</v>
      </c>
      <c r="S32" s="38" t="s">
        <v>638</v>
      </c>
      <c r="T32" s="75">
        <v>11</v>
      </c>
      <c r="U32" s="75">
        <v>1</v>
      </c>
      <c r="V32" s="75">
        <v>1</v>
      </c>
      <c r="W32" s="75">
        <v>4</v>
      </c>
      <c r="X32" s="75">
        <v>1</v>
      </c>
      <c r="Y32" s="75">
        <v>8</v>
      </c>
      <c r="Z32" s="75" t="s">
        <v>523</v>
      </c>
      <c r="AA32" s="75" t="s">
        <v>523</v>
      </c>
      <c r="AB32" s="76" t="s">
        <v>785</v>
      </c>
      <c r="AC32" s="74"/>
      <c r="AD32" s="75" t="s">
        <v>81</v>
      </c>
      <c r="AE32" s="75" t="s">
        <v>570</v>
      </c>
      <c r="AF32" s="75">
        <v>1</v>
      </c>
      <c r="AG32" s="75" t="s">
        <v>524</v>
      </c>
      <c r="AH32" s="75">
        <v>0</v>
      </c>
      <c r="AI32" s="75">
        <v>20002</v>
      </c>
      <c r="AJ32" s="75">
        <v>20003</v>
      </c>
      <c r="AK32" s="75">
        <v>20004</v>
      </c>
      <c r="AL32" s="75">
        <v>0</v>
      </c>
      <c r="AM32" s="75">
        <v>1</v>
      </c>
      <c r="AN32" s="44">
        <v>4025</v>
      </c>
      <c r="AO32" s="75" t="s">
        <v>553</v>
      </c>
      <c r="AP32" t="s">
        <v>1049</v>
      </c>
      <c r="AR32" s="69"/>
      <c r="AS32" s="69"/>
      <c r="AT32" s="69"/>
      <c r="AU32" s="69"/>
      <c r="AV32" s="69"/>
      <c r="AY32" s="29"/>
      <c r="AZ32" s="29"/>
    </row>
    <row r="33" spans="1:52" s="16" customFormat="1">
      <c r="A33" s="53"/>
      <c r="B33" s="81">
        <v>10504</v>
      </c>
      <c r="C33" s="62" t="s">
        <v>1015</v>
      </c>
      <c r="D33" s="62" t="s">
        <v>518</v>
      </c>
      <c r="E33" s="62" t="s">
        <v>518</v>
      </c>
      <c r="F33" s="62" t="s">
        <v>472</v>
      </c>
      <c r="G33" s="74" t="s">
        <v>1086</v>
      </c>
      <c r="H33" s="75" t="s">
        <v>1072</v>
      </c>
      <c r="I33" s="81">
        <v>10505</v>
      </c>
      <c r="J33" s="75" t="s">
        <v>1054</v>
      </c>
      <c r="K33" s="75" t="s">
        <v>1000</v>
      </c>
      <c r="L33" s="75">
        <v>0</v>
      </c>
      <c r="M33" s="75">
        <v>10001</v>
      </c>
      <c r="N33" s="75">
        <v>3</v>
      </c>
      <c r="O33" s="75">
        <v>3</v>
      </c>
      <c r="P33" s="75">
        <v>11</v>
      </c>
      <c r="Q33" s="75">
        <v>1</v>
      </c>
      <c r="R33" s="38" t="s">
        <v>597</v>
      </c>
      <c r="S33" s="38" t="s">
        <v>639</v>
      </c>
      <c r="T33" s="75">
        <v>11</v>
      </c>
      <c r="U33" s="75">
        <v>1</v>
      </c>
      <c r="V33" s="75">
        <v>1</v>
      </c>
      <c r="W33" s="75">
        <v>4</v>
      </c>
      <c r="X33" s="75">
        <v>1</v>
      </c>
      <c r="Y33" s="75">
        <v>8</v>
      </c>
      <c r="Z33" s="75" t="s">
        <v>523</v>
      </c>
      <c r="AA33" s="53" t="s">
        <v>523</v>
      </c>
      <c r="AB33" s="76" t="s">
        <v>785</v>
      </c>
      <c r="AC33" s="74"/>
      <c r="AD33" s="75" t="s">
        <v>81</v>
      </c>
      <c r="AE33" s="75" t="s">
        <v>570</v>
      </c>
      <c r="AF33" s="75">
        <v>1</v>
      </c>
      <c r="AG33" s="75" t="s">
        <v>524</v>
      </c>
      <c r="AH33" s="75">
        <v>0</v>
      </c>
      <c r="AI33" s="75">
        <v>20002</v>
      </c>
      <c r="AJ33" s="75">
        <v>20003</v>
      </c>
      <c r="AK33" s="75">
        <v>20004</v>
      </c>
      <c r="AL33" s="75">
        <v>0</v>
      </c>
      <c r="AM33" s="75">
        <v>1</v>
      </c>
      <c r="AN33" s="44" t="s">
        <v>1102</v>
      </c>
      <c r="AO33" s="75" t="s">
        <v>554</v>
      </c>
      <c r="AP33" t="s">
        <v>1049</v>
      </c>
      <c r="AR33" s="69" t="str">
        <f>CONCATENATE("optional uint32 ",LOWER(INDEX(B:AO,CEILING((ROW()-1)/51,1),MOD(ROW()-2,51)+1)))</f>
        <v>optional uint32 home_score</v>
      </c>
      <c r="AS33" s="69"/>
      <c r="AT33" s="69"/>
      <c r="AU33" s="69"/>
      <c r="AV33" s="69" t="e">
        <f ca="1">CONCATENATE("= ",ROW()-1,"; // ",GetComment(INDEX(B:AO,CEILING((ROW()-1)/51,1),MOD(ROW()-2,51)+1)))</f>
        <v>#NAME?</v>
      </c>
      <c r="AY33" s="29"/>
      <c r="AZ33" s="29"/>
    </row>
    <row r="34" spans="1:52" s="16" customFormat="1">
      <c r="A34" s="53"/>
      <c r="B34" s="81">
        <v>10505</v>
      </c>
      <c r="C34" s="62" t="s">
        <v>1025</v>
      </c>
      <c r="D34" s="62" t="s">
        <v>518</v>
      </c>
      <c r="E34" s="62" t="s">
        <v>518</v>
      </c>
      <c r="F34" s="62" t="s">
        <v>472</v>
      </c>
      <c r="G34" s="74" t="s">
        <v>1087</v>
      </c>
      <c r="H34" s="75" t="s">
        <v>1088</v>
      </c>
      <c r="I34" s="81">
        <v>10506</v>
      </c>
      <c r="J34" s="75" t="s">
        <v>1054</v>
      </c>
      <c r="K34" s="75" t="s">
        <v>1000</v>
      </c>
      <c r="L34" s="75">
        <v>0</v>
      </c>
      <c r="M34" s="75">
        <v>10001</v>
      </c>
      <c r="N34" s="75">
        <v>3</v>
      </c>
      <c r="O34" s="75">
        <v>3</v>
      </c>
      <c r="P34" s="75">
        <v>11</v>
      </c>
      <c r="Q34" s="75">
        <v>1</v>
      </c>
      <c r="R34" s="38" t="s">
        <v>598</v>
      </c>
      <c r="S34" s="38" t="s">
        <v>640</v>
      </c>
      <c r="T34" s="75" t="s">
        <v>1114</v>
      </c>
      <c r="U34" s="75" t="s">
        <v>1119</v>
      </c>
      <c r="V34" s="75" t="s">
        <v>1114</v>
      </c>
      <c r="W34" s="75" t="s">
        <v>1124</v>
      </c>
      <c r="X34" s="75" t="s">
        <v>1114</v>
      </c>
      <c r="Y34" s="75" t="s">
        <v>1123</v>
      </c>
      <c r="Z34" s="75" t="s">
        <v>523</v>
      </c>
      <c r="AA34" s="75" t="s">
        <v>523</v>
      </c>
      <c r="AB34" s="76" t="s">
        <v>785</v>
      </c>
      <c r="AC34" s="74"/>
      <c r="AD34" s="75" t="s">
        <v>81</v>
      </c>
      <c r="AE34" s="75" t="s">
        <v>570</v>
      </c>
      <c r="AF34" s="75">
        <v>1</v>
      </c>
      <c r="AG34" s="75" t="s">
        <v>524</v>
      </c>
      <c r="AH34" s="75">
        <v>0</v>
      </c>
      <c r="AI34" s="75">
        <v>20002</v>
      </c>
      <c r="AJ34" s="75">
        <v>20003</v>
      </c>
      <c r="AK34" s="75">
        <v>20004</v>
      </c>
      <c r="AL34" s="75">
        <v>0</v>
      </c>
      <c r="AM34" s="75">
        <v>1</v>
      </c>
      <c r="AN34" s="44">
        <v>4025</v>
      </c>
      <c r="AO34" s="75" t="s">
        <v>555</v>
      </c>
      <c r="AP34" t="s">
        <v>1049</v>
      </c>
      <c r="AR34" s="69"/>
      <c r="AS34" s="69"/>
      <c r="AT34" s="69"/>
      <c r="AU34" s="69"/>
      <c r="AV34" s="69"/>
      <c r="AY34" s="29"/>
      <c r="AZ34" s="29"/>
    </row>
    <row r="35" spans="1:52" s="16" customFormat="1">
      <c r="A35" s="53"/>
      <c r="B35" s="81">
        <v>10506</v>
      </c>
      <c r="C35" s="62" t="s">
        <v>1018</v>
      </c>
      <c r="D35" s="62" t="s">
        <v>518</v>
      </c>
      <c r="E35" s="62" t="s">
        <v>518</v>
      </c>
      <c r="F35" s="62" t="s">
        <v>472</v>
      </c>
      <c r="G35" s="74" t="s">
        <v>1089</v>
      </c>
      <c r="H35" s="75" t="s">
        <v>1090</v>
      </c>
      <c r="I35" s="81">
        <v>10507</v>
      </c>
      <c r="J35" s="75" t="s">
        <v>1054</v>
      </c>
      <c r="K35" s="75" t="s">
        <v>1000</v>
      </c>
      <c r="L35" s="75">
        <v>0</v>
      </c>
      <c r="M35" s="75">
        <v>10001</v>
      </c>
      <c r="N35" s="75">
        <v>3</v>
      </c>
      <c r="O35" s="75">
        <v>3</v>
      </c>
      <c r="P35" s="75">
        <v>11</v>
      </c>
      <c r="Q35" s="75">
        <v>1</v>
      </c>
      <c r="R35" s="38" t="s">
        <v>599</v>
      </c>
      <c r="S35" s="38" t="s">
        <v>641</v>
      </c>
      <c r="T35" s="75">
        <v>11</v>
      </c>
      <c r="U35" s="75">
        <v>1</v>
      </c>
      <c r="V35" s="75">
        <v>1</v>
      </c>
      <c r="W35" s="75">
        <v>4</v>
      </c>
      <c r="X35" s="75">
        <v>1</v>
      </c>
      <c r="Y35" s="75">
        <v>8</v>
      </c>
      <c r="Z35" s="75" t="s">
        <v>523</v>
      </c>
      <c r="AA35" s="53" t="s">
        <v>523</v>
      </c>
      <c r="AB35" s="76" t="s">
        <v>785</v>
      </c>
      <c r="AC35" s="74"/>
      <c r="AD35" s="75" t="s">
        <v>81</v>
      </c>
      <c r="AE35" s="75" t="s">
        <v>570</v>
      </c>
      <c r="AF35" s="75">
        <v>1</v>
      </c>
      <c r="AG35" s="75" t="s">
        <v>524</v>
      </c>
      <c r="AH35" s="75">
        <v>0</v>
      </c>
      <c r="AI35" s="75">
        <v>20002</v>
      </c>
      <c r="AJ35" s="75">
        <v>20003</v>
      </c>
      <c r="AK35" s="75">
        <v>20004</v>
      </c>
      <c r="AL35" s="75">
        <v>0</v>
      </c>
      <c r="AM35" s="75">
        <v>1</v>
      </c>
      <c r="AN35" s="44">
        <v>4025</v>
      </c>
      <c r="AO35" s="75" t="s">
        <v>556</v>
      </c>
      <c r="AP35" t="s">
        <v>1049</v>
      </c>
      <c r="AR35" s="69"/>
      <c r="AS35" s="69"/>
      <c r="AT35" s="69"/>
      <c r="AU35" s="69"/>
      <c r="AV35" s="69"/>
      <c r="AY35" s="29"/>
      <c r="AZ35" s="29"/>
    </row>
    <row r="36" spans="1:52" s="16" customFormat="1">
      <c r="A36" s="53"/>
      <c r="B36" s="81">
        <v>10507</v>
      </c>
      <c r="C36" s="62" t="s">
        <v>1007</v>
      </c>
      <c r="D36" s="62" t="s">
        <v>518</v>
      </c>
      <c r="E36" s="62" t="s">
        <v>518</v>
      </c>
      <c r="F36" s="62" t="s">
        <v>472</v>
      </c>
      <c r="G36" s="74" t="s">
        <v>1091</v>
      </c>
      <c r="H36" s="75" t="s">
        <v>1092</v>
      </c>
      <c r="I36" s="75" t="s">
        <v>1055</v>
      </c>
      <c r="J36" s="75" t="s">
        <v>1054</v>
      </c>
      <c r="K36" s="75" t="s">
        <v>1000</v>
      </c>
      <c r="L36" s="75">
        <v>0</v>
      </c>
      <c r="M36" s="75">
        <v>10001</v>
      </c>
      <c r="N36" s="75">
        <v>3</v>
      </c>
      <c r="O36" s="75">
        <v>3</v>
      </c>
      <c r="P36" s="75">
        <v>11</v>
      </c>
      <c r="Q36" s="75">
        <v>1</v>
      </c>
      <c r="R36" s="38" t="s">
        <v>600</v>
      </c>
      <c r="S36" s="38" t="s">
        <v>642</v>
      </c>
      <c r="T36" s="75">
        <v>11</v>
      </c>
      <c r="U36" s="75">
        <v>1</v>
      </c>
      <c r="V36" s="75">
        <v>1</v>
      </c>
      <c r="W36" s="75">
        <v>4</v>
      </c>
      <c r="X36" s="75">
        <v>1</v>
      </c>
      <c r="Y36" s="75">
        <v>8</v>
      </c>
      <c r="Z36" s="75" t="s">
        <v>523</v>
      </c>
      <c r="AA36" s="75" t="s">
        <v>523</v>
      </c>
      <c r="AB36" s="76" t="s">
        <v>785</v>
      </c>
      <c r="AC36" s="74"/>
      <c r="AD36" s="75" t="s">
        <v>81</v>
      </c>
      <c r="AE36" s="75" t="s">
        <v>570</v>
      </c>
      <c r="AF36" s="75">
        <v>1</v>
      </c>
      <c r="AG36" s="75" t="s">
        <v>524</v>
      </c>
      <c r="AH36" s="75">
        <v>0</v>
      </c>
      <c r="AI36" s="75">
        <v>20002</v>
      </c>
      <c r="AJ36" s="75">
        <v>20003</v>
      </c>
      <c r="AK36" s="75">
        <v>20004</v>
      </c>
      <c r="AL36" s="75">
        <v>0</v>
      </c>
      <c r="AM36" s="75">
        <v>1</v>
      </c>
      <c r="AN36" s="44" t="s">
        <v>1103</v>
      </c>
      <c r="AO36" s="75" t="s">
        <v>557</v>
      </c>
      <c r="AP36" t="s">
        <v>1049</v>
      </c>
      <c r="AR36" s="69" t="str">
        <f>CONCATENATE("optional uint32 ",LOWER(INDEX(B:AO,CEILING((ROW()-1)/51,1),MOD(ROW()-2,51)+1)))</f>
        <v>optional uint32 npc_id2</v>
      </c>
      <c r="AS36" s="69"/>
      <c r="AT36" s="69"/>
      <c r="AU36" s="69"/>
      <c r="AV36" s="69" t="e">
        <f ca="1">CONCATENATE("= ",ROW()-1,"; // ",GetComment(INDEX(B:AO,CEILING((ROW()-1)/51,1),MOD(ROW()-2,51)+1)))</f>
        <v>#NAME?</v>
      </c>
      <c r="AY36" s="29"/>
      <c r="AZ36" s="29"/>
    </row>
    <row r="37" spans="1:52" s="16" customFormat="1" ht="12.75" customHeight="1">
      <c r="A37" s="53"/>
      <c r="B37" s="81">
        <v>10601</v>
      </c>
      <c r="C37" s="62" t="s">
        <v>1006</v>
      </c>
      <c r="D37" s="62" t="s">
        <v>518</v>
      </c>
      <c r="E37" s="62" t="s">
        <v>518</v>
      </c>
      <c r="F37" s="62" t="s">
        <v>472</v>
      </c>
      <c r="G37" s="74" t="s">
        <v>1060</v>
      </c>
      <c r="H37" s="75" t="s">
        <v>1061</v>
      </c>
      <c r="I37" s="81">
        <v>10602</v>
      </c>
      <c r="J37" s="75" t="s">
        <v>1054</v>
      </c>
      <c r="K37" s="75" t="s">
        <v>1000</v>
      </c>
      <c r="L37" s="75">
        <v>0</v>
      </c>
      <c r="M37" s="75">
        <v>10001</v>
      </c>
      <c r="N37" s="75">
        <v>3</v>
      </c>
      <c r="O37" s="75">
        <v>3</v>
      </c>
      <c r="P37" s="75">
        <v>11</v>
      </c>
      <c r="Q37" s="75">
        <v>1</v>
      </c>
      <c r="R37" s="38" t="s">
        <v>601</v>
      </c>
      <c r="S37" s="38" t="s">
        <v>643</v>
      </c>
      <c r="T37" s="75">
        <v>11</v>
      </c>
      <c r="U37" s="75">
        <v>1</v>
      </c>
      <c r="V37" s="75">
        <v>1</v>
      </c>
      <c r="W37" s="75" t="s">
        <v>1122</v>
      </c>
      <c r="X37" s="75">
        <v>1</v>
      </c>
      <c r="Y37" s="75" t="s">
        <v>1121</v>
      </c>
      <c r="Z37" s="75" t="s">
        <v>523</v>
      </c>
      <c r="AA37" s="75" t="s">
        <v>523</v>
      </c>
      <c r="AB37" s="76" t="s">
        <v>785</v>
      </c>
      <c r="AC37" s="74"/>
      <c r="AD37" s="75" t="s">
        <v>81</v>
      </c>
      <c r="AE37" s="75" t="s">
        <v>570</v>
      </c>
      <c r="AF37" s="75">
        <v>1</v>
      </c>
      <c r="AG37" s="75" t="s">
        <v>524</v>
      </c>
      <c r="AH37" s="75">
        <v>0</v>
      </c>
      <c r="AI37" s="75">
        <v>20002</v>
      </c>
      <c r="AJ37" s="75">
        <v>20003</v>
      </c>
      <c r="AK37" s="75">
        <v>20004</v>
      </c>
      <c r="AL37" s="75">
        <v>0</v>
      </c>
      <c r="AM37" s="75">
        <v>1</v>
      </c>
      <c r="AN37" s="44">
        <v>4025</v>
      </c>
      <c r="AO37" s="75" t="s">
        <v>558</v>
      </c>
      <c r="AP37" t="s">
        <v>1048</v>
      </c>
      <c r="AR37" s="69" t="str">
        <f>CONCATENATE("optional uint32 ",LOWER(INDEX(B:AO,CEILING((ROW()-1)/51,1),MOD(ROW()-2,51)+1)))</f>
        <v>optional uint32 npc_id3</v>
      </c>
      <c r="AS37" s="69"/>
      <c r="AT37" s="69"/>
      <c r="AU37" s="69"/>
      <c r="AV37" s="69" t="e">
        <f ca="1">CONCATENATE("= ",ROW()-1,"; // ",GetComment(INDEX(B:AO,CEILING((ROW()-1)/51,1),MOD(ROW()-2,51)+1)))</f>
        <v>#NAME?</v>
      </c>
      <c r="AY37" s="29"/>
      <c r="AZ37" s="29"/>
    </row>
    <row r="38" spans="1:52" s="16" customFormat="1">
      <c r="A38" s="53"/>
      <c r="B38" s="81">
        <v>10602</v>
      </c>
      <c r="C38" s="62" t="s">
        <v>1008</v>
      </c>
      <c r="D38" s="62" t="s">
        <v>518</v>
      </c>
      <c r="E38" s="62" t="s">
        <v>518</v>
      </c>
      <c r="F38" s="62" t="s">
        <v>472</v>
      </c>
      <c r="G38" s="74" t="s">
        <v>1062</v>
      </c>
      <c r="H38" s="75" t="s">
        <v>1056</v>
      </c>
      <c r="I38" s="81">
        <v>10603</v>
      </c>
      <c r="J38" s="75" t="s">
        <v>1054</v>
      </c>
      <c r="K38" s="75" t="s">
        <v>1000</v>
      </c>
      <c r="L38" s="75">
        <v>0</v>
      </c>
      <c r="M38" s="75">
        <v>10001</v>
      </c>
      <c r="N38" s="75">
        <v>3</v>
      </c>
      <c r="O38" s="75">
        <v>3</v>
      </c>
      <c r="P38" s="75">
        <v>11</v>
      </c>
      <c r="Q38" s="75">
        <v>1</v>
      </c>
      <c r="R38" s="38" t="s">
        <v>602</v>
      </c>
      <c r="S38" s="38" t="s">
        <v>644</v>
      </c>
      <c r="T38" s="75">
        <v>11</v>
      </c>
      <c r="U38" s="75">
        <v>1</v>
      </c>
      <c r="V38" s="75">
        <v>1</v>
      </c>
      <c r="W38" s="75">
        <v>4</v>
      </c>
      <c r="X38" s="75">
        <v>1</v>
      </c>
      <c r="Y38" s="75">
        <v>8</v>
      </c>
      <c r="Z38" s="75" t="s">
        <v>523</v>
      </c>
      <c r="AA38" s="53" t="s">
        <v>523</v>
      </c>
      <c r="AB38" s="76" t="s">
        <v>785</v>
      </c>
      <c r="AC38" s="74"/>
      <c r="AD38" s="75" t="s">
        <v>81</v>
      </c>
      <c r="AE38" s="75" t="s">
        <v>570</v>
      </c>
      <c r="AF38" s="75">
        <v>1</v>
      </c>
      <c r="AG38" s="75" t="s">
        <v>524</v>
      </c>
      <c r="AH38" s="75">
        <v>0</v>
      </c>
      <c r="AI38" s="75">
        <v>20002</v>
      </c>
      <c r="AJ38" s="75">
        <v>20003</v>
      </c>
      <c r="AK38" s="75">
        <v>20004</v>
      </c>
      <c r="AL38" s="75">
        <v>0</v>
      </c>
      <c r="AM38" s="75">
        <v>1</v>
      </c>
      <c r="AN38" s="44">
        <v>4025</v>
      </c>
      <c r="AO38" s="75" t="s">
        <v>559</v>
      </c>
      <c r="AP38" t="s">
        <v>1048</v>
      </c>
      <c r="AR38" s="69"/>
      <c r="AS38" s="69"/>
      <c r="AT38" s="69"/>
      <c r="AU38" s="69"/>
      <c r="AV38" s="69"/>
      <c r="AY38" s="29"/>
      <c r="AZ38" s="29"/>
    </row>
    <row r="39" spans="1:52" s="16" customFormat="1">
      <c r="A39" s="53"/>
      <c r="B39" s="81">
        <v>10603</v>
      </c>
      <c r="C39" s="62" t="s">
        <v>1009</v>
      </c>
      <c r="D39" s="62" t="s">
        <v>518</v>
      </c>
      <c r="E39" s="62" t="s">
        <v>518</v>
      </c>
      <c r="F39" s="62" t="s">
        <v>472</v>
      </c>
      <c r="G39" s="74" t="s">
        <v>1063</v>
      </c>
      <c r="H39" s="75" t="s">
        <v>1064</v>
      </c>
      <c r="I39" s="81">
        <v>10604</v>
      </c>
      <c r="J39" s="75" t="s">
        <v>1054</v>
      </c>
      <c r="K39" s="75" t="s">
        <v>1000</v>
      </c>
      <c r="L39" s="75">
        <v>0</v>
      </c>
      <c r="M39" s="75">
        <v>10001</v>
      </c>
      <c r="N39" s="75">
        <v>3</v>
      </c>
      <c r="O39" s="75">
        <v>3</v>
      </c>
      <c r="P39" s="75">
        <v>11</v>
      </c>
      <c r="Q39" s="75">
        <v>1</v>
      </c>
      <c r="R39" s="38" t="s">
        <v>603</v>
      </c>
      <c r="S39" s="38" t="s">
        <v>645</v>
      </c>
      <c r="T39" s="75">
        <v>11</v>
      </c>
      <c r="U39" s="75">
        <v>1</v>
      </c>
      <c r="V39" s="75">
        <v>1</v>
      </c>
      <c r="W39" s="75">
        <v>4</v>
      </c>
      <c r="X39" s="75">
        <v>1</v>
      </c>
      <c r="Y39" s="75">
        <v>8</v>
      </c>
      <c r="Z39" s="75" t="s">
        <v>523</v>
      </c>
      <c r="AA39" s="75" t="s">
        <v>523</v>
      </c>
      <c r="AB39" s="76" t="s">
        <v>785</v>
      </c>
      <c r="AC39" s="74"/>
      <c r="AD39" s="75" t="s">
        <v>81</v>
      </c>
      <c r="AE39" s="75" t="s">
        <v>570</v>
      </c>
      <c r="AF39" s="75">
        <v>1</v>
      </c>
      <c r="AG39" s="75" t="s">
        <v>524</v>
      </c>
      <c r="AH39" s="75">
        <v>0</v>
      </c>
      <c r="AI39" s="75">
        <v>20002</v>
      </c>
      <c r="AJ39" s="75">
        <v>20003</v>
      </c>
      <c r="AK39" s="75">
        <v>20004</v>
      </c>
      <c r="AL39" s="75">
        <v>0</v>
      </c>
      <c r="AM39" s="75">
        <v>1</v>
      </c>
      <c r="AN39" s="44">
        <v>4025</v>
      </c>
      <c r="AO39" s="75" t="s">
        <v>560</v>
      </c>
      <c r="AP39" t="s">
        <v>1048</v>
      </c>
      <c r="AR39" s="69"/>
      <c r="AS39" s="69"/>
      <c r="AT39" s="69"/>
      <c r="AU39" s="69"/>
      <c r="AV39" s="69"/>
      <c r="AY39" s="29"/>
      <c r="AZ39" s="29"/>
    </row>
    <row r="40" spans="1:52" s="16" customFormat="1">
      <c r="A40" s="53"/>
      <c r="B40" s="81">
        <v>10604</v>
      </c>
      <c r="C40" s="62" t="s">
        <v>63</v>
      </c>
      <c r="D40" s="62" t="s">
        <v>518</v>
      </c>
      <c r="E40" s="62" t="s">
        <v>518</v>
      </c>
      <c r="F40" s="62" t="s">
        <v>472</v>
      </c>
      <c r="G40" s="74" t="s">
        <v>1065</v>
      </c>
      <c r="H40" s="75" t="s">
        <v>1056</v>
      </c>
      <c r="I40" s="81">
        <v>10605</v>
      </c>
      <c r="J40" s="75" t="s">
        <v>1054</v>
      </c>
      <c r="K40" s="75" t="s">
        <v>1000</v>
      </c>
      <c r="L40" s="75">
        <v>0</v>
      </c>
      <c r="M40" s="75">
        <v>10001</v>
      </c>
      <c r="N40" s="75">
        <v>3</v>
      </c>
      <c r="O40" s="75">
        <v>3</v>
      </c>
      <c r="P40" s="75">
        <v>11</v>
      </c>
      <c r="Q40" s="75">
        <v>1</v>
      </c>
      <c r="R40" s="38" t="s">
        <v>604</v>
      </c>
      <c r="S40" s="38" t="s">
        <v>646</v>
      </c>
      <c r="T40" s="75">
        <v>11</v>
      </c>
      <c r="U40" s="75">
        <v>1</v>
      </c>
      <c r="V40" s="75">
        <v>1</v>
      </c>
      <c r="W40" s="75">
        <v>4</v>
      </c>
      <c r="X40" s="75">
        <v>1</v>
      </c>
      <c r="Y40" s="75">
        <v>8</v>
      </c>
      <c r="Z40" s="75" t="s">
        <v>523</v>
      </c>
      <c r="AA40" s="53" t="s">
        <v>523</v>
      </c>
      <c r="AB40" s="76" t="s">
        <v>785</v>
      </c>
      <c r="AC40" s="74"/>
      <c r="AD40" s="75" t="s">
        <v>81</v>
      </c>
      <c r="AE40" s="75" t="s">
        <v>570</v>
      </c>
      <c r="AF40" s="75">
        <v>1</v>
      </c>
      <c r="AG40" s="75" t="s">
        <v>524</v>
      </c>
      <c r="AH40" s="75">
        <v>0</v>
      </c>
      <c r="AI40" s="75">
        <v>20002</v>
      </c>
      <c r="AJ40" s="75">
        <v>20003</v>
      </c>
      <c r="AK40" s="75">
        <v>20004</v>
      </c>
      <c r="AL40" s="75">
        <v>0</v>
      </c>
      <c r="AM40" s="75">
        <v>1</v>
      </c>
      <c r="AN40" s="44" t="s">
        <v>1104</v>
      </c>
      <c r="AO40" s="75" t="s">
        <v>561</v>
      </c>
      <c r="AP40" t="s">
        <v>1048</v>
      </c>
      <c r="AR40" s="69" t="str">
        <f>CONCATENATE("optional uint32 ",LOWER(INDEX(B:AO,CEILING((ROW()-1)/51,1),MOD(ROW()-2,51)+1)))</f>
        <v>optional uint32 awards_id</v>
      </c>
      <c r="AS40" s="69"/>
      <c r="AT40" s="69"/>
      <c r="AU40" s="69"/>
      <c r="AV40" s="69" t="e">
        <f ca="1">CONCATENATE("= ",ROW()-1,"; // ",GetComment(INDEX(B:AO,CEILING((ROW()-1)/51,1),MOD(ROW()-2,51)+1)))</f>
        <v>#NAME?</v>
      </c>
      <c r="AY40" s="29"/>
      <c r="AZ40" s="29"/>
    </row>
    <row r="41" spans="1:52" s="16" customFormat="1">
      <c r="A41" s="53"/>
      <c r="B41" s="81">
        <v>10605</v>
      </c>
      <c r="C41" s="62" t="s">
        <v>1024</v>
      </c>
      <c r="D41" s="62" t="s">
        <v>518</v>
      </c>
      <c r="E41" s="62" t="s">
        <v>518</v>
      </c>
      <c r="F41" s="62" t="s">
        <v>472</v>
      </c>
      <c r="G41" s="74" t="s">
        <v>1066</v>
      </c>
      <c r="H41" s="75" t="s">
        <v>1061</v>
      </c>
      <c r="I41" s="81">
        <v>10606</v>
      </c>
      <c r="J41" s="75" t="s">
        <v>1054</v>
      </c>
      <c r="K41" s="75" t="s">
        <v>1000</v>
      </c>
      <c r="L41" s="75">
        <v>0</v>
      </c>
      <c r="M41" s="75">
        <v>10001</v>
      </c>
      <c r="N41" s="75">
        <v>3</v>
      </c>
      <c r="O41" s="75">
        <v>3</v>
      </c>
      <c r="P41" s="75">
        <v>11</v>
      </c>
      <c r="Q41" s="75">
        <v>1</v>
      </c>
      <c r="R41" s="38" t="s">
        <v>605</v>
      </c>
      <c r="S41" s="38" t="s">
        <v>647</v>
      </c>
      <c r="T41" s="75" t="s">
        <v>1116</v>
      </c>
      <c r="U41" s="75" t="s">
        <v>1111</v>
      </c>
      <c r="V41" s="75" t="s">
        <v>1111</v>
      </c>
      <c r="W41" s="75" t="s">
        <v>1117</v>
      </c>
      <c r="X41" s="75" t="s">
        <v>1111</v>
      </c>
      <c r="Y41" s="75" t="s">
        <v>1118</v>
      </c>
      <c r="Z41" s="75" t="s">
        <v>523</v>
      </c>
      <c r="AA41" s="75" t="s">
        <v>523</v>
      </c>
      <c r="AB41" s="76" t="s">
        <v>785</v>
      </c>
      <c r="AC41" s="74"/>
      <c r="AD41" s="75" t="s">
        <v>81</v>
      </c>
      <c r="AE41" s="75" t="s">
        <v>570</v>
      </c>
      <c r="AF41" s="75">
        <v>1</v>
      </c>
      <c r="AG41" s="75" t="s">
        <v>524</v>
      </c>
      <c r="AH41" s="75">
        <v>0</v>
      </c>
      <c r="AI41" s="75">
        <v>20002</v>
      </c>
      <c r="AJ41" s="75">
        <v>20003</v>
      </c>
      <c r="AK41" s="75">
        <v>20004</v>
      </c>
      <c r="AL41" s="75">
        <v>0</v>
      </c>
      <c r="AM41" s="75">
        <v>1</v>
      </c>
      <c r="AN41" s="44">
        <v>4025</v>
      </c>
      <c r="AO41" s="75" t="s">
        <v>562</v>
      </c>
      <c r="AP41" t="s">
        <v>1048</v>
      </c>
      <c r="AR41" s="69"/>
      <c r="AS41" s="69"/>
      <c r="AT41" s="69"/>
      <c r="AU41" s="69"/>
      <c r="AV41" s="69"/>
      <c r="AY41" s="29"/>
      <c r="AZ41" s="29"/>
    </row>
    <row r="42" spans="1:52" s="16" customFormat="1">
      <c r="A42" s="53"/>
      <c r="B42" s="81">
        <v>10606</v>
      </c>
      <c r="C42" s="62" t="s">
        <v>1029</v>
      </c>
      <c r="D42" s="62" t="s">
        <v>518</v>
      </c>
      <c r="E42" s="62" t="s">
        <v>518</v>
      </c>
      <c r="F42" s="62" t="s">
        <v>472</v>
      </c>
      <c r="G42" s="74" t="s">
        <v>1067</v>
      </c>
      <c r="H42" s="75" t="s">
        <v>1064</v>
      </c>
      <c r="I42" s="81">
        <v>10607</v>
      </c>
      <c r="J42" s="75" t="s">
        <v>1054</v>
      </c>
      <c r="K42" s="75" t="s">
        <v>1000</v>
      </c>
      <c r="L42" s="75">
        <v>0</v>
      </c>
      <c r="M42" s="75">
        <v>10001</v>
      </c>
      <c r="N42" s="75">
        <v>3</v>
      </c>
      <c r="O42" s="75">
        <v>3</v>
      </c>
      <c r="P42" s="75">
        <v>11</v>
      </c>
      <c r="Q42" s="75">
        <v>1</v>
      </c>
      <c r="R42" s="38" t="s">
        <v>606</v>
      </c>
      <c r="S42" s="38" t="s">
        <v>648</v>
      </c>
      <c r="T42" s="75">
        <v>11</v>
      </c>
      <c r="U42" s="75">
        <v>1</v>
      </c>
      <c r="V42" s="75">
        <v>1</v>
      </c>
      <c r="W42" s="75">
        <v>4</v>
      </c>
      <c r="X42" s="75">
        <v>1</v>
      </c>
      <c r="Y42" s="75">
        <v>8</v>
      </c>
      <c r="Z42" s="75" t="s">
        <v>523</v>
      </c>
      <c r="AA42" s="53" t="s">
        <v>523</v>
      </c>
      <c r="AB42" s="76" t="s">
        <v>785</v>
      </c>
      <c r="AC42" s="74"/>
      <c r="AD42" s="75" t="s">
        <v>81</v>
      </c>
      <c r="AE42" s="75" t="s">
        <v>570</v>
      </c>
      <c r="AF42" s="75">
        <v>1</v>
      </c>
      <c r="AG42" s="75" t="s">
        <v>524</v>
      </c>
      <c r="AH42" s="75">
        <v>0</v>
      </c>
      <c r="AI42" s="75">
        <v>20002</v>
      </c>
      <c r="AJ42" s="75">
        <v>20003</v>
      </c>
      <c r="AK42" s="75">
        <v>20004</v>
      </c>
      <c r="AL42" s="75">
        <v>0</v>
      </c>
      <c r="AM42" s="75">
        <v>1</v>
      </c>
      <c r="AN42" s="44">
        <v>4025</v>
      </c>
      <c r="AO42" s="75" t="s">
        <v>563</v>
      </c>
      <c r="AP42" t="s">
        <v>1048</v>
      </c>
      <c r="AR42" s="69"/>
      <c r="AS42" s="69"/>
      <c r="AT42" s="69"/>
      <c r="AU42" s="69"/>
      <c r="AV42" s="69"/>
      <c r="AY42" s="29"/>
      <c r="AZ42" s="29"/>
    </row>
    <row r="43" spans="1:52" s="16" customFormat="1">
      <c r="A43" s="53"/>
      <c r="B43" s="81">
        <v>10607</v>
      </c>
      <c r="C43" s="62" t="s">
        <v>1014</v>
      </c>
      <c r="D43" s="62" t="s">
        <v>518</v>
      </c>
      <c r="E43" s="62" t="s">
        <v>518</v>
      </c>
      <c r="F43" s="62" t="s">
        <v>472</v>
      </c>
      <c r="G43" s="74" t="s">
        <v>1058</v>
      </c>
      <c r="H43" s="75" t="s">
        <v>1059</v>
      </c>
      <c r="I43" s="75" t="s">
        <v>1055</v>
      </c>
      <c r="J43" s="75" t="s">
        <v>1054</v>
      </c>
      <c r="K43" s="75" t="s">
        <v>1000</v>
      </c>
      <c r="L43" s="75">
        <v>0</v>
      </c>
      <c r="M43" s="75">
        <v>10001</v>
      </c>
      <c r="N43" s="75">
        <v>3</v>
      </c>
      <c r="O43" s="75">
        <v>3</v>
      </c>
      <c r="P43" s="75">
        <v>11</v>
      </c>
      <c r="Q43" s="75">
        <v>1</v>
      </c>
      <c r="R43" s="38" t="s">
        <v>607</v>
      </c>
      <c r="S43" s="38" t="s">
        <v>649</v>
      </c>
      <c r="T43" s="75">
        <v>11</v>
      </c>
      <c r="U43" s="75">
        <v>1</v>
      </c>
      <c r="V43" s="75">
        <v>1</v>
      </c>
      <c r="W43" s="75">
        <v>4</v>
      </c>
      <c r="X43" s="75">
        <v>1</v>
      </c>
      <c r="Y43" s="75">
        <v>8</v>
      </c>
      <c r="Z43" s="75" t="s">
        <v>523</v>
      </c>
      <c r="AA43" s="75" t="s">
        <v>523</v>
      </c>
      <c r="AB43" s="76" t="s">
        <v>785</v>
      </c>
      <c r="AC43" s="74"/>
      <c r="AD43" s="75" t="s">
        <v>81</v>
      </c>
      <c r="AE43" s="75" t="s">
        <v>570</v>
      </c>
      <c r="AF43" s="75">
        <v>1</v>
      </c>
      <c r="AG43" s="75" t="s">
        <v>524</v>
      </c>
      <c r="AH43" s="75">
        <v>0</v>
      </c>
      <c r="AI43" s="75">
        <v>20002</v>
      </c>
      <c r="AJ43" s="75">
        <v>20003</v>
      </c>
      <c r="AK43" s="75">
        <v>20004</v>
      </c>
      <c r="AL43" s="75">
        <v>0</v>
      </c>
      <c r="AM43" s="75">
        <v>1</v>
      </c>
      <c r="AN43" s="44" t="s">
        <v>1105</v>
      </c>
      <c r="AO43" s="75" t="s">
        <v>564</v>
      </c>
      <c r="AP43" t="s">
        <v>1048</v>
      </c>
      <c r="AR43" s="69" t="e">
        <f>CONCATENATE("optional uint32 ",LOWER(INDEX(B:AO,CEILING((ROW()-1)/51,1),MOD(ROW()-2,51)+1)))</f>
        <v>#REF!</v>
      </c>
      <c r="AS43" s="69"/>
      <c r="AT43" s="69"/>
      <c r="AU43" s="69"/>
      <c r="AV43" s="69" t="e">
        <f ca="1">CONCATENATE("= ",ROW()-1,"; // ",GetComment(INDEX(B:AO,CEILING((ROW()-1)/51,1),MOD(ROW()-2,51)+1)))</f>
        <v>#NAME?</v>
      </c>
      <c r="AY43" s="29"/>
      <c r="AZ43" s="29"/>
    </row>
    <row r="44" spans="1:52" s="16" customFormat="1">
      <c r="AN44" s="44"/>
      <c r="AP44" s="51"/>
    </row>
    <row r="45" spans="1:52" s="16" customFormat="1">
      <c r="AN45" s="44"/>
      <c r="AP45" s="51"/>
    </row>
    <row r="46" spans="1:52" s="16" customFormat="1">
      <c r="AN46" s="44"/>
      <c r="AP46" s="51"/>
    </row>
    <row r="47" spans="1:52" s="16" customFormat="1">
      <c r="AN47" s="44"/>
      <c r="AP47" s="51"/>
    </row>
    <row r="48" spans="1:52" s="16" customFormat="1">
      <c r="AN48" s="44"/>
      <c r="AP48" s="51"/>
    </row>
    <row r="49" spans="40:42" s="16" customFormat="1">
      <c r="AN49" s="44"/>
      <c r="AP49" s="51"/>
    </row>
    <row r="50" spans="40:42" s="16" customFormat="1">
      <c r="AN50" s="44"/>
      <c r="AP50" s="51"/>
    </row>
    <row r="51" spans="40:42" s="16" customFormat="1">
      <c r="AN51" s="44"/>
      <c r="AP51" s="51"/>
    </row>
    <row r="52" spans="40:42" s="16" customFormat="1">
      <c r="AN52" s="44"/>
      <c r="AP52" s="51"/>
    </row>
    <row r="53" spans="40:42" s="16" customFormat="1">
      <c r="AN53" s="44"/>
      <c r="AP53" s="51"/>
    </row>
    <row r="54" spans="40:42" s="16" customFormat="1">
      <c r="AN54" s="44"/>
      <c r="AP54" s="51"/>
    </row>
    <row r="55" spans="40:42" s="16" customFormat="1">
      <c r="AN55" s="44"/>
      <c r="AP55" s="51"/>
    </row>
    <row r="56" spans="40:42" s="16" customFormat="1">
      <c r="AN56" s="44"/>
      <c r="AP56" s="51"/>
    </row>
    <row r="57" spans="40:42" s="16" customFormat="1">
      <c r="AN57" s="44"/>
      <c r="AP57" s="51"/>
    </row>
    <row r="58" spans="40:42" s="16" customFormat="1">
      <c r="AN58" s="44"/>
      <c r="AP58" s="51"/>
    </row>
    <row r="59" spans="40:42" s="16" customFormat="1">
      <c r="AN59" s="44"/>
      <c r="AP59" s="51"/>
    </row>
    <row r="60" spans="40:42" s="16" customFormat="1">
      <c r="AN60" s="44"/>
      <c r="AP60" s="51"/>
    </row>
    <row r="61" spans="40:42" s="16" customFormat="1">
      <c r="AN61" s="44"/>
      <c r="AP61" s="51"/>
    </row>
    <row r="62" spans="40:42" s="16" customFormat="1">
      <c r="AN62" s="44"/>
      <c r="AP62" s="51"/>
    </row>
    <row r="63" spans="40:42" s="16" customFormat="1">
      <c r="AN63" s="44"/>
      <c r="AP63" s="51"/>
    </row>
    <row r="64" spans="40:42" s="16" customFormat="1">
      <c r="AN64" s="44"/>
      <c r="AP64" s="51"/>
    </row>
    <row r="65" spans="40:42" s="16" customFormat="1">
      <c r="AN65" s="44"/>
      <c r="AP65" s="51"/>
    </row>
    <row r="66" spans="40:42" s="16" customFormat="1">
      <c r="AN66" s="44"/>
      <c r="AP66" s="51"/>
    </row>
    <row r="67" spans="40:42" s="16" customFormat="1">
      <c r="AN67" s="44"/>
      <c r="AP67" s="51"/>
    </row>
    <row r="68" spans="40:42" s="16" customFormat="1">
      <c r="AN68" s="44"/>
      <c r="AP68" s="51"/>
    </row>
    <row r="69" spans="40:42" s="16" customFormat="1">
      <c r="AN69" s="44"/>
      <c r="AP69" s="51"/>
    </row>
    <row r="70" spans="40:42" s="16" customFormat="1">
      <c r="AN70" s="44"/>
      <c r="AP70" s="51"/>
    </row>
    <row r="71" spans="40:42" s="16" customFormat="1">
      <c r="AN71" s="44"/>
      <c r="AP71" s="51"/>
    </row>
    <row r="72" spans="40:42" s="16" customFormat="1">
      <c r="AN72" s="44"/>
      <c r="AP72" s="51"/>
    </row>
    <row r="73" spans="40:42" s="16" customFormat="1">
      <c r="AN73" s="44"/>
      <c r="AP73" s="51"/>
    </row>
    <row r="74" spans="40:42" s="16" customFormat="1">
      <c r="AN74" s="44"/>
      <c r="AP74" s="51"/>
    </row>
    <row r="75" spans="40:42" s="16" customFormat="1">
      <c r="AN75" s="44"/>
      <c r="AP75" s="51"/>
    </row>
    <row r="76" spans="40:42" s="16" customFormat="1">
      <c r="AN76" s="44"/>
      <c r="AP76" s="51"/>
    </row>
    <row r="77" spans="40:42" s="16" customFormat="1">
      <c r="AN77" s="44"/>
      <c r="AP77" s="51"/>
    </row>
    <row r="78" spans="40:42" s="16" customFormat="1">
      <c r="AN78" s="44"/>
      <c r="AP78" s="51"/>
    </row>
    <row r="79" spans="40:42" s="16" customFormat="1">
      <c r="AN79" s="44"/>
      <c r="AP79" s="51"/>
    </row>
    <row r="80" spans="40:42" s="16" customFormat="1">
      <c r="AN80" s="44"/>
      <c r="AP80" s="51"/>
    </row>
    <row r="81" spans="40:42" s="16" customFormat="1">
      <c r="AN81" s="44"/>
      <c r="AP81" s="51"/>
    </row>
    <row r="82" spans="40:42" s="16" customFormat="1">
      <c r="AN82" s="44"/>
      <c r="AP82" s="51"/>
    </row>
    <row r="83" spans="40:42" s="16" customFormat="1">
      <c r="AN83" s="44"/>
      <c r="AP83" s="51"/>
    </row>
    <row r="84" spans="40:42" s="16" customFormat="1">
      <c r="AN84" s="44"/>
      <c r="AP84" s="51"/>
    </row>
    <row r="85" spans="40:42" s="16" customFormat="1">
      <c r="AN85" s="44"/>
      <c r="AP85" s="51"/>
    </row>
    <row r="86" spans="40:42" s="16" customFormat="1">
      <c r="AN86" s="44"/>
      <c r="AP86" s="51"/>
    </row>
    <row r="87" spans="40:42" s="16" customFormat="1">
      <c r="AN87" s="44"/>
      <c r="AP87" s="51"/>
    </row>
    <row r="88" spans="40:42" s="16" customFormat="1">
      <c r="AN88" s="44"/>
      <c r="AP88" s="51"/>
    </row>
    <row r="89" spans="40:42" s="16" customFormat="1">
      <c r="AN89" s="44"/>
      <c r="AP89" s="51"/>
    </row>
    <row r="90" spans="40:42" s="16" customFormat="1">
      <c r="AN90" s="44"/>
      <c r="AP90" s="51"/>
    </row>
    <row r="91" spans="40:42" s="16" customFormat="1">
      <c r="AN91" s="44"/>
      <c r="AP91" s="51"/>
    </row>
    <row r="92" spans="40:42" s="16" customFormat="1">
      <c r="AN92" s="44"/>
      <c r="AP92" s="51"/>
    </row>
    <row r="93" spans="40:42" s="16" customFormat="1">
      <c r="AN93" s="44"/>
      <c r="AP93" s="51"/>
    </row>
    <row r="94" spans="40:42" s="16" customFormat="1">
      <c r="AN94" s="44"/>
      <c r="AP94" s="51"/>
    </row>
    <row r="95" spans="40:42" s="16" customFormat="1">
      <c r="AN95" s="44"/>
      <c r="AP95" s="51"/>
    </row>
    <row r="96" spans="40:42" s="16" customFormat="1">
      <c r="AN96" s="44"/>
      <c r="AP96" s="51"/>
    </row>
    <row r="97" spans="40:42" s="16" customFormat="1">
      <c r="AN97" s="44"/>
      <c r="AP97" s="51"/>
    </row>
    <row r="98" spans="40:42" s="16" customFormat="1">
      <c r="AN98" s="44"/>
      <c r="AP98" s="51"/>
    </row>
    <row r="99" spans="40:42" s="16" customFormat="1">
      <c r="AN99" s="44"/>
      <c r="AP99" s="51"/>
    </row>
    <row r="100" spans="40:42" s="16" customFormat="1">
      <c r="AN100" s="44"/>
      <c r="AP100" s="51"/>
    </row>
    <row r="101" spans="40:42" s="16" customFormat="1">
      <c r="AN101" s="44"/>
      <c r="AP101" s="51"/>
    </row>
    <row r="102" spans="40:42" s="16" customFormat="1">
      <c r="AN102" s="44"/>
      <c r="AP102" s="51"/>
    </row>
    <row r="103" spans="40:42" s="16" customFormat="1">
      <c r="AN103" s="44"/>
      <c r="AP103" s="51"/>
    </row>
    <row r="104" spans="40:42" s="16" customFormat="1">
      <c r="AN104" s="44"/>
      <c r="AP104" s="51"/>
    </row>
    <row r="105" spans="40:42">
      <c r="AP105" s="50"/>
    </row>
    <row r="106" spans="40:42">
      <c r="AP106" s="50"/>
    </row>
    <row r="107" spans="40:42">
      <c r="AP107" s="50"/>
    </row>
    <row r="108" spans="40:42">
      <c r="AP108" s="50"/>
    </row>
    <row r="109" spans="40:42">
      <c r="AP109" s="50"/>
    </row>
    <row r="110" spans="40:42">
      <c r="AP110" s="50"/>
    </row>
    <row r="111" spans="40:42">
      <c r="AP111" s="50"/>
    </row>
    <row r="112" spans="40:42">
      <c r="AP112" s="50"/>
    </row>
    <row r="113" spans="42:42">
      <c r="AP113" s="50"/>
    </row>
    <row r="114" spans="42:42">
      <c r="AP114" s="50"/>
    </row>
    <row r="115" spans="42:42">
      <c r="AP115" s="50"/>
    </row>
    <row r="116" spans="42:42">
      <c r="AP116" s="50"/>
    </row>
    <row r="117" spans="42:42">
      <c r="AP117" s="50"/>
    </row>
    <row r="118" spans="42:42">
      <c r="AP118" s="50"/>
    </row>
    <row r="119" spans="42:42">
      <c r="AP119" s="50"/>
    </row>
    <row r="120" spans="42:42">
      <c r="AP120" s="50"/>
    </row>
    <row r="121" spans="42:42">
      <c r="AP121" s="50"/>
    </row>
    <row r="122" spans="42:42">
      <c r="AP122" s="50"/>
    </row>
    <row r="123" spans="42:42">
      <c r="AP123" s="50"/>
    </row>
    <row r="124" spans="42:42">
      <c r="AP124" s="50"/>
    </row>
    <row r="125" spans="42:42">
      <c r="AP125" s="50"/>
    </row>
    <row r="126" spans="42:42">
      <c r="AP126" s="50"/>
    </row>
    <row r="127" spans="42:42">
      <c r="AP127" s="50"/>
    </row>
  </sheetData>
  <autoFilter ref="A1:FJ127"/>
  <phoneticPr fontId="1" type="noConversion"/>
  <pageMargins left="0.7" right="0.7" top="0.75" bottom="0.75" header="0.3" footer="0.3"/>
  <pageSetup paperSize="9" orientation="portrait" horizontalDpi="200" verticalDpi="200" r:id="rId1"/>
  <legacyDrawing r:id="rId2"/>
</worksheet>
</file>

<file path=xl/worksheets/sheet3.xml><?xml version="1.0" encoding="utf-8"?>
<worksheet xmlns="http://schemas.openxmlformats.org/spreadsheetml/2006/main" xmlns:r="http://schemas.openxmlformats.org/officeDocument/2006/relationships">
  <sheetPr codeName="Sheet3"/>
  <dimension ref="A1:W88"/>
  <sheetViews>
    <sheetView topLeftCell="A49" workbookViewId="0">
      <selection activeCell="A46" sqref="A46:XFD89"/>
    </sheetView>
  </sheetViews>
  <sheetFormatPr defaultRowHeight="13.5"/>
  <cols>
    <col min="1" max="1" width="6.5" style="35" bestFit="1" customWidth="1"/>
    <col min="2" max="2" width="11.625" style="35" bestFit="1" customWidth="1"/>
    <col min="3" max="3" width="15" style="35" bestFit="1" customWidth="1"/>
    <col min="4" max="4" width="16.125" style="35" bestFit="1" customWidth="1"/>
    <col min="5" max="9" width="12.75" style="35" bestFit="1" customWidth="1"/>
    <col min="10" max="10" width="12.75" style="73" customWidth="1"/>
    <col min="11" max="11" width="12.75" style="66" customWidth="1"/>
    <col min="12" max="15" width="12.75" style="35" customWidth="1"/>
    <col min="16" max="16" width="13.875" style="35" customWidth="1"/>
    <col min="17" max="17" width="17.25" style="35" bestFit="1" customWidth="1"/>
    <col min="18" max="18" width="9" style="35"/>
    <col min="19" max="19" width="30.5" style="35" bestFit="1" customWidth="1"/>
    <col min="20" max="20" width="1" style="35" customWidth="1"/>
    <col min="21" max="22" width="0.875" style="35" customWidth="1"/>
    <col min="23" max="23" width="30.375" style="35" bestFit="1" customWidth="1"/>
    <col min="24" max="16384" width="9" style="35"/>
  </cols>
  <sheetData>
    <row r="1" spans="1:23" ht="24.95" customHeight="1">
      <c r="A1" s="31" t="s">
        <v>482</v>
      </c>
      <c r="B1" s="59" t="s">
        <v>483</v>
      </c>
      <c r="C1" s="59" t="s">
        <v>484</v>
      </c>
      <c r="D1" s="59" t="s">
        <v>485</v>
      </c>
      <c r="E1" s="59" t="s">
        <v>486</v>
      </c>
      <c r="F1" s="59" t="s">
        <v>487</v>
      </c>
      <c r="G1" s="59" t="s">
        <v>488</v>
      </c>
      <c r="H1" s="59" t="s">
        <v>489</v>
      </c>
      <c r="I1" s="59" t="s">
        <v>490</v>
      </c>
      <c r="J1" s="70" t="s">
        <v>491</v>
      </c>
      <c r="K1" s="65" t="s">
        <v>492</v>
      </c>
      <c r="L1" s="59" t="s">
        <v>66</v>
      </c>
      <c r="M1" s="59" t="s">
        <v>67</v>
      </c>
      <c r="N1" s="59" t="s">
        <v>68</v>
      </c>
      <c r="O1" s="59" t="s">
        <v>69</v>
      </c>
    </row>
    <row r="2" spans="1:23" ht="15" customHeight="1">
      <c r="A2" s="35" t="s">
        <v>493</v>
      </c>
      <c r="B2" s="39" t="s">
        <v>494</v>
      </c>
      <c r="C2" s="39" t="s">
        <v>495</v>
      </c>
      <c r="D2" s="39" t="s">
        <v>496</v>
      </c>
      <c r="E2" s="39" t="s">
        <v>497</v>
      </c>
      <c r="F2" s="39" t="s">
        <v>498</v>
      </c>
      <c r="G2" s="39" t="s">
        <v>441</v>
      </c>
      <c r="H2" s="39" t="s">
        <v>442</v>
      </c>
      <c r="I2" s="39" t="s">
        <v>443</v>
      </c>
      <c r="J2" s="71" t="s">
        <v>444</v>
      </c>
      <c r="K2" s="40" t="s">
        <v>445</v>
      </c>
      <c r="L2" s="39" t="s">
        <v>446</v>
      </c>
      <c r="M2" s="39" t="s">
        <v>447</v>
      </c>
      <c r="N2" s="39" t="s">
        <v>448</v>
      </c>
      <c r="O2" s="39" t="s">
        <v>499</v>
      </c>
      <c r="P2" s="33" t="s">
        <v>500</v>
      </c>
      <c r="S2" s="63" t="s">
        <v>1038</v>
      </c>
      <c r="T2" s="63"/>
      <c r="U2" s="63"/>
      <c r="V2" s="63"/>
      <c r="W2" s="63" t="e">
        <v>#NAME?</v>
      </c>
    </row>
    <row r="3" spans="1:23" ht="15" customHeight="1">
      <c r="A3" s="35" t="s">
        <v>493</v>
      </c>
      <c r="B3" s="57" t="s">
        <v>75</v>
      </c>
      <c r="C3" s="50"/>
      <c r="D3" s="50"/>
      <c r="E3" s="50"/>
      <c r="F3" s="50">
        <v>1</v>
      </c>
      <c r="G3" s="50">
        <v>2</v>
      </c>
      <c r="H3" s="50">
        <v>3</v>
      </c>
      <c r="I3" s="50">
        <v>4</v>
      </c>
      <c r="J3" s="72">
        <v>5</v>
      </c>
      <c r="K3" s="58">
        <v>6</v>
      </c>
      <c r="L3" s="50">
        <v>7</v>
      </c>
      <c r="M3" s="50">
        <v>8</v>
      </c>
      <c r="N3" s="50">
        <v>9</v>
      </c>
      <c r="O3" s="50">
        <v>10</v>
      </c>
      <c r="P3" s="54">
        <v>0</v>
      </c>
      <c r="Q3" s="41" t="s">
        <v>501</v>
      </c>
      <c r="S3" s="63" t="s">
        <v>1039</v>
      </c>
      <c r="T3" s="63"/>
      <c r="U3" s="63"/>
      <c r="V3" s="63"/>
      <c r="W3" s="63" t="e">
        <v>#NAME?</v>
      </c>
    </row>
    <row r="4" spans="1:23" ht="15" customHeight="1">
      <c r="A4" s="49"/>
      <c r="B4" s="52">
        <v>101</v>
      </c>
      <c r="C4" s="52">
        <v>1</v>
      </c>
      <c r="D4" s="50">
        <v>1</v>
      </c>
      <c r="E4" s="50">
        <v>1</v>
      </c>
      <c r="F4" s="40" t="s">
        <v>945</v>
      </c>
      <c r="G4" s="40"/>
      <c r="H4" s="40"/>
      <c r="I4" s="58" t="s">
        <v>783</v>
      </c>
      <c r="J4" s="72"/>
      <c r="K4" s="58" t="s">
        <v>783</v>
      </c>
      <c r="L4" s="50"/>
      <c r="M4" s="50"/>
      <c r="N4" s="50"/>
      <c r="O4" s="50"/>
      <c r="P4" s="55">
        <v>1</v>
      </c>
      <c r="Q4" s="42" t="s">
        <v>502</v>
      </c>
      <c r="S4" s="63" t="s">
        <v>1040</v>
      </c>
      <c r="T4" s="63"/>
      <c r="U4" s="63"/>
      <c r="V4" s="63"/>
      <c r="W4" s="63" t="e">
        <v>#NAME?</v>
      </c>
    </row>
    <row r="5" spans="1:23" ht="15" customHeight="1">
      <c r="A5" s="49"/>
      <c r="B5" s="52" t="s">
        <v>574</v>
      </c>
      <c r="C5" s="52">
        <v>1</v>
      </c>
      <c r="D5" s="50">
        <v>1</v>
      </c>
      <c r="E5" s="50">
        <v>1</v>
      </c>
      <c r="F5" s="40" t="s">
        <v>946</v>
      </c>
      <c r="G5" s="40"/>
      <c r="H5" s="58"/>
      <c r="I5" s="58" t="s">
        <v>783</v>
      </c>
      <c r="J5" s="72"/>
      <c r="K5" s="58" t="s">
        <v>783</v>
      </c>
      <c r="L5" s="50"/>
      <c r="M5" s="50"/>
      <c r="N5" s="50"/>
      <c r="O5" s="50"/>
      <c r="P5" s="56">
        <v>2</v>
      </c>
      <c r="Q5" s="43" t="s">
        <v>503</v>
      </c>
      <c r="S5" s="63" t="s">
        <v>1041</v>
      </c>
      <c r="T5" s="63"/>
      <c r="U5" s="63"/>
      <c r="V5" s="63"/>
      <c r="W5" s="63" t="e">
        <v>#NAME?</v>
      </c>
    </row>
    <row r="6" spans="1:23" ht="15" customHeight="1">
      <c r="A6" s="49"/>
      <c r="B6" s="52" t="s">
        <v>565</v>
      </c>
      <c r="C6" s="52">
        <v>1</v>
      </c>
      <c r="D6" s="50">
        <v>1</v>
      </c>
      <c r="E6" s="50">
        <v>1</v>
      </c>
      <c r="F6" s="40" t="s">
        <v>947</v>
      </c>
      <c r="G6" s="40"/>
      <c r="H6" s="40"/>
      <c r="I6" s="58"/>
      <c r="J6" s="72"/>
      <c r="K6" s="58"/>
      <c r="L6" s="50"/>
      <c r="M6" s="50"/>
      <c r="N6" s="50"/>
      <c r="O6" s="50"/>
      <c r="P6" s="56">
        <v>3</v>
      </c>
      <c r="Q6" s="43" t="s">
        <v>504</v>
      </c>
      <c r="S6" s="63" t="s">
        <v>1042</v>
      </c>
      <c r="T6" s="63"/>
      <c r="U6" s="63"/>
      <c r="V6" s="63"/>
      <c r="W6" s="63" t="e">
        <v>#NAME?</v>
      </c>
    </row>
    <row r="7" spans="1:23" ht="15" customHeight="1">
      <c r="A7" s="49"/>
      <c r="B7" s="52" t="s">
        <v>566</v>
      </c>
      <c r="C7" s="52">
        <v>1</v>
      </c>
      <c r="D7" s="50">
        <v>1</v>
      </c>
      <c r="E7" s="50">
        <v>1</v>
      </c>
      <c r="F7" s="40" t="s">
        <v>948</v>
      </c>
      <c r="G7" s="40"/>
      <c r="H7" s="40"/>
      <c r="I7" s="58"/>
      <c r="J7" s="72"/>
      <c r="K7" s="58"/>
      <c r="L7" s="50"/>
      <c r="M7" s="50"/>
      <c r="N7" s="50"/>
      <c r="O7" s="50"/>
      <c r="P7" s="56">
        <v>4</v>
      </c>
      <c r="Q7" s="43" t="s">
        <v>505</v>
      </c>
      <c r="S7" s="63" t="s">
        <v>1043</v>
      </c>
      <c r="T7" s="63"/>
      <c r="U7" s="63"/>
      <c r="V7" s="63"/>
      <c r="W7" s="63" t="e">
        <v>#NAME?</v>
      </c>
    </row>
    <row r="8" spans="1:23">
      <c r="A8" s="49"/>
      <c r="B8" s="52" t="s">
        <v>567</v>
      </c>
      <c r="C8" s="52">
        <v>1</v>
      </c>
      <c r="D8" s="50">
        <v>1</v>
      </c>
      <c r="E8" s="50">
        <v>1</v>
      </c>
      <c r="F8" s="40" t="s">
        <v>949</v>
      </c>
      <c r="G8" s="40"/>
      <c r="H8" s="40"/>
      <c r="I8" s="58"/>
      <c r="J8" s="72"/>
      <c r="K8" s="58"/>
      <c r="L8" s="50"/>
      <c r="M8" s="50"/>
      <c r="N8" s="50"/>
      <c r="O8" s="50"/>
      <c r="P8" s="56">
        <v>5</v>
      </c>
      <c r="Q8" s="43" t="s">
        <v>506</v>
      </c>
      <c r="S8" s="63" t="s">
        <v>1044</v>
      </c>
      <c r="T8" s="63"/>
      <c r="U8" s="63"/>
      <c r="V8" s="63"/>
      <c r="W8" s="63" t="e">
        <v>#NAME?</v>
      </c>
    </row>
    <row r="9" spans="1:23">
      <c r="A9" s="49"/>
      <c r="B9" s="52" t="s">
        <v>568</v>
      </c>
      <c r="C9" s="52">
        <v>1</v>
      </c>
      <c r="D9" s="50">
        <v>1</v>
      </c>
      <c r="E9" s="50">
        <v>1</v>
      </c>
      <c r="F9" s="40" t="s">
        <v>950</v>
      </c>
      <c r="G9" s="40"/>
      <c r="H9" s="40"/>
      <c r="I9" s="58"/>
      <c r="J9" s="72"/>
      <c r="K9" s="58"/>
      <c r="L9" s="50"/>
      <c r="M9" s="50"/>
      <c r="N9" s="50"/>
      <c r="O9" s="50"/>
      <c r="P9" s="56">
        <v>6</v>
      </c>
      <c r="Q9" s="43" t="s">
        <v>507</v>
      </c>
      <c r="S9" s="63" t="s">
        <v>1045</v>
      </c>
      <c r="T9" s="63"/>
      <c r="U9" s="63"/>
      <c r="V9" s="63"/>
      <c r="W9" s="63" t="e">
        <v>#NAME?</v>
      </c>
    </row>
    <row r="10" spans="1:23">
      <c r="A10" s="49"/>
      <c r="B10" s="52" t="s">
        <v>569</v>
      </c>
      <c r="C10" s="52">
        <v>1</v>
      </c>
      <c r="D10" s="50">
        <v>1</v>
      </c>
      <c r="E10" s="50">
        <v>1</v>
      </c>
      <c r="F10" s="40" t="s">
        <v>951</v>
      </c>
      <c r="G10" s="40"/>
      <c r="H10" s="40"/>
      <c r="I10" s="58"/>
      <c r="J10" s="72"/>
      <c r="K10" s="58"/>
      <c r="L10" s="50"/>
      <c r="M10" s="50"/>
      <c r="N10" s="50"/>
      <c r="O10" s="50"/>
      <c r="S10" s="63" t="s">
        <v>1046</v>
      </c>
      <c r="T10" s="63"/>
      <c r="U10" s="63"/>
      <c r="V10" s="63"/>
      <c r="W10" s="63" t="e">
        <v>#NAME?</v>
      </c>
    </row>
    <row r="11" spans="1:23" s="39" customFormat="1">
      <c r="A11" s="53"/>
      <c r="B11" s="52" t="s">
        <v>575</v>
      </c>
      <c r="C11" s="52">
        <v>1</v>
      </c>
      <c r="D11" s="50">
        <v>1</v>
      </c>
      <c r="E11" s="50">
        <v>1</v>
      </c>
      <c r="F11" s="40" t="s">
        <v>952</v>
      </c>
      <c r="G11" s="40"/>
      <c r="H11" s="40"/>
      <c r="I11" s="58"/>
      <c r="J11" s="71"/>
      <c r="K11" s="71"/>
      <c r="L11" s="50"/>
      <c r="M11" s="50"/>
      <c r="N11" s="50"/>
      <c r="O11" s="50"/>
      <c r="P11" s="45"/>
      <c r="Q11" s="45"/>
    </row>
    <row r="12" spans="1:23" s="39" customFormat="1">
      <c r="A12" s="53"/>
      <c r="B12" s="52" t="s">
        <v>573</v>
      </c>
      <c r="C12" s="52">
        <v>1</v>
      </c>
      <c r="D12" s="50">
        <v>1</v>
      </c>
      <c r="E12" s="50">
        <v>1</v>
      </c>
      <c r="F12" s="40" t="s">
        <v>953</v>
      </c>
      <c r="G12" s="40"/>
      <c r="H12" s="58"/>
      <c r="I12" s="58"/>
      <c r="J12" s="71"/>
      <c r="K12" s="71"/>
      <c r="L12" s="50"/>
      <c r="M12" s="50"/>
      <c r="N12" s="50"/>
      <c r="O12" s="50"/>
      <c r="P12" s="45"/>
      <c r="Q12" s="45"/>
    </row>
    <row r="13" spans="1:23" s="39" customFormat="1">
      <c r="A13" s="53"/>
      <c r="B13" s="52" t="s">
        <v>576</v>
      </c>
      <c r="C13" s="52">
        <v>1</v>
      </c>
      <c r="D13" s="50">
        <v>1</v>
      </c>
      <c r="E13" s="50">
        <v>1</v>
      </c>
      <c r="F13" s="40" t="s">
        <v>954</v>
      </c>
      <c r="G13" s="40"/>
      <c r="H13" s="40"/>
      <c r="I13" s="58"/>
      <c r="J13" s="71"/>
      <c r="K13" s="71"/>
      <c r="L13" s="50"/>
      <c r="M13" s="50"/>
      <c r="N13" s="50"/>
      <c r="O13" s="50"/>
      <c r="P13" s="45"/>
      <c r="Q13" s="45"/>
    </row>
    <row r="14" spans="1:23" s="39" customFormat="1">
      <c r="A14" s="53"/>
      <c r="B14" s="52" t="s">
        <v>577</v>
      </c>
      <c r="C14" s="52">
        <v>1</v>
      </c>
      <c r="D14" s="50">
        <v>1</v>
      </c>
      <c r="E14" s="50">
        <v>1</v>
      </c>
      <c r="F14" s="40" t="s">
        <v>955</v>
      </c>
      <c r="G14" s="40"/>
      <c r="H14" s="40"/>
      <c r="I14" s="58"/>
      <c r="J14" s="71"/>
      <c r="K14" s="71"/>
      <c r="L14" s="50"/>
      <c r="M14" s="50"/>
      <c r="N14" s="50"/>
      <c r="O14" s="50"/>
      <c r="P14" s="45"/>
      <c r="Q14" s="45"/>
    </row>
    <row r="15" spans="1:23" s="39" customFormat="1">
      <c r="A15" s="53"/>
      <c r="B15" s="52" t="s">
        <v>578</v>
      </c>
      <c r="C15" s="52">
        <v>1</v>
      </c>
      <c r="D15" s="50">
        <v>1</v>
      </c>
      <c r="E15" s="50">
        <v>1</v>
      </c>
      <c r="F15" s="40" t="s">
        <v>956</v>
      </c>
      <c r="G15" s="40"/>
      <c r="H15" s="40"/>
      <c r="I15" s="58"/>
      <c r="J15" s="71"/>
      <c r="K15" s="71"/>
      <c r="L15" s="50"/>
      <c r="M15" s="50"/>
      <c r="N15" s="50"/>
      <c r="O15" s="50"/>
      <c r="P15" s="45"/>
      <c r="Q15" s="45"/>
    </row>
    <row r="16" spans="1:23" s="39" customFormat="1">
      <c r="A16" s="53"/>
      <c r="B16" s="52" t="s">
        <v>579</v>
      </c>
      <c r="C16" s="52">
        <v>1</v>
      </c>
      <c r="D16" s="50">
        <v>1</v>
      </c>
      <c r="E16" s="50">
        <v>1</v>
      </c>
      <c r="F16" s="40" t="s">
        <v>957</v>
      </c>
      <c r="G16" s="40"/>
      <c r="H16" s="40"/>
      <c r="I16" s="58"/>
      <c r="J16" s="71"/>
      <c r="K16" s="71"/>
      <c r="L16" s="50"/>
      <c r="M16" s="50"/>
      <c r="N16" s="50"/>
      <c r="O16" s="50"/>
      <c r="P16" s="45"/>
      <c r="Q16" s="45"/>
    </row>
    <row r="17" spans="1:17" s="39" customFormat="1">
      <c r="A17" s="53"/>
      <c r="B17" s="52" t="s">
        <v>580</v>
      </c>
      <c r="C17" s="52">
        <v>1</v>
      </c>
      <c r="D17" s="50">
        <v>1</v>
      </c>
      <c r="E17" s="50">
        <v>1</v>
      </c>
      <c r="F17" s="40" t="s">
        <v>958</v>
      </c>
      <c r="G17" s="40"/>
      <c r="H17" s="40"/>
      <c r="I17" s="58"/>
      <c r="J17" s="71"/>
      <c r="K17" s="71"/>
      <c r="L17" s="50"/>
      <c r="M17" s="50"/>
      <c r="N17" s="50"/>
      <c r="O17" s="50"/>
      <c r="P17" s="45"/>
      <c r="Q17" s="45"/>
    </row>
    <row r="18" spans="1:17" s="39" customFormat="1">
      <c r="A18" s="53"/>
      <c r="B18" s="52" t="s">
        <v>581</v>
      </c>
      <c r="C18" s="52">
        <v>1</v>
      </c>
      <c r="D18" s="50">
        <v>1</v>
      </c>
      <c r="E18" s="50">
        <v>1</v>
      </c>
      <c r="F18" s="40" t="s">
        <v>959</v>
      </c>
      <c r="G18" s="40"/>
      <c r="H18" s="40"/>
      <c r="I18" s="58"/>
      <c r="J18" s="71"/>
      <c r="K18" s="71"/>
      <c r="L18" s="50"/>
      <c r="M18" s="50"/>
      <c r="N18" s="50"/>
      <c r="O18" s="50"/>
      <c r="P18" s="45"/>
      <c r="Q18" s="45"/>
    </row>
    <row r="19" spans="1:17" s="39" customFormat="1">
      <c r="A19" s="53"/>
      <c r="B19" s="52" t="s">
        <v>572</v>
      </c>
      <c r="C19" s="52">
        <v>1</v>
      </c>
      <c r="D19" s="50">
        <v>1</v>
      </c>
      <c r="E19" s="50">
        <v>1</v>
      </c>
      <c r="F19" s="40" t="s">
        <v>960</v>
      </c>
      <c r="G19" s="40"/>
      <c r="H19" s="58"/>
      <c r="I19" s="58"/>
      <c r="J19" s="71"/>
      <c r="K19" s="71"/>
      <c r="L19" s="50"/>
      <c r="M19" s="50"/>
      <c r="N19" s="50"/>
      <c r="O19" s="50"/>
      <c r="P19" s="45"/>
      <c r="Q19" s="45"/>
    </row>
    <row r="20" spans="1:17" s="39" customFormat="1">
      <c r="A20" s="53"/>
      <c r="B20" s="52" t="s">
        <v>582</v>
      </c>
      <c r="C20" s="52">
        <v>1</v>
      </c>
      <c r="D20" s="50">
        <v>1</v>
      </c>
      <c r="E20" s="50">
        <v>1</v>
      </c>
      <c r="F20" s="40" t="s">
        <v>961</v>
      </c>
      <c r="G20" s="40"/>
      <c r="H20" s="40"/>
      <c r="I20" s="58"/>
      <c r="J20" s="71"/>
      <c r="K20" s="71"/>
      <c r="L20" s="50"/>
      <c r="M20" s="50"/>
      <c r="N20" s="50"/>
      <c r="O20" s="50"/>
      <c r="P20" s="45"/>
      <c r="Q20" s="45"/>
    </row>
    <row r="21" spans="1:17" s="39" customFormat="1">
      <c r="A21" s="53"/>
      <c r="B21" s="52" t="s">
        <v>583</v>
      </c>
      <c r="C21" s="52">
        <v>1</v>
      </c>
      <c r="D21" s="50">
        <v>1</v>
      </c>
      <c r="E21" s="50">
        <v>1</v>
      </c>
      <c r="F21" s="40" t="s">
        <v>962</v>
      </c>
      <c r="G21" s="40"/>
      <c r="H21" s="40"/>
      <c r="I21" s="58"/>
      <c r="J21" s="71"/>
      <c r="K21" s="71"/>
      <c r="L21" s="50"/>
      <c r="M21" s="50"/>
      <c r="N21" s="50"/>
      <c r="O21" s="50"/>
      <c r="P21" s="45"/>
      <c r="Q21" s="45"/>
    </row>
    <row r="22" spans="1:17" s="39" customFormat="1">
      <c r="A22" s="53"/>
      <c r="B22" s="52" t="s">
        <v>584</v>
      </c>
      <c r="C22" s="52">
        <v>1</v>
      </c>
      <c r="D22" s="50">
        <v>1</v>
      </c>
      <c r="E22" s="50">
        <v>1</v>
      </c>
      <c r="F22" s="40" t="s">
        <v>963</v>
      </c>
      <c r="G22" s="40"/>
      <c r="H22" s="40"/>
      <c r="I22" s="58"/>
      <c r="J22" s="71"/>
      <c r="K22" s="71"/>
      <c r="L22" s="50"/>
      <c r="M22" s="50"/>
      <c r="N22" s="50"/>
      <c r="O22" s="50"/>
      <c r="P22" s="45"/>
      <c r="Q22" s="45"/>
    </row>
    <row r="23" spans="1:17" s="39" customFormat="1">
      <c r="A23" s="53"/>
      <c r="B23" s="52" t="s">
        <v>585</v>
      </c>
      <c r="C23" s="52">
        <v>1</v>
      </c>
      <c r="D23" s="50">
        <v>1</v>
      </c>
      <c r="E23" s="50">
        <v>1</v>
      </c>
      <c r="F23" s="40" t="s">
        <v>964</v>
      </c>
      <c r="G23" s="40"/>
      <c r="H23" s="40"/>
      <c r="I23" s="58"/>
      <c r="J23" s="71"/>
      <c r="K23" s="71"/>
      <c r="L23" s="50"/>
      <c r="M23" s="50"/>
      <c r="N23" s="50"/>
      <c r="O23" s="50"/>
      <c r="P23" s="45"/>
      <c r="Q23" s="45"/>
    </row>
    <row r="24" spans="1:17" s="39" customFormat="1">
      <c r="A24" s="53"/>
      <c r="B24" s="52" t="s">
        <v>586</v>
      </c>
      <c r="C24" s="52">
        <v>1</v>
      </c>
      <c r="D24" s="50">
        <v>1</v>
      </c>
      <c r="E24" s="50">
        <v>1</v>
      </c>
      <c r="F24" s="40" t="s">
        <v>965</v>
      </c>
      <c r="G24" s="40"/>
      <c r="H24" s="40"/>
      <c r="I24" s="58"/>
      <c r="J24" s="71"/>
      <c r="K24" s="71"/>
      <c r="L24" s="50"/>
      <c r="M24" s="50"/>
      <c r="N24" s="50"/>
      <c r="O24" s="50"/>
      <c r="P24" s="45"/>
      <c r="Q24" s="45"/>
    </row>
    <row r="25" spans="1:17" s="39" customFormat="1">
      <c r="A25" s="53"/>
      <c r="B25" s="52" t="s">
        <v>587</v>
      </c>
      <c r="C25" s="52">
        <v>1</v>
      </c>
      <c r="D25" s="50">
        <v>1</v>
      </c>
      <c r="E25" s="50">
        <v>1</v>
      </c>
      <c r="F25" s="40" t="s">
        <v>966</v>
      </c>
      <c r="G25" s="40"/>
      <c r="H25" s="40"/>
      <c r="I25" s="58"/>
      <c r="J25" s="71"/>
      <c r="K25" s="71"/>
      <c r="L25" s="50"/>
      <c r="M25" s="50"/>
      <c r="N25" s="50"/>
      <c r="O25" s="50"/>
      <c r="P25" s="45"/>
      <c r="Q25" s="45"/>
    </row>
    <row r="26" spans="1:17" s="39" customFormat="1">
      <c r="A26" s="53"/>
      <c r="B26" s="52" t="s">
        <v>588</v>
      </c>
      <c r="C26" s="52">
        <v>1</v>
      </c>
      <c r="D26" s="50">
        <v>1</v>
      </c>
      <c r="E26" s="50">
        <v>1</v>
      </c>
      <c r="F26" s="40" t="s">
        <v>967</v>
      </c>
      <c r="G26" s="40"/>
      <c r="H26" s="58"/>
      <c r="I26" s="58"/>
      <c r="J26" s="71"/>
      <c r="K26" s="71"/>
      <c r="L26" s="50"/>
      <c r="M26" s="50"/>
      <c r="N26" s="50"/>
      <c r="O26" s="50"/>
      <c r="P26" s="45"/>
      <c r="Q26" s="45"/>
    </row>
    <row r="27" spans="1:17" s="39" customFormat="1">
      <c r="A27" s="53"/>
      <c r="B27" s="52" t="s">
        <v>589</v>
      </c>
      <c r="C27" s="52">
        <v>1</v>
      </c>
      <c r="D27" s="50">
        <v>1</v>
      </c>
      <c r="E27" s="50">
        <v>1</v>
      </c>
      <c r="F27" s="40" t="s">
        <v>968</v>
      </c>
      <c r="G27" s="40"/>
      <c r="H27" s="40"/>
      <c r="I27" s="58"/>
      <c r="J27" s="71"/>
      <c r="K27" s="71"/>
      <c r="L27" s="50"/>
      <c r="M27" s="50"/>
      <c r="N27" s="50"/>
      <c r="O27" s="50"/>
      <c r="P27" s="45"/>
      <c r="Q27" s="45"/>
    </row>
    <row r="28" spans="1:17" s="39" customFormat="1">
      <c r="A28" s="53"/>
      <c r="B28" s="52" t="s">
        <v>590</v>
      </c>
      <c r="C28" s="52">
        <v>1</v>
      </c>
      <c r="D28" s="50">
        <v>1</v>
      </c>
      <c r="E28" s="50">
        <v>1</v>
      </c>
      <c r="F28" s="40" t="s">
        <v>969</v>
      </c>
      <c r="G28" s="40"/>
      <c r="H28" s="40"/>
      <c r="I28" s="58"/>
      <c r="J28" s="71"/>
      <c r="K28" s="71"/>
      <c r="L28" s="50"/>
      <c r="M28" s="50"/>
      <c r="N28" s="50"/>
      <c r="O28" s="50"/>
      <c r="P28" s="45"/>
      <c r="Q28" s="45"/>
    </row>
    <row r="29" spans="1:17" s="39" customFormat="1">
      <c r="A29" s="53"/>
      <c r="B29" s="52" t="s">
        <v>591</v>
      </c>
      <c r="C29" s="52">
        <v>1</v>
      </c>
      <c r="D29" s="50">
        <v>1</v>
      </c>
      <c r="E29" s="50">
        <v>1</v>
      </c>
      <c r="F29" s="40" t="s">
        <v>970</v>
      </c>
      <c r="G29" s="40"/>
      <c r="H29" s="40"/>
      <c r="I29" s="58"/>
      <c r="J29" s="71"/>
      <c r="K29" s="71"/>
      <c r="L29" s="50"/>
      <c r="M29" s="50"/>
      <c r="N29" s="50"/>
      <c r="O29" s="50"/>
      <c r="P29" s="45"/>
      <c r="Q29" s="45"/>
    </row>
    <row r="30" spans="1:17" s="39" customFormat="1">
      <c r="A30" s="53"/>
      <c r="B30" s="52" t="s">
        <v>592</v>
      </c>
      <c r="C30" s="52">
        <v>1</v>
      </c>
      <c r="D30" s="50">
        <v>1</v>
      </c>
      <c r="E30" s="50">
        <v>1</v>
      </c>
      <c r="F30" s="40" t="s">
        <v>971</v>
      </c>
      <c r="G30" s="40"/>
      <c r="H30" s="40"/>
      <c r="I30" s="58"/>
      <c r="J30" s="71"/>
      <c r="K30" s="71"/>
      <c r="L30" s="50"/>
      <c r="M30" s="50"/>
      <c r="N30" s="50"/>
      <c r="O30" s="50"/>
      <c r="P30" s="45"/>
      <c r="Q30" s="45"/>
    </row>
    <row r="31" spans="1:17" s="39" customFormat="1">
      <c r="A31" s="53"/>
      <c r="B31" s="52" t="s">
        <v>593</v>
      </c>
      <c r="C31" s="52">
        <v>1</v>
      </c>
      <c r="D31" s="50">
        <v>1</v>
      </c>
      <c r="E31" s="50">
        <v>1</v>
      </c>
      <c r="F31" s="40" t="s">
        <v>972</v>
      </c>
      <c r="G31" s="40"/>
      <c r="H31" s="40"/>
      <c r="I31" s="58"/>
      <c r="J31" s="71"/>
      <c r="K31" s="71"/>
      <c r="L31" s="50"/>
      <c r="M31" s="50"/>
      <c r="N31" s="50"/>
      <c r="O31" s="50"/>
      <c r="P31" s="45"/>
      <c r="Q31" s="45"/>
    </row>
    <row r="32" spans="1:17" s="39" customFormat="1">
      <c r="A32" s="53"/>
      <c r="B32" s="52" t="s">
        <v>594</v>
      </c>
      <c r="C32" s="52">
        <v>1</v>
      </c>
      <c r="D32" s="50">
        <v>1</v>
      </c>
      <c r="E32" s="50">
        <v>1</v>
      </c>
      <c r="F32" s="40" t="s">
        <v>973</v>
      </c>
      <c r="G32" s="40"/>
      <c r="H32" s="40"/>
      <c r="I32" s="58"/>
      <c r="J32" s="71"/>
      <c r="K32" s="71"/>
      <c r="L32" s="50"/>
      <c r="M32" s="50"/>
      <c r="N32" s="50"/>
      <c r="O32" s="50"/>
      <c r="P32" s="45"/>
      <c r="Q32" s="45"/>
    </row>
    <row r="33" spans="1:17" s="39" customFormat="1">
      <c r="A33" s="53"/>
      <c r="B33" s="52" t="s">
        <v>595</v>
      </c>
      <c r="C33" s="52">
        <v>1</v>
      </c>
      <c r="D33" s="50">
        <v>1</v>
      </c>
      <c r="E33" s="50">
        <v>1</v>
      </c>
      <c r="F33" s="40" t="s">
        <v>974</v>
      </c>
      <c r="G33" s="40"/>
      <c r="H33" s="58"/>
      <c r="I33" s="58"/>
      <c r="J33" s="71"/>
      <c r="K33" s="71"/>
      <c r="L33" s="50"/>
      <c r="M33" s="50"/>
      <c r="N33" s="50"/>
      <c r="O33" s="50"/>
      <c r="P33" s="45"/>
      <c r="Q33" s="45"/>
    </row>
    <row r="34" spans="1:17" s="39" customFormat="1">
      <c r="A34" s="67"/>
      <c r="B34" s="52" t="s">
        <v>596</v>
      </c>
      <c r="C34" s="52">
        <v>1</v>
      </c>
      <c r="D34" s="50">
        <v>1</v>
      </c>
      <c r="E34" s="50">
        <v>1</v>
      </c>
      <c r="F34" s="40" t="s">
        <v>975</v>
      </c>
      <c r="G34" s="40"/>
      <c r="H34" s="40"/>
      <c r="I34" s="58"/>
      <c r="J34" s="71"/>
      <c r="K34" s="71"/>
      <c r="L34" s="50"/>
      <c r="M34" s="50"/>
      <c r="N34" s="50"/>
      <c r="O34" s="50"/>
      <c r="P34" s="45"/>
      <c r="Q34" s="45"/>
    </row>
    <row r="35" spans="1:17" s="39" customFormat="1">
      <c r="A35" s="51"/>
      <c r="B35" s="52" t="s">
        <v>597</v>
      </c>
      <c r="C35" s="52">
        <v>1</v>
      </c>
      <c r="D35" s="50">
        <v>1</v>
      </c>
      <c r="E35" s="50">
        <v>1</v>
      </c>
      <c r="F35" s="40" t="s">
        <v>976</v>
      </c>
      <c r="G35" s="40"/>
      <c r="H35" s="40"/>
      <c r="I35" s="58"/>
      <c r="J35" s="71"/>
      <c r="K35" s="71"/>
      <c r="L35" s="50"/>
      <c r="M35" s="50"/>
      <c r="N35" s="50"/>
      <c r="O35" s="50"/>
      <c r="P35" s="45"/>
      <c r="Q35" s="45"/>
    </row>
    <row r="36" spans="1:17" s="39" customFormat="1">
      <c r="A36" s="51"/>
      <c r="B36" s="52" t="s">
        <v>598</v>
      </c>
      <c r="C36" s="52">
        <v>1</v>
      </c>
      <c r="D36" s="50">
        <v>1</v>
      </c>
      <c r="E36" s="50">
        <v>1</v>
      </c>
      <c r="F36" s="40" t="s">
        <v>977</v>
      </c>
      <c r="G36" s="40"/>
      <c r="H36" s="40"/>
      <c r="I36" s="58"/>
      <c r="J36" s="71"/>
      <c r="K36" s="71"/>
      <c r="L36" s="50"/>
      <c r="M36" s="50"/>
      <c r="N36" s="50"/>
      <c r="O36" s="50"/>
      <c r="P36" s="45"/>
      <c r="Q36" s="45"/>
    </row>
    <row r="37" spans="1:17" s="39" customFormat="1">
      <c r="A37" s="51"/>
      <c r="B37" s="52" t="s">
        <v>599</v>
      </c>
      <c r="C37" s="52">
        <v>1</v>
      </c>
      <c r="D37" s="50">
        <v>1</v>
      </c>
      <c r="E37" s="50">
        <v>1</v>
      </c>
      <c r="F37" s="40" t="s">
        <v>978</v>
      </c>
      <c r="G37" s="40"/>
      <c r="H37" s="40"/>
      <c r="I37" s="58"/>
      <c r="J37" s="71"/>
      <c r="K37" s="71"/>
      <c r="L37" s="50"/>
      <c r="M37" s="50"/>
      <c r="N37" s="50"/>
      <c r="O37" s="50"/>
      <c r="P37" s="45"/>
      <c r="Q37" s="45"/>
    </row>
    <row r="38" spans="1:17" s="39" customFormat="1">
      <c r="A38" s="51"/>
      <c r="B38" s="52" t="s">
        <v>600</v>
      </c>
      <c r="C38" s="52">
        <v>1</v>
      </c>
      <c r="D38" s="50">
        <v>1</v>
      </c>
      <c r="E38" s="50">
        <v>1</v>
      </c>
      <c r="F38" s="40" t="s">
        <v>979</v>
      </c>
      <c r="G38" s="40"/>
      <c r="H38" s="40"/>
      <c r="I38" s="58"/>
      <c r="J38" s="71"/>
      <c r="K38" s="71"/>
      <c r="L38" s="50"/>
      <c r="M38" s="50"/>
      <c r="N38" s="50"/>
      <c r="O38" s="50"/>
      <c r="P38" s="45"/>
      <c r="Q38" s="45"/>
    </row>
    <row r="39" spans="1:17" s="39" customFormat="1">
      <c r="A39" s="51"/>
      <c r="B39" s="52" t="s">
        <v>601</v>
      </c>
      <c r="C39" s="52">
        <v>1</v>
      </c>
      <c r="D39" s="50">
        <v>1</v>
      </c>
      <c r="E39" s="50">
        <v>1</v>
      </c>
      <c r="F39" s="40" t="s">
        <v>980</v>
      </c>
      <c r="G39" s="40"/>
      <c r="H39" s="40"/>
      <c r="I39" s="58"/>
      <c r="J39" s="71"/>
      <c r="K39" s="71"/>
      <c r="L39" s="50"/>
      <c r="M39" s="50"/>
      <c r="N39" s="50"/>
      <c r="O39" s="50"/>
      <c r="P39" s="45"/>
      <c r="Q39" s="45"/>
    </row>
    <row r="40" spans="1:17" s="39" customFormat="1">
      <c r="A40" s="51"/>
      <c r="B40" s="52" t="s">
        <v>602</v>
      </c>
      <c r="C40" s="52">
        <v>1</v>
      </c>
      <c r="D40" s="50">
        <v>1</v>
      </c>
      <c r="E40" s="50">
        <v>1</v>
      </c>
      <c r="F40" s="40" t="s">
        <v>981</v>
      </c>
      <c r="G40" s="40"/>
      <c r="H40" s="58"/>
      <c r="I40" s="58"/>
      <c r="J40" s="71"/>
      <c r="K40" s="71"/>
      <c r="L40" s="50"/>
      <c r="M40" s="50"/>
      <c r="N40" s="50"/>
      <c r="O40" s="50"/>
      <c r="P40" s="45"/>
      <c r="Q40" s="45"/>
    </row>
    <row r="41" spans="1:17" s="39" customFormat="1">
      <c r="A41" s="51"/>
      <c r="B41" s="52" t="s">
        <v>603</v>
      </c>
      <c r="C41" s="52">
        <v>1</v>
      </c>
      <c r="D41" s="50">
        <v>1</v>
      </c>
      <c r="E41" s="50">
        <v>1</v>
      </c>
      <c r="F41" s="40" t="s">
        <v>982</v>
      </c>
      <c r="G41" s="40"/>
      <c r="H41" s="40"/>
      <c r="I41" s="58"/>
      <c r="J41" s="71"/>
      <c r="K41" s="71"/>
      <c r="L41" s="50"/>
      <c r="M41" s="50"/>
      <c r="N41" s="50"/>
      <c r="O41" s="50"/>
      <c r="P41" s="45"/>
      <c r="Q41" s="45"/>
    </row>
    <row r="42" spans="1:17" s="39" customFormat="1">
      <c r="A42" s="51"/>
      <c r="B42" s="52" t="s">
        <v>604</v>
      </c>
      <c r="C42" s="52">
        <v>1</v>
      </c>
      <c r="D42" s="50">
        <v>1</v>
      </c>
      <c r="E42" s="50">
        <v>1</v>
      </c>
      <c r="F42" s="40" t="s">
        <v>983</v>
      </c>
      <c r="G42" s="40"/>
      <c r="H42" s="40"/>
      <c r="I42" s="58"/>
      <c r="J42" s="71"/>
      <c r="K42" s="71"/>
      <c r="L42" s="50"/>
      <c r="M42" s="50"/>
      <c r="N42" s="50"/>
      <c r="O42" s="50"/>
      <c r="P42" s="45"/>
      <c r="Q42" s="45"/>
    </row>
    <row r="43" spans="1:17" s="39" customFormat="1">
      <c r="A43" s="51"/>
      <c r="B43" s="52" t="s">
        <v>605</v>
      </c>
      <c r="C43" s="52">
        <v>1</v>
      </c>
      <c r="D43" s="50">
        <v>1</v>
      </c>
      <c r="E43" s="50">
        <v>1</v>
      </c>
      <c r="F43" s="40" t="s">
        <v>984</v>
      </c>
      <c r="G43" s="40"/>
      <c r="H43" s="40"/>
      <c r="I43" s="58"/>
      <c r="J43" s="71"/>
      <c r="K43" s="71"/>
      <c r="L43" s="50"/>
      <c r="M43" s="50"/>
      <c r="N43" s="50"/>
      <c r="O43" s="50"/>
      <c r="P43" s="45"/>
      <c r="Q43" s="45"/>
    </row>
    <row r="44" spans="1:17" s="39" customFormat="1">
      <c r="A44" s="51"/>
      <c r="B44" s="52" t="s">
        <v>606</v>
      </c>
      <c r="C44" s="52">
        <v>1</v>
      </c>
      <c r="D44" s="50">
        <v>1</v>
      </c>
      <c r="E44" s="50">
        <v>1</v>
      </c>
      <c r="F44" s="40" t="s">
        <v>985</v>
      </c>
      <c r="G44" s="40"/>
      <c r="H44" s="40"/>
      <c r="I44" s="58"/>
      <c r="J44" s="71"/>
      <c r="K44" s="71"/>
      <c r="L44" s="50"/>
      <c r="M44" s="50"/>
      <c r="N44" s="50"/>
      <c r="O44" s="50"/>
      <c r="P44" s="45"/>
      <c r="Q44" s="45"/>
    </row>
    <row r="45" spans="1:17" s="39" customFormat="1">
      <c r="A45" s="51"/>
      <c r="B45" s="52" t="s">
        <v>607</v>
      </c>
      <c r="C45" s="52">
        <v>1</v>
      </c>
      <c r="D45" s="50">
        <v>1</v>
      </c>
      <c r="E45" s="50">
        <v>1</v>
      </c>
      <c r="F45" s="40" t="s">
        <v>986</v>
      </c>
      <c r="G45" s="40"/>
      <c r="H45" s="40"/>
      <c r="I45" s="58"/>
      <c r="J45" s="71"/>
      <c r="K45" s="71"/>
      <c r="L45" s="50"/>
      <c r="M45" s="50"/>
      <c r="N45" s="50"/>
      <c r="O45" s="50"/>
      <c r="P45" s="45"/>
      <c r="Q45" s="45"/>
    </row>
    <row r="46" spans="1:17">
      <c r="A46" s="39" t="s">
        <v>493</v>
      </c>
      <c r="B46" s="39" t="s">
        <v>508</v>
      </c>
      <c r="C46" s="39"/>
      <c r="D46" s="39"/>
      <c r="E46" s="39"/>
      <c r="F46" s="40" t="s">
        <v>783</v>
      </c>
      <c r="G46" s="40"/>
      <c r="H46" s="40"/>
      <c r="I46" s="40" t="s">
        <v>783</v>
      </c>
      <c r="J46" s="71"/>
      <c r="K46" s="71"/>
    </row>
    <row r="47" spans="1:17">
      <c r="A47" s="39" t="s">
        <v>493</v>
      </c>
      <c r="B47" s="52" t="s">
        <v>608</v>
      </c>
      <c r="C47" s="52">
        <v>1</v>
      </c>
      <c r="D47" s="50">
        <v>1</v>
      </c>
      <c r="E47" s="50">
        <v>1</v>
      </c>
      <c r="F47" s="40" t="s">
        <v>945</v>
      </c>
      <c r="G47" s="40"/>
      <c r="H47" s="40"/>
      <c r="I47" s="58" t="s">
        <v>783</v>
      </c>
      <c r="J47" s="71"/>
      <c r="K47" s="71"/>
    </row>
    <row r="48" spans="1:17">
      <c r="A48" s="39" t="s">
        <v>493</v>
      </c>
      <c r="B48" s="52" t="s">
        <v>609</v>
      </c>
      <c r="C48" s="52">
        <v>1</v>
      </c>
      <c r="D48" s="50">
        <v>1</v>
      </c>
      <c r="E48" s="50">
        <v>1</v>
      </c>
      <c r="F48" s="40" t="s">
        <v>946</v>
      </c>
      <c r="G48" s="40"/>
      <c r="H48" s="58"/>
      <c r="I48" s="58" t="s">
        <v>783</v>
      </c>
      <c r="J48" s="71"/>
      <c r="K48" s="71"/>
    </row>
    <row r="49" spans="1:11">
      <c r="A49" s="39" t="s">
        <v>493</v>
      </c>
      <c r="B49" s="52" t="s">
        <v>610</v>
      </c>
      <c r="C49" s="52">
        <v>1</v>
      </c>
      <c r="D49" s="50">
        <v>1</v>
      </c>
      <c r="E49" s="50">
        <v>1</v>
      </c>
      <c r="F49" s="40" t="s">
        <v>947</v>
      </c>
      <c r="G49" s="40"/>
      <c r="H49" s="40"/>
      <c r="I49" s="58"/>
      <c r="J49" s="71"/>
      <c r="K49" s="71"/>
    </row>
    <row r="50" spans="1:11">
      <c r="A50" s="39" t="s">
        <v>493</v>
      </c>
      <c r="B50" s="52" t="s">
        <v>611</v>
      </c>
      <c r="C50" s="52">
        <v>1</v>
      </c>
      <c r="D50" s="50">
        <v>1</v>
      </c>
      <c r="E50" s="50">
        <v>1</v>
      </c>
      <c r="F50" s="40" t="s">
        <v>948</v>
      </c>
      <c r="G50" s="40"/>
      <c r="H50" s="40"/>
      <c r="I50" s="58"/>
      <c r="J50" s="71"/>
      <c r="K50" s="71"/>
    </row>
    <row r="51" spans="1:11">
      <c r="A51" s="39" t="s">
        <v>493</v>
      </c>
      <c r="B51" s="52" t="s">
        <v>612</v>
      </c>
      <c r="C51" s="52">
        <v>1</v>
      </c>
      <c r="D51" s="50">
        <v>1</v>
      </c>
      <c r="E51" s="50">
        <v>1</v>
      </c>
      <c r="F51" s="40" t="s">
        <v>949</v>
      </c>
      <c r="G51" s="40"/>
      <c r="H51" s="40"/>
      <c r="I51" s="58"/>
      <c r="J51" s="71"/>
      <c r="K51" s="71"/>
    </row>
    <row r="52" spans="1:11">
      <c r="A52" s="39" t="s">
        <v>493</v>
      </c>
      <c r="B52" s="52" t="s">
        <v>613</v>
      </c>
      <c r="C52" s="52">
        <v>1</v>
      </c>
      <c r="D52" s="50">
        <v>1</v>
      </c>
      <c r="E52" s="50">
        <v>1</v>
      </c>
      <c r="F52" s="40" t="s">
        <v>950</v>
      </c>
      <c r="G52" s="40"/>
      <c r="H52" s="40"/>
      <c r="I52" s="58"/>
      <c r="J52" s="71"/>
      <c r="K52" s="71"/>
    </row>
    <row r="53" spans="1:11">
      <c r="A53" s="39" t="s">
        <v>493</v>
      </c>
      <c r="B53" s="52" t="s">
        <v>614</v>
      </c>
      <c r="C53" s="52">
        <v>1</v>
      </c>
      <c r="D53" s="50">
        <v>1</v>
      </c>
      <c r="E53" s="50">
        <v>1</v>
      </c>
      <c r="F53" s="40" t="s">
        <v>951</v>
      </c>
      <c r="G53" s="40"/>
      <c r="H53" s="40"/>
      <c r="I53" s="58"/>
      <c r="J53" s="71"/>
      <c r="K53" s="71"/>
    </row>
    <row r="54" spans="1:11">
      <c r="A54" s="39" t="s">
        <v>493</v>
      </c>
      <c r="B54" s="52" t="s">
        <v>615</v>
      </c>
      <c r="C54" s="52">
        <v>1</v>
      </c>
      <c r="D54" s="50">
        <v>1</v>
      </c>
      <c r="E54" s="50">
        <v>1</v>
      </c>
      <c r="F54" s="40" t="s">
        <v>952</v>
      </c>
      <c r="G54" s="40"/>
      <c r="H54" s="40"/>
      <c r="I54" s="58"/>
      <c r="J54" s="71"/>
      <c r="K54" s="71"/>
    </row>
    <row r="55" spans="1:11">
      <c r="A55" s="39" t="s">
        <v>493</v>
      </c>
      <c r="B55" s="52" t="s">
        <v>616</v>
      </c>
      <c r="C55" s="52">
        <v>1</v>
      </c>
      <c r="D55" s="50">
        <v>1</v>
      </c>
      <c r="E55" s="50">
        <v>1</v>
      </c>
      <c r="F55" s="40" t="s">
        <v>953</v>
      </c>
      <c r="G55" s="40"/>
      <c r="H55" s="58"/>
      <c r="I55" s="58"/>
      <c r="J55" s="71"/>
      <c r="K55" s="71"/>
    </row>
    <row r="56" spans="1:11">
      <c r="A56" s="39" t="s">
        <v>493</v>
      </c>
      <c r="B56" s="52" t="s">
        <v>617</v>
      </c>
      <c r="C56" s="52">
        <v>1</v>
      </c>
      <c r="D56" s="50">
        <v>1</v>
      </c>
      <c r="E56" s="50">
        <v>1</v>
      </c>
      <c r="F56" s="40" t="s">
        <v>954</v>
      </c>
      <c r="G56" s="40"/>
      <c r="H56" s="40"/>
      <c r="I56" s="58"/>
      <c r="J56" s="71"/>
      <c r="K56" s="71"/>
    </row>
    <row r="57" spans="1:11">
      <c r="A57" s="39" t="s">
        <v>493</v>
      </c>
      <c r="B57" s="52" t="s">
        <v>618</v>
      </c>
      <c r="C57" s="52">
        <v>1</v>
      </c>
      <c r="D57" s="50">
        <v>1</v>
      </c>
      <c r="E57" s="50">
        <v>1</v>
      </c>
      <c r="F57" s="40" t="s">
        <v>955</v>
      </c>
      <c r="G57" s="40"/>
      <c r="H57" s="40"/>
      <c r="I57" s="58"/>
      <c r="J57" s="71"/>
      <c r="K57" s="71"/>
    </row>
    <row r="58" spans="1:11">
      <c r="A58" s="39" t="s">
        <v>493</v>
      </c>
      <c r="B58" s="52" t="s">
        <v>619</v>
      </c>
      <c r="C58" s="52">
        <v>1</v>
      </c>
      <c r="D58" s="50">
        <v>1</v>
      </c>
      <c r="E58" s="50">
        <v>1</v>
      </c>
      <c r="F58" s="40" t="s">
        <v>956</v>
      </c>
      <c r="G58" s="40"/>
      <c r="H58" s="40"/>
      <c r="I58" s="58"/>
      <c r="J58" s="71"/>
      <c r="K58" s="71"/>
    </row>
    <row r="59" spans="1:11">
      <c r="A59" s="39" t="s">
        <v>493</v>
      </c>
      <c r="B59" s="52" t="s">
        <v>620</v>
      </c>
      <c r="C59" s="52">
        <v>1</v>
      </c>
      <c r="D59" s="50">
        <v>1</v>
      </c>
      <c r="E59" s="50">
        <v>1</v>
      </c>
      <c r="F59" s="40" t="s">
        <v>957</v>
      </c>
      <c r="G59" s="40"/>
      <c r="H59" s="40"/>
      <c r="I59" s="58"/>
      <c r="J59" s="71"/>
      <c r="K59" s="71"/>
    </row>
    <row r="60" spans="1:11">
      <c r="A60" s="39" t="s">
        <v>493</v>
      </c>
      <c r="B60" s="52" t="s">
        <v>621</v>
      </c>
      <c r="C60" s="52">
        <v>1</v>
      </c>
      <c r="D60" s="50">
        <v>1</v>
      </c>
      <c r="E60" s="50">
        <v>1</v>
      </c>
      <c r="F60" s="40" t="s">
        <v>958</v>
      </c>
      <c r="G60" s="40"/>
      <c r="H60" s="40"/>
      <c r="I60" s="58"/>
      <c r="J60" s="71"/>
      <c r="K60" s="71"/>
    </row>
    <row r="61" spans="1:11">
      <c r="A61" s="39" t="s">
        <v>493</v>
      </c>
      <c r="B61" s="52" t="s">
        <v>622</v>
      </c>
      <c r="C61" s="52">
        <v>1</v>
      </c>
      <c r="D61" s="50">
        <v>1</v>
      </c>
      <c r="E61" s="50">
        <v>1</v>
      </c>
      <c r="F61" s="40" t="s">
        <v>959</v>
      </c>
      <c r="G61" s="40"/>
      <c r="H61" s="40"/>
      <c r="I61" s="58"/>
      <c r="J61" s="71"/>
      <c r="K61" s="71"/>
    </row>
    <row r="62" spans="1:11">
      <c r="A62" s="39" t="s">
        <v>493</v>
      </c>
      <c r="B62" s="52" t="s">
        <v>623</v>
      </c>
      <c r="C62" s="52">
        <v>1</v>
      </c>
      <c r="D62" s="50">
        <v>1</v>
      </c>
      <c r="E62" s="50">
        <v>1</v>
      </c>
      <c r="F62" s="40" t="s">
        <v>960</v>
      </c>
      <c r="G62" s="40"/>
      <c r="H62" s="58"/>
      <c r="I62" s="58"/>
      <c r="J62" s="71"/>
      <c r="K62" s="71"/>
    </row>
    <row r="63" spans="1:11">
      <c r="A63" s="39" t="s">
        <v>493</v>
      </c>
      <c r="B63" s="52" t="s">
        <v>624</v>
      </c>
      <c r="C63" s="52">
        <v>1</v>
      </c>
      <c r="D63" s="50">
        <v>1</v>
      </c>
      <c r="E63" s="50">
        <v>1</v>
      </c>
      <c r="F63" s="40" t="s">
        <v>961</v>
      </c>
      <c r="G63" s="40"/>
      <c r="H63" s="40"/>
      <c r="I63" s="58"/>
      <c r="J63" s="71"/>
      <c r="K63" s="71"/>
    </row>
    <row r="64" spans="1:11">
      <c r="A64" s="39" t="s">
        <v>493</v>
      </c>
      <c r="B64" s="52" t="s">
        <v>625</v>
      </c>
      <c r="C64" s="52">
        <v>1</v>
      </c>
      <c r="D64" s="50">
        <v>1</v>
      </c>
      <c r="E64" s="50">
        <v>1</v>
      </c>
      <c r="F64" s="40" t="s">
        <v>962</v>
      </c>
      <c r="G64" s="40"/>
      <c r="H64" s="40"/>
      <c r="I64" s="58"/>
      <c r="J64" s="71"/>
      <c r="K64" s="71"/>
    </row>
    <row r="65" spans="1:11">
      <c r="A65" s="39" t="s">
        <v>493</v>
      </c>
      <c r="B65" s="52" t="s">
        <v>626</v>
      </c>
      <c r="C65" s="52">
        <v>1</v>
      </c>
      <c r="D65" s="50">
        <v>1</v>
      </c>
      <c r="E65" s="50">
        <v>1</v>
      </c>
      <c r="F65" s="40" t="s">
        <v>963</v>
      </c>
      <c r="G65" s="40"/>
      <c r="H65" s="40"/>
      <c r="I65" s="58"/>
      <c r="J65" s="71"/>
      <c r="K65" s="71"/>
    </row>
    <row r="66" spans="1:11">
      <c r="A66" s="39" t="s">
        <v>493</v>
      </c>
      <c r="B66" s="52" t="s">
        <v>627</v>
      </c>
      <c r="C66" s="52">
        <v>1</v>
      </c>
      <c r="D66" s="50">
        <v>1</v>
      </c>
      <c r="E66" s="50">
        <v>1</v>
      </c>
      <c r="F66" s="40" t="s">
        <v>964</v>
      </c>
      <c r="G66" s="40"/>
      <c r="H66" s="40"/>
      <c r="I66" s="58"/>
      <c r="J66" s="71"/>
      <c r="K66" s="71"/>
    </row>
    <row r="67" spans="1:11">
      <c r="A67" s="39" t="s">
        <v>493</v>
      </c>
      <c r="B67" s="52" t="s">
        <v>628</v>
      </c>
      <c r="C67" s="52">
        <v>1</v>
      </c>
      <c r="D67" s="50">
        <v>1</v>
      </c>
      <c r="E67" s="50">
        <v>1</v>
      </c>
      <c r="F67" s="40" t="s">
        <v>965</v>
      </c>
      <c r="G67" s="40"/>
      <c r="H67" s="40"/>
      <c r="I67" s="58"/>
      <c r="J67" s="71"/>
      <c r="K67" s="71"/>
    </row>
    <row r="68" spans="1:11">
      <c r="A68" s="39" t="s">
        <v>493</v>
      </c>
      <c r="B68" s="52" t="s">
        <v>629</v>
      </c>
      <c r="C68" s="52">
        <v>1</v>
      </c>
      <c r="D68" s="50">
        <v>1</v>
      </c>
      <c r="E68" s="50">
        <v>1</v>
      </c>
      <c r="F68" s="40" t="s">
        <v>966</v>
      </c>
      <c r="G68" s="40"/>
      <c r="H68" s="40"/>
      <c r="I68" s="58"/>
      <c r="J68" s="71"/>
      <c r="K68" s="71"/>
    </row>
    <row r="69" spans="1:11">
      <c r="A69" s="39" t="s">
        <v>493</v>
      </c>
      <c r="B69" s="52" t="s">
        <v>630</v>
      </c>
      <c r="C69" s="52">
        <v>1</v>
      </c>
      <c r="D69" s="50">
        <v>1</v>
      </c>
      <c r="E69" s="50">
        <v>1</v>
      </c>
      <c r="F69" s="40" t="s">
        <v>967</v>
      </c>
      <c r="G69" s="40"/>
      <c r="H69" s="58"/>
      <c r="I69" s="58"/>
      <c r="J69" s="71"/>
      <c r="K69" s="71"/>
    </row>
    <row r="70" spans="1:11">
      <c r="A70" s="39" t="s">
        <v>493</v>
      </c>
      <c r="B70" s="52" t="s">
        <v>631</v>
      </c>
      <c r="C70" s="52">
        <v>1</v>
      </c>
      <c r="D70" s="50">
        <v>1</v>
      </c>
      <c r="E70" s="50">
        <v>1</v>
      </c>
      <c r="F70" s="40" t="s">
        <v>968</v>
      </c>
      <c r="G70" s="40"/>
      <c r="H70" s="40"/>
      <c r="I70" s="58"/>
      <c r="J70" s="71"/>
      <c r="K70" s="71"/>
    </row>
    <row r="71" spans="1:11">
      <c r="A71" s="39" t="s">
        <v>493</v>
      </c>
      <c r="B71" s="52" t="s">
        <v>632</v>
      </c>
      <c r="C71" s="52">
        <v>1</v>
      </c>
      <c r="D71" s="50">
        <v>1</v>
      </c>
      <c r="E71" s="50">
        <v>1</v>
      </c>
      <c r="F71" s="40" t="s">
        <v>969</v>
      </c>
      <c r="G71" s="40"/>
      <c r="H71" s="40"/>
      <c r="I71" s="58"/>
      <c r="J71" s="71"/>
      <c r="K71" s="71"/>
    </row>
    <row r="72" spans="1:11">
      <c r="A72" s="39" t="s">
        <v>493</v>
      </c>
      <c r="B72" s="52" t="s">
        <v>633</v>
      </c>
      <c r="C72" s="52">
        <v>1</v>
      </c>
      <c r="D72" s="50">
        <v>1</v>
      </c>
      <c r="E72" s="50">
        <v>1</v>
      </c>
      <c r="F72" s="40" t="s">
        <v>970</v>
      </c>
      <c r="G72" s="40"/>
      <c r="H72" s="40"/>
      <c r="I72" s="58"/>
      <c r="J72" s="71"/>
      <c r="K72" s="71"/>
    </row>
    <row r="73" spans="1:11">
      <c r="A73" s="39" t="s">
        <v>493</v>
      </c>
      <c r="B73" s="52" t="s">
        <v>634</v>
      </c>
      <c r="C73" s="52">
        <v>1</v>
      </c>
      <c r="D73" s="50">
        <v>1</v>
      </c>
      <c r="E73" s="50">
        <v>1</v>
      </c>
      <c r="F73" s="40" t="s">
        <v>971</v>
      </c>
      <c r="G73" s="40"/>
      <c r="H73" s="40"/>
      <c r="I73" s="58"/>
      <c r="J73" s="71"/>
      <c r="K73" s="71"/>
    </row>
    <row r="74" spans="1:11">
      <c r="A74" s="39" t="s">
        <v>493</v>
      </c>
      <c r="B74" s="52" t="s">
        <v>635</v>
      </c>
      <c r="C74" s="52">
        <v>1</v>
      </c>
      <c r="D74" s="50">
        <v>1</v>
      </c>
      <c r="E74" s="50">
        <v>1</v>
      </c>
      <c r="F74" s="40" t="s">
        <v>972</v>
      </c>
      <c r="G74" s="40"/>
      <c r="H74" s="40"/>
      <c r="I74" s="58"/>
      <c r="J74" s="71"/>
      <c r="K74" s="71"/>
    </row>
    <row r="75" spans="1:11">
      <c r="A75" s="39" t="s">
        <v>493</v>
      </c>
      <c r="B75" s="52" t="s">
        <v>636</v>
      </c>
      <c r="C75" s="52">
        <v>1</v>
      </c>
      <c r="D75" s="50">
        <v>1</v>
      </c>
      <c r="E75" s="50">
        <v>1</v>
      </c>
      <c r="F75" s="40" t="s">
        <v>973</v>
      </c>
      <c r="G75" s="40"/>
      <c r="H75" s="40"/>
      <c r="I75" s="58"/>
      <c r="J75" s="71"/>
      <c r="K75" s="71"/>
    </row>
    <row r="76" spans="1:11">
      <c r="A76" s="39" t="s">
        <v>493</v>
      </c>
      <c r="B76" s="52" t="s">
        <v>637</v>
      </c>
      <c r="C76" s="52">
        <v>1</v>
      </c>
      <c r="D76" s="50">
        <v>1</v>
      </c>
      <c r="E76" s="50">
        <v>1</v>
      </c>
      <c r="F76" s="40" t="s">
        <v>974</v>
      </c>
      <c r="G76" s="40"/>
      <c r="H76" s="58"/>
      <c r="I76" s="58"/>
      <c r="J76" s="71"/>
      <c r="K76" s="71"/>
    </row>
    <row r="77" spans="1:11">
      <c r="A77" s="39" t="s">
        <v>493</v>
      </c>
      <c r="B77" s="52" t="s">
        <v>638</v>
      </c>
      <c r="C77" s="52">
        <v>1</v>
      </c>
      <c r="D77" s="50">
        <v>1</v>
      </c>
      <c r="E77" s="50">
        <v>1</v>
      </c>
      <c r="F77" s="40" t="s">
        <v>975</v>
      </c>
      <c r="G77" s="40"/>
      <c r="H77" s="40"/>
      <c r="I77" s="58"/>
      <c r="J77" s="71"/>
      <c r="K77" s="71"/>
    </row>
    <row r="78" spans="1:11">
      <c r="A78" s="39" t="s">
        <v>493</v>
      </c>
      <c r="B78" s="52" t="s">
        <v>639</v>
      </c>
      <c r="C78" s="52">
        <v>1</v>
      </c>
      <c r="D78" s="50">
        <v>1</v>
      </c>
      <c r="E78" s="50">
        <v>1</v>
      </c>
      <c r="F78" s="40" t="s">
        <v>976</v>
      </c>
      <c r="G78" s="40"/>
      <c r="H78" s="40"/>
      <c r="I78" s="58"/>
      <c r="J78" s="71"/>
      <c r="K78" s="71"/>
    </row>
    <row r="79" spans="1:11">
      <c r="A79" s="39" t="s">
        <v>493</v>
      </c>
      <c r="B79" s="52" t="s">
        <v>640</v>
      </c>
      <c r="C79" s="52">
        <v>1</v>
      </c>
      <c r="D79" s="50">
        <v>1</v>
      </c>
      <c r="E79" s="50">
        <v>1</v>
      </c>
      <c r="F79" s="40" t="s">
        <v>977</v>
      </c>
      <c r="G79" s="40"/>
      <c r="H79" s="40"/>
      <c r="I79" s="58"/>
      <c r="J79" s="71"/>
      <c r="K79" s="71"/>
    </row>
    <row r="80" spans="1:11">
      <c r="A80" s="39" t="s">
        <v>493</v>
      </c>
      <c r="B80" s="52" t="s">
        <v>641</v>
      </c>
      <c r="C80" s="52">
        <v>1</v>
      </c>
      <c r="D80" s="50">
        <v>1</v>
      </c>
      <c r="E80" s="50">
        <v>1</v>
      </c>
      <c r="F80" s="40" t="s">
        <v>978</v>
      </c>
      <c r="G80" s="40"/>
      <c r="H80" s="40"/>
      <c r="I80" s="58"/>
      <c r="J80" s="71"/>
      <c r="K80" s="71"/>
    </row>
    <row r="81" spans="1:11">
      <c r="A81" s="39" t="s">
        <v>493</v>
      </c>
      <c r="B81" s="52" t="s">
        <v>642</v>
      </c>
      <c r="C81" s="52">
        <v>1</v>
      </c>
      <c r="D81" s="50">
        <v>1</v>
      </c>
      <c r="E81" s="50">
        <v>1</v>
      </c>
      <c r="F81" s="40" t="s">
        <v>979</v>
      </c>
      <c r="G81" s="40"/>
      <c r="H81" s="40"/>
      <c r="I81" s="58"/>
      <c r="J81" s="71"/>
      <c r="K81" s="71"/>
    </row>
    <row r="82" spans="1:11">
      <c r="A82" s="39" t="s">
        <v>493</v>
      </c>
      <c r="B82" s="52" t="s">
        <v>643</v>
      </c>
      <c r="C82" s="52">
        <v>1</v>
      </c>
      <c r="D82" s="50">
        <v>1</v>
      </c>
      <c r="E82" s="50">
        <v>1</v>
      </c>
      <c r="F82" s="40" t="s">
        <v>980</v>
      </c>
      <c r="G82" s="40"/>
      <c r="H82" s="40"/>
      <c r="I82" s="58"/>
      <c r="J82" s="71"/>
      <c r="K82" s="71"/>
    </row>
    <row r="83" spans="1:11">
      <c r="A83" s="39" t="s">
        <v>493</v>
      </c>
      <c r="B83" s="52" t="s">
        <v>644</v>
      </c>
      <c r="C83" s="52">
        <v>1</v>
      </c>
      <c r="D83" s="50">
        <v>1</v>
      </c>
      <c r="E83" s="50">
        <v>1</v>
      </c>
      <c r="F83" s="40" t="s">
        <v>981</v>
      </c>
      <c r="G83" s="40"/>
      <c r="H83" s="58"/>
      <c r="I83" s="58"/>
      <c r="J83" s="71"/>
      <c r="K83" s="71"/>
    </row>
    <row r="84" spans="1:11">
      <c r="A84" s="39" t="s">
        <v>493</v>
      </c>
      <c r="B84" s="52" t="s">
        <v>645</v>
      </c>
      <c r="C84" s="52">
        <v>1</v>
      </c>
      <c r="D84" s="50">
        <v>1</v>
      </c>
      <c r="E84" s="50">
        <v>1</v>
      </c>
      <c r="F84" s="40" t="s">
        <v>982</v>
      </c>
      <c r="G84" s="40"/>
      <c r="H84" s="40"/>
      <c r="I84" s="58"/>
      <c r="J84" s="71"/>
      <c r="K84" s="71"/>
    </row>
    <row r="85" spans="1:11">
      <c r="A85" s="39" t="s">
        <v>493</v>
      </c>
      <c r="B85" s="52" t="s">
        <v>646</v>
      </c>
      <c r="C85" s="52">
        <v>1</v>
      </c>
      <c r="D85" s="50">
        <v>1</v>
      </c>
      <c r="E85" s="50">
        <v>1</v>
      </c>
      <c r="F85" s="40" t="s">
        <v>983</v>
      </c>
      <c r="G85" s="40"/>
      <c r="H85" s="40"/>
      <c r="I85" s="58"/>
      <c r="J85" s="71"/>
      <c r="K85" s="71"/>
    </row>
    <row r="86" spans="1:11">
      <c r="A86" s="39" t="s">
        <v>493</v>
      </c>
      <c r="B86" s="52" t="s">
        <v>647</v>
      </c>
      <c r="C86" s="52">
        <v>1</v>
      </c>
      <c r="D86" s="50">
        <v>1</v>
      </c>
      <c r="E86" s="50">
        <v>1</v>
      </c>
      <c r="F86" s="40" t="s">
        <v>984</v>
      </c>
      <c r="G86" s="40"/>
      <c r="H86" s="40"/>
      <c r="I86" s="58"/>
      <c r="J86" s="71"/>
      <c r="K86" s="71"/>
    </row>
    <row r="87" spans="1:11">
      <c r="A87" s="39" t="s">
        <v>493</v>
      </c>
      <c r="B87" s="52" t="s">
        <v>648</v>
      </c>
      <c r="C87" s="52">
        <v>1</v>
      </c>
      <c r="D87" s="50">
        <v>1</v>
      </c>
      <c r="E87" s="50">
        <v>1</v>
      </c>
      <c r="F87" s="40" t="s">
        <v>985</v>
      </c>
      <c r="G87" s="40"/>
      <c r="H87" s="40"/>
      <c r="I87" s="58"/>
      <c r="J87" s="71"/>
      <c r="K87" s="71"/>
    </row>
    <row r="88" spans="1:11">
      <c r="A88" s="39" t="s">
        <v>493</v>
      </c>
      <c r="B88" s="52" t="s">
        <v>649</v>
      </c>
      <c r="C88" s="52">
        <v>1</v>
      </c>
      <c r="D88" s="50">
        <v>1</v>
      </c>
      <c r="E88" s="50">
        <v>1</v>
      </c>
      <c r="F88" s="40" t="s">
        <v>986</v>
      </c>
      <c r="G88" s="40"/>
      <c r="H88" s="40"/>
      <c r="I88" s="58"/>
      <c r="J88" s="71"/>
      <c r="K88" s="71"/>
    </row>
  </sheetData>
  <autoFilter ref="J1:K88"/>
  <phoneticPr fontId="1" type="noConversion"/>
  <pageMargins left="0.7" right="0.7" top="0.75" bottom="0.75" header="0.3" footer="0.3"/>
  <pageSetup paperSize="9" orientation="portrait" horizontalDpi="200" verticalDpi="200" r:id="rId1"/>
  <legacyDrawing r:id="rId2"/>
</worksheet>
</file>

<file path=xl/worksheets/sheet4.xml><?xml version="1.0" encoding="utf-8"?>
<worksheet xmlns="http://schemas.openxmlformats.org/spreadsheetml/2006/main" xmlns:r="http://schemas.openxmlformats.org/officeDocument/2006/relationships">
  <dimension ref="A1:Q1008"/>
  <sheetViews>
    <sheetView zoomScale="85" zoomScaleNormal="85" workbookViewId="0">
      <pane ySplit="1" topLeftCell="A2" activePane="bottomLeft" state="frozen"/>
      <selection pane="bottomLeft" activeCell="D27" sqref="D27"/>
    </sheetView>
  </sheetViews>
  <sheetFormatPr defaultColWidth="9" defaultRowHeight="13.5"/>
  <cols>
    <col min="1" max="1" width="6.5" style="3" bestFit="1" customWidth="1"/>
    <col min="2" max="2" width="10.5" style="3" bestFit="1" customWidth="1"/>
    <col min="3" max="3" width="13.5" style="11" bestFit="1" customWidth="1"/>
    <col min="4" max="4" width="63.625" style="20" customWidth="1"/>
    <col min="5" max="5" width="15.875" style="10" bestFit="1" customWidth="1"/>
    <col min="6" max="6" width="33.875" style="3" bestFit="1" customWidth="1"/>
    <col min="7" max="8" width="0.625" style="3" customWidth="1"/>
    <col min="9" max="9" width="0.875" style="3" customWidth="1"/>
    <col min="10" max="10" width="26.125" style="3" bestFit="1" customWidth="1"/>
    <col min="11" max="16384" width="9" style="3"/>
  </cols>
  <sheetData>
    <row r="1" spans="1:17" ht="24.95" customHeight="1">
      <c r="A1" s="2" t="s">
        <v>18</v>
      </c>
      <c r="B1" s="2" t="s">
        <v>19</v>
      </c>
      <c r="C1" s="14" t="s">
        <v>440</v>
      </c>
      <c r="D1" s="12" t="s">
        <v>70</v>
      </c>
      <c r="E1" s="13" t="s">
        <v>71</v>
      </c>
      <c r="F1" s="17"/>
    </row>
    <row r="2" spans="1:17">
      <c r="A2" s="6">
        <v>10001</v>
      </c>
      <c r="B2" s="6">
        <v>12001</v>
      </c>
      <c r="C2" s="29" t="s">
        <v>732</v>
      </c>
      <c r="D2" s="6" t="s">
        <v>655</v>
      </c>
      <c r="E2" s="6">
        <v>12002</v>
      </c>
      <c r="F2" s="27"/>
    </row>
    <row r="3" spans="1:17">
      <c r="A3" s="6">
        <v>10001</v>
      </c>
      <c r="B3" s="6">
        <v>12002</v>
      </c>
      <c r="C3" s="29">
        <v>20001</v>
      </c>
      <c r="D3" s="6" t="s">
        <v>656</v>
      </c>
      <c r="E3" s="6">
        <v>12003</v>
      </c>
      <c r="F3" s="27"/>
    </row>
    <row r="4" spans="1:17">
      <c r="A4" s="6">
        <v>10001</v>
      </c>
      <c r="B4" s="6">
        <v>12003</v>
      </c>
      <c r="C4" s="29" t="s">
        <v>733</v>
      </c>
      <c r="D4" s="6" t="s">
        <v>657</v>
      </c>
      <c r="E4" s="6">
        <v>12004</v>
      </c>
      <c r="F4" s="27"/>
    </row>
    <row r="5" spans="1:17">
      <c r="A5" s="6">
        <v>10001</v>
      </c>
      <c r="B5" s="6">
        <v>12004</v>
      </c>
      <c r="C5" s="29" t="s">
        <v>734</v>
      </c>
      <c r="D5" s="6" t="s">
        <v>112</v>
      </c>
      <c r="E5" s="6">
        <v>12005</v>
      </c>
      <c r="F5" s="27"/>
    </row>
    <row r="6" spans="1:17">
      <c r="A6" s="6">
        <v>10001</v>
      </c>
      <c r="B6" s="6">
        <v>12005</v>
      </c>
      <c r="C6" s="29" t="s">
        <v>733</v>
      </c>
      <c r="D6" s="6" t="s">
        <v>113</v>
      </c>
      <c r="E6" s="6">
        <v>12006</v>
      </c>
      <c r="F6" s="28"/>
      <c r="M6" s="15" t="str">
        <f>CONCATENATE("optional uint32 ",LOWER(INDEX(H:L,CEILING((ROW()-1)/30,1),MOD(ROW()-2,30)+1)))</f>
        <v xml:space="preserve">optional uint32 </v>
      </c>
      <c r="N6" s="1"/>
      <c r="O6" s="1"/>
      <c r="P6" s="1"/>
      <c r="Q6" s="1" t="e">
        <f ca="1">CONCATENATE("= ",ROW()-1,"; // ",GetComment(INDEX(H:L,CEILING((ROW()-1)/30,1),MOD(ROW()-2,30)+1)))</f>
        <v>#NAME?</v>
      </c>
    </row>
    <row r="7" spans="1:17">
      <c r="A7" s="6">
        <v>10001</v>
      </c>
      <c r="B7" s="6">
        <v>12006</v>
      </c>
      <c r="C7" s="29" t="s">
        <v>734</v>
      </c>
      <c r="D7" s="6" t="s">
        <v>114</v>
      </c>
      <c r="E7" s="6">
        <v>12007</v>
      </c>
      <c r="F7" s="17"/>
      <c r="M7" s="15" t="e">
        <f>CONCATENATE("optional uint32 ",LOWER(INDEX(H:L,CEILING((ROW()-1)/30,1),MOD(ROW()-2,30)+1)))</f>
        <v>#REF!</v>
      </c>
      <c r="N7" s="1"/>
      <c r="O7" s="1"/>
      <c r="P7" s="1"/>
      <c r="Q7" s="1" t="e">
        <f ca="1">CONCATENATE("= ",ROW()-1,"; // ",GetComment(INDEX(H:L,CEILING((ROW()-1)/30,1),MOD(ROW()-2,30)+1)))</f>
        <v>#NAME?</v>
      </c>
    </row>
    <row r="8" spans="1:17">
      <c r="A8" s="6">
        <v>10001</v>
      </c>
      <c r="B8" s="6">
        <v>12007</v>
      </c>
      <c r="C8" s="29" t="s">
        <v>732</v>
      </c>
      <c r="D8" s="6" t="s">
        <v>450</v>
      </c>
      <c r="E8" s="6">
        <v>0</v>
      </c>
      <c r="F8" s="17"/>
      <c r="M8" s="15" t="e">
        <f>CONCATENATE("optional uint32 ",LOWER(INDEX(H:L,CEILING((ROW()-1)/30,1),MOD(ROW()-2,30)+1)))</f>
        <v>#REF!</v>
      </c>
      <c r="N8" s="1"/>
      <c r="O8" s="1"/>
      <c r="P8" s="1"/>
      <c r="Q8" s="1" t="e">
        <f ca="1">CONCATENATE("= ",ROW()-1,"; // ",GetComment(INDEX(H:L,CEILING((ROW()-1)/30,1),MOD(ROW()-2,30)+1)))</f>
        <v>#NAME?</v>
      </c>
    </row>
    <row r="9" spans="1:17">
      <c r="A9" s="6">
        <v>10002</v>
      </c>
      <c r="B9" s="6">
        <v>12008</v>
      </c>
      <c r="C9" s="29" t="s">
        <v>735</v>
      </c>
      <c r="D9" s="6" t="s">
        <v>83</v>
      </c>
      <c r="E9" s="6">
        <v>12009</v>
      </c>
      <c r="F9" s="17"/>
      <c r="M9" s="15" t="e">
        <f>CONCATENATE("optional uint32 ",LOWER(INDEX(H:L,CEILING((ROW()-1)/30,1),MOD(ROW()-2,30)+1)))</f>
        <v>#REF!</v>
      </c>
      <c r="N9" s="1"/>
      <c r="O9" s="1"/>
      <c r="P9" s="1"/>
      <c r="Q9" s="1" t="e">
        <f ca="1">CONCATENATE("= ",ROW()-1,"; // ",GetComment(INDEX(H:L,CEILING((ROW()-1)/30,1),MOD(ROW()-2,30)+1)))</f>
        <v>#NAME?</v>
      </c>
    </row>
    <row r="10" spans="1:17">
      <c r="A10" s="6">
        <v>10002</v>
      </c>
      <c r="B10" s="6">
        <v>12009</v>
      </c>
      <c r="C10" s="29">
        <v>20001</v>
      </c>
      <c r="D10" s="6" t="s">
        <v>658</v>
      </c>
      <c r="E10" s="6">
        <v>12010</v>
      </c>
      <c r="F10" s="17"/>
    </row>
    <row r="11" spans="1:17">
      <c r="A11" s="6">
        <v>10002</v>
      </c>
      <c r="B11" s="6">
        <v>12010</v>
      </c>
      <c r="C11" s="29" t="s">
        <v>732</v>
      </c>
      <c r="D11" s="6" t="s">
        <v>659</v>
      </c>
      <c r="E11" s="6">
        <v>0</v>
      </c>
      <c r="F11" s="17"/>
    </row>
    <row r="12" spans="1:17">
      <c r="A12" s="6">
        <v>10003</v>
      </c>
      <c r="B12" s="6">
        <v>12011</v>
      </c>
      <c r="C12" s="29" t="s">
        <v>734</v>
      </c>
      <c r="D12" s="6" t="s">
        <v>115</v>
      </c>
      <c r="E12" s="6">
        <v>12012</v>
      </c>
      <c r="F12" s="17"/>
    </row>
    <row r="13" spans="1:17">
      <c r="A13" s="6">
        <v>10003</v>
      </c>
      <c r="B13" s="6">
        <v>12012</v>
      </c>
      <c r="C13" s="29" t="s">
        <v>736</v>
      </c>
      <c r="D13" s="6" t="s">
        <v>84</v>
      </c>
      <c r="E13" s="6">
        <v>12013</v>
      </c>
      <c r="F13" s="17"/>
    </row>
    <row r="14" spans="1:17">
      <c r="A14" s="6">
        <v>10003</v>
      </c>
      <c r="B14" s="6">
        <v>12013</v>
      </c>
      <c r="C14" s="29">
        <v>20001</v>
      </c>
      <c r="D14" s="6" t="s">
        <v>116</v>
      </c>
      <c r="E14" s="6">
        <v>12014</v>
      </c>
      <c r="F14" s="17"/>
    </row>
    <row r="15" spans="1:17">
      <c r="A15" s="6">
        <v>10003</v>
      </c>
      <c r="B15" s="6">
        <v>12014</v>
      </c>
      <c r="C15" s="29" t="s">
        <v>736</v>
      </c>
      <c r="D15" s="6" t="s">
        <v>117</v>
      </c>
      <c r="E15" s="6">
        <v>12015</v>
      </c>
      <c r="F15" s="17"/>
    </row>
    <row r="16" spans="1:17">
      <c r="A16" s="6">
        <v>10003</v>
      </c>
      <c r="B16" s="6">
        <v>12015</v>
      </c>
      <c r="C16" s="29">
        <v>20001</v>
      </c>
      <c r="D16" s="6" t="s">
        <v>118</v>
      </c>
      <c r="E16" s="6">
        <v>12016</v>
      </c>
      <c r="F16" s="17"/>
    </row>
    <row r="17" spans="1:6">
      <c r="A17" s="6">
        <v>10003</v>
      </c>
      <c r="B17" s="6">
        <v>12016</v>
      </c>
      <c r="C17" s="29" t="s">
        <v>736</v>
      </c>
      <c r="D17" s="6" t="s">
        <v>119</v>
      </c>
      <c r="E17" s="6">
        <v>0</v>
      </c>
      <c r="F17" s="17"/>
    </row>
    <row r="18" spans="1:6">
      <c r="A18" s="6">
        <v>10004</v>
      </c>
      <c r="B18" s="6">
        <v>12017</v>
      </c>
      <c r="C18" s="29">
        <v>20001</v>
      </c>
      <c r="D18" s="6" t="s">
        <v>85</v>
      </c>
      <c r="E18" s="6">
        <v>12018</v>
      </c>
      <c r="F18" s="17"/>
    </row>
    <row r="19" spans="1:6">
      <c r="A19" s="6">
        <v>10004</v>
      </c>
      <c r="B19" s="6">
        <v>12018</v>
      </c>
      <c r="C19" s="29" t="s">
        <v>733</v>
      </c>
      <c r="D19" s="6" t="s">
        <v>460</v>
      </c>
      <c r="E19" s="6">
        <v>12019</v>
      </c>
      <c r="F19" s="17"/>
    </row>
    <row r="20" spans="1:6">
      <c r="A20" s="6">
        <v>10004</v>
      </c>
      <c r="B20" s="6">
        <v>12019</v>
      </c>
      <c r="C20" s="29">
        <v>20001</v>
      </c>
      <c r="D20" s="6" t="s">
        <v>120</v>
      </c>
      <c r="E20" s="6">
        <v>0</v>
      </c>
      <c r="F20" s="17"/>
    </row>
    <row r="21" spans="1:6">
      <c r="A21" s="6">
        <v>10005</v>
      </c>
      <c r="B21" s="6">
        <v>12020</v>
      </c>
      <c r="C21" s="29">
        <v>20001</v>
      </c>
      <c r="D21" s="6" t="s">
        <v>451</v>
      </c>
      <c r="E21" s="6">
        <v>12021</v>
      </c>
      <c r="F21" s="17"/>
    </row>
    <row r="22" spans="1:6">
      <c r="A22" s="6">
        <v>10005</v>
      </c>
      <c r="B22" s="6">
        <v>12021</v>
      </c>
      <c r="C22" s="29" t="s">
        <v>733</v>
      </c>
      <c r="D22" s="6" t="s">
        <v>121</v>
      </c>
      <c r="E22" s="6">
        <v>12022</v>
      </c>
      <c r="F22" s="17"/>
    </row>
    <row r="23" spans="1:6">
      <c r="A23" s="6">
        <v>10005</v>
      </c>
      <c r="B23" s="6">
        <v>12022</v>
      </c>
      <c r="C23" s="29" t="s">
        <v>737</v>
      </c>
      <c r="D23" s="6" t="s">
        <v>452</v>
      </c>
      <c r="E23" s="6">
        <v>12023</v>
      </c>
      <c r="F23" s="17"/>
    </row>
    <row r="24" spans="1:6">
      <c r="A24" s="6">
        <v>10005</v>
      </c>
      <c r="B24" s="6">
        <v>12023</v>
      </c>
      <c r="C24" s="29" t="s">
        <v>733</v>
      </c>
      <c r="D24" s="6" t="s">
        <v>122</v>
      </c>
      <c r="E24" s="6">
        <v>12024</v>
      </c>
      <c r="F24" s="17"/>
    </row>
    <row r="25" spans="1:6">
      <c r="A25" s="6">
        <v>10005</v>
      </c>
      <c r="B25" s="6">
        <v>12024</v>
      </c>
      <c r="C25" s="29" t="s">
        <v>737</v>
      </c>
      <c r="D25" s="28" t="s">
        <v>123</v>
      </c>
      <c r="E25" s="6">
        <v>12025</v>
      </c>
      <c r="F25" s="17"/>
    </row>
    <row r="26" spans="1:6">
      <c r="A26" s="6">
        <v>10005</v>
      </c>
      <c r="B26" s="6">
        <v>12025</v>
      </c>
      <c r="C26" s="29" t="s">
        <v>733</v>
      </c>
      <c r="D26" s="6" t="s">
        <v>660</v>
      </c>
      <c r="E26" s="6">
        <v>12026</v>
      </c>
      <c r="F26" s="17"/>
    </row>
    <row r="27" spans="1:6">
      <c r="A27" s="6">
        <v>10005</v>
      </c>
      <c r="B27" s="6">
        <v>12026</v>
      </c>
      <c r="C27" s="29" t="s">
        <v>737</v>
      </c>
      <c r="D27" s="6" t="s">
        <v>461</v>
      </c>
      <c r="E27" s="6">
        <v>0</v>
      </c>
      <c r="F27" s="17"/>
    </row>
    <row r="28" spans="1:6">
      <c r="A28" s="6">
        <v>10006</v>
      </c>
      <c r="B28" s="6">
        <v>12027</v>
      </c>
      <c r="C28" s="29">
        <v>20001</v>
      </c>
      <c r="D28" s="6" t="s">
        <v>124</v>
      </c>
      <c r="E28" s="6">
        <v>12028</v>
      </c>
      <c r="F28" s="17"/>
    </row>
    <row r="29" spans="1:6">
      <c r="A29" s="6">
        <v>10006</v>
      </c>
      <c r="B29" s="6">
        <v>12028</v>
      </c>
      <c r="C29" s="29" t="s">
        <v>733</v>
      </c>
      <c r="D29" s="6" t="s">
        <v>125</v>
      </c>
      <c r="E29" s="6">
        <v>12029</v>
      </c>
      <c r="F29" s="17"/>
    </row>
    <row r="30" spans="1:6">
      <c r="A30" s="6">
        <v>10006</v>
      </c>
      <c r="B30" s="6">
        <v>12029</v>
      </c>
      <c r="C30" s="29" t="s">
        <v>737</v>
      </c>
      <c r="D30" s="6" t="s">
        <v>661</v>
      </c>
      <c r="E30" s="6">
        <v>0</v>
      </c>
      <c r="F30" s="17"/>
    </row>
    <row r="31" spans="1:6">
      <c r="A31" s="6">
        <v>10007</v>
      </c>
      <c r="B31" s="6">
        <v>12030</v>
      </c>
      <c r="C31" s="29" t="s">
        <v>738</v>
      </c>
      <c r="D31" s="28" t="s">
        <v>662</v>
      </c>
      <c r="E31" s="6">
        <v>12031</v>
      </c>
      <c r="F31" s="17"/>
    </row>
    <row r="32" spans="1:6">
      <c r="A32" s="6">
        <v>10007</v>
      </c>
      <c r="B32" s="6">
        <v>12031</v>
      </c>
      <c r="C32" s="29">
        <v>20001</v>
      </c>
      <c r="D32" s="28" t="s">
        <v>126</v>
      </c>
      <c r="E32" s="6">
        <v>12032</v>
      </c>
      <c r="F32" s="17"/>
    </row>
    <row r="33" spans="1:6">
      <c r="A33" s="6">
        <v>10007</v>
      </c>
      <c r="B33" s="6">
        <v>12032</v>
      </c>
      <c r="C33" s="29" t="s">
        <v>738</v>
      </c>
      <c r="D33" s="6" t="s">
        <v>462</v>
      </c>
      <c r="E33" s="6">
        <v>12033</v>
      </c>
      <c r="F33" s="17"/>
    </row>
    <row r="34" spans="1:6">
      <c r="A34" s="6">
        <v>10007</v>
      </c>
      <c r="B34" s="6">
        <v>12033</v>
      </c>
      <c r="C34" s="29">
        <v>20001</v>
      </c>
      <c r="D34" s="6" t="s">
        <v>88</v>
      </c>
      <c r="E34" s="6">
        <v>12034</v>
      </c>
      <c r="F34" s="17"/>
    </row>
    <row r="35" spans="1:6">
      <c r="A35" s="6">
        <v>10007</v>
      </c>
      <c r="B35" s="6">
        <v>12034</v>
      </c>
      <c r="C35" s="29" t="s">
        <v>738</v>
      </c>
      <c r="D35" s="6" t="s">
        <v>463</v>
      </c>
      <c r="E35" s="6">
        <v>0</v>
      </c>
      <c r="F35" s="17"/>
    </row>
    <row r="36" spans="1:6">
      <c r="A36" s="6">
        <v>10008</v>
      </c>
      <c r="B36" s="6">
        <v>12035</v>
      </c>
      <c r="C36" s="29">
        <v>20001</v>
      </c>
      <c r="D36" s="6" t="s">
        <v>127</v>
      </c>
      <c r="E36" s="6">
        <v>12036</v>
      </c>
      <c r="F36" s="17"/>
    </row>
    <row r="37" spans="1:6">
      <c r="A37" s="6">
        <v>10008</v>
      </c>
      <c r="B37" s="6">
        <v>12036</v>
      </c>
      <c r="C37" s="29" t="s">
        <v>738</v>
      </c>
      <c r="D37" s="6" t="s">
        <v>128</v>
      </c>
      <c r="E37" s="6">
        <v>12037</v>
      </c>
      <c r="F37" s="17"/>
    </row>
    <row r="38" spans="1:6">
      <c r="A38" s="6">
        <v>10008</v>
      </c>
      <c r="B38" s="6">
        <v>12037</v>
      </c>
      <c r="C38" s="29">
        <v>20001</v>
      </c>
      <c r="D38" s="28" t="s">
        <v>663</v>
      </c>
      <c r="E38" s="6">
        <v>12038</v>
      </c>
      <c r="F38" s="17"/>
    </row>
    <row r="39" spans="1:6">
      <c r="A39" s="6">
        <v>10008</v>
      </c>
      <c r="B39" s="6">
        <v>12038</v>
      </c>
      <c r="C39" s="29" t="s">
        <v>738</v>
      </c>
      <c r="D39" s="28" t="s">
        <v>664</v>
      </c>
      <c r="E39" s="6">
        <v>0</v>
      </c>
      <c r="F39" s="17"/>
    </row>
    <row r="40" spans="1:6">
      <c r="A40" s="6">
        <v>10009</v>
      </c>
      <c r="B40" s="6">
        <v>12039</v>
      </c>
      <c r="C40" s="29" t="s">
        <v>739</v>
      </c>
      <c r="D40" s="28" t="s">
        <v>665</v>
      </c>
      <c r="E40" s="6">
        <v>12040</v>
      </c>
      <c r="F40" s="17"/>
    </row>
    <row r="41" spans="1:6">
      <c r="A41" s="6">
        <v>10009</v>
      </c>
      <c r="B41" s="6">
        <v>12040</v>
      </c>
      <c r="C41" s="29" t="s">
        <v>732</v>
      </c>
      <c r="D41" s="28" t="s">
        <v>666</v>
      </c>
      <c r="E41" s="6">
        <v>12041</v>
      </c>
      <c r="F41" s="17"/>
    </row>
    <row r="42" spans="1:6">
      <c r="A42" s="6">
        <v>10009</v>
      </c>
      <c r="B42" s="6">
        <v>12041</v>
      </c>
      <c r="C42" s="29" t="s">
        <v>739</v>
      </c>
      <c r="D42" s="28" t="s">
        <v>667</v>
      </c>
      <c r="E42" s="6">
        <v>12042</v>
      </c>
      <c r="F42" s="17"/>
    </row>
    <row r="43" spans="1:6">
      <c r="A43" s="6">
        <v>10009</v>
      </c>
      <c r="B43" s="6">
        <v>12042</v>
      </c>
      <c r="C43" s="29">
        <v>20001</v>
      </c>
      <c r="D43" s="28" t="s">
        <v>668</v>
      </c>
      <c r="E43" s="6">
        <v>12043</v>
      </c>
      <c r="F43" s="17"/>
    </row>
    <row r="44" spans="1:6">
      <c r="A44" s="6">
        <v>10009</v>
      </c>
      <c r="B44" s="6">
        <v>12043</v>
      </c>
      <c r="C44" s="29" t="s">
        <v>739</v>
      </c>
      <c r="D44" s="28" t="s">
        <v>669</v>
      </c>
      <c r="E44" s="6">
        <v>12044</v>
      </c>
      <c r="F44" s="17"/>
    </row>
    <row r="45" spans="1:6">
      <c r="A45" s="6">
        <v>10009</v>
      </c>
      <c r="B45" s="6">
        <v>12044</v>
      </c>
      <c r="C45" s="29">
        <v>20001</v>
      </c>
      <c r="D45" s="28" t="s">
        <v>670</v>
      </c>
      <c r="E45" s="6">
        <v>0</v>
      </c>
      <c r="F45" s="17"/>
    </row>
    <row r="46" spans="1:6">
      <c r="A46" s="6">
        <v>10010</v>
      </c>
      <c r="B46" s="6">
        <v>12045</v>
      </c>
      <c r="C46" s="29">
        <v>20001</v>
      </c>
      <c r="D46" s="28" t="s">
        <v>671</v>
      </c>
      <c r="E46" s="6">
        <v>12046</v>
      </c>
      <c r="F46" s="17"/>
    </row>
    <row r="47" spans="1:6">
      <c r="A47" s="6">
        <v>10010</v>
      </c>
      <c r="B47" s="6">
        <v>12046</v>
      </c>
      <c r="C47" s="29" t="s">
        <v>739</v>
      </c>
      <c r="D47" s="28" t="s">
        <v>672</v>
      </c>
      <c r="E47" s="6">
        <v>0</v>
      </c>
      <c r="F47" s="17"/>
    </row>
    <row r="48" spans="1:6">
      <c r="A48" s="6">
        <v>10011</v>
      </c>
      <c r="B48" s="6">
        <v>12047</v>
      </c>
      <c r="C48" s="29" t="s">
        <v>733</v>
      </c>
      <c r="D48" s="28" t="s">
        <v>673</v>
      </c>
      <c r="E48" s="6">
        <v>12048</v>
      </c>
      <c r="F48" s="17"/>
    </row>
    <row r="49" spans="1:6">
      <c r="A49" s="6">
        <v>10011</v>
      </c>
      <c r="B49" s="6">
        <v>12048</v>
      </c>
      <c r="C49" s="29" t="s">
        <v>740</v>
      </c>
      <c r="D49" s="28" t="s">
        <v>464</v>
      </c>
      <c r="E49" s="6">
        <v>12049</v>
      </c>
      <c r="F49" s="17"/>
    </row>
    <row r="50" spans="1:6">
      <c r="A50" s="6">
        <v>10011</v>
      </c>
      <c r="B50" s="6">
        <v>12049</v>
      </c>
      <c r="C50" s="29" t="s">
        <v>733</v>
      </c>
      <c r="D50" s="28" t="s">
        <v>674</v>
      </c>
      <c r="E50" s="6">
        <v>12050</v>
      </c>
      <c r="F50" s="17"/>
    </row>
    <row r="51" spans="1:6">
      <c r="A51" s="6">
        <v>10011</v>
      </c>
      <c r="B51" s="6">
        <v>12050</v>
      </c>
      <c r="C51" s="29" t="s">
        <v>740</v>
      </c>
      <c r="D51" s="28" t="s">
        <v>465</v>
      </c>
      <c r="E51" s="6">
        <v>12051</v>
      </c>
      <c r="F51" s="17"/>
    </row>
    <row r="52" spans="1:6">
      <c r="A52" s="6">
        <v>10011</v>
      </c>
      <c r="B52" s="6">
        <v>12051</v>
      </c>
      <c r="C52" s="29" t="s">
        <v>733</v>
      </c>
      <c r="D52" s="28" t="s">
        <v>466</v>
      </c>
      <c r="E52" s="6">
        <v>12052</v>
      </c>
      <c r="F52" s="17"/>
    </row>
    <row r="53" spans="1:6">
      <c r="A53" s="6">
        <v>10011</v>
      </c>
      <c r="B53" s="6">
        <v>12052</v>
      </c>
      <c r="C53" s="29" t="s">
        <v>740</v>
      </c>
      <c r="D53" s="28" t="s">
        <v>467</v>
      </c>
      <c r="E53" s="6">
        <v>0</v>
      </c>
      <c r="F53" s="17"/>
    </row>
    <row r="54" spans="1:6">
      <c r="A54" s="6">
        <v>10012</v>
      </c>
      <c r="B54" s="6">
        <v>12053</v>
      </c>
      <c r="C54" s="29" t="s">
        <v>740</v>
      </c>
      <c r="D54" s="6" t="s">
        <v>468</v>
      </c>
      <c r="E54" s="6">
        <v>12054</v>
      </c>
      <c r="F54" s="17"/>
    </row>
    <row r="55" spans="1:6">
      <c r="A55" s="6">
        <v>10012</v>
      </c>
      <c r="B55" s="6">
        <v>12054</v>
      </c>
      <c r="C55" s="29" t="s">
        <v>733</v>
      </c>
      <c r="D55" s="28" t="s">
        <v>469</v>
      </c>
      <c r="E55" s="6">
        <v>12055</v>
      </c>
      <c r="F55" s="17"/>
    </row>
    <row r="56" spans="1:6">
      <c r="A56" s="6">
        <v>10012</v>
      </c>
      <c r="B56" s="6">
        <v>12055</v>
      </c>
      <c r="C56" s="29" t="s">
        <v>740</v>
      </c>
      <c r="D56" s="28" t="s">
        <v>675</v>
      </c>
      <c r="E56" s="6">
        <v>0</v>
      </c>
      <c r="F56" s="17"/>
    </row>
    <row r="57" spans="1:6">
      <c r="A57" s="6">
        <v>10013</v>
      </c>
      <c r="B57" s="6">
        <v>12056</v>
      </c>
      <c r="C57" s="29" t="s">
        <v>741</v>
      </c>
      <c r="D57" s="28" t="s">
        <v>131</v>
      </c>
      <c r="E57" s="6">
        <v>12057</v>
      </c>
      <c r="F57" s="17"/>
    </row>
    <row r="58" spans="1:6">
      <c r="A58" s="6">
        <v>10013</v>
      </c>
      <c r="B58" s="6">
        <v>12057</v>
      </c>
      <c r="C58" s="29">
        <v>20001</v>
      </c>
      <c r="D58" s="6" t="s">
        <v>676</v>
      </c>
      <c r="E58" s="6">
        <v>12058</v>
      </c>
      <c r="F58" s="17"/>
    </row>
    <row r="59" spans="1:6">
      <c r="A59" s="6">
        <v>10013</v>
      </c>
      <c r="B59" s="6">
        <v>12058</v>
      </c>
      <c r="C59" s="29" t="s">
        <v>732</v>
      </c>
      <c r="D59" s="6" t="s">
        <v>677</v>
      </c>
      <c r="E59" s="6">
        <v>12059</v>
      </c>
      <c r="F59" s="17"/>
    </row>
    <row r="60" spans="1:6">
      <c r="A60" s="6">
        <v>10013</v>
      </c>
      <c r="B60" s="6">
        <v>12059</v>
      </c>
      <c r="C60" s="29" t="s">
        <v>741</v>
      </c>
      <c r="D60" s="6" t="s">
        <v>132</v>
      </c>
      <c r="E60" s="6">
        <v>12060</v>
      </c>
      <c r="F60" s="17"/>
    </row>
    <row r="61" spans="1:6">
      <c r="A61" s="6">
        <v>10013</v>
      </c>
      <c r="B61" s="6">
        <v>12060</v>
      </c>
      <c r="C61" s="29" t="s">
        <v>732</v>
      </c>
      <c r="D61" s="6" t="s">
        <v>678</v>
      </c>
      <c r="E61" s="6">
        <v>12061</v>
      </c>
      <c r="F61" s="17"/>
    </row>
    <row r="62" spans="1:6">
      <c r="A62" s="6">
        <v>10013</v>
      </c>
      <c r="B62" s="6">
        <v>12061</v>
      </c>
      <c r="C62" s="29" t="s">
        <v>741</v>
      </c>
      <c r="D62" s="6" t="s">
        <v>679</v>
      </c>
      <c r="E62" s="6">
        <v>0</v>
      </c>
      <c r="F62" s="17"/>
    </row>
    <row r="63" spans="1:6">
      <c r="A63" s="6">
        <v>10014</v>
      </c>
      <c r="B63" s="6">
        <v>12062</v>
      </c>
      <c r="C63" s="29" t="s">
        <v>741</v>
      </c>
      <c r="D63" s="6" t="s">
        <v>680</v>
      </c>
      <c r="E63" s="6">
        <v>12063</v>
      </c>
      <c r="F63" s="17"/>
    </row>
    <row r="64" spans="1:6">
      <c r="A64" s="6">
        <v>10014</v>
      </c>
      <c r="B64" s="6">
        <v>12063</v>
      </c>
      <c r="C64" s="29">
        <v>20001</v>
      </c>
      <c r="D64" s="6" t="s">
        <v>681</v>
      </c>
      <c r="E64" s="6">
        <v>12064</v>
      </c>
      <c r="F64" s="17"/>
    </row>
    <row r="65" spans="1:6">
      <c r="A65" s="6">
        <v>10014</v>
      </c>
      <c r="B65" s="6">
        <v>12064</v>
      </c>
      <c r="C65" s="29" t="s">
        <v>741</v>
      </c>
      <c r="D65" s="6" t="s">
        <v>682</v>
      </c>
      <c r="E65" s="6">
        <v>0</v>
      </c>
      <c r="F65" s="17"/>
    </row>
    <row r="66" spans="1:6">
      <c r="A66" s="6">
        <v>10015</v>
      </c>
      <c r="B66" s="6">
        <v>12065</v>
      </c>
      <c r="C66" s="29">
        <v>20001</v>
      </c>
      <c r="D66" s="6" t="s">
        <v>683</v>
      </c>
      <c r="E66" s="6">
        <v>12066</v>
      </c>
      <c r="F66" s="17"/>
    </row>
    <row r="67" spans="1:6">
      <c r="A67" s="6">
        <v>10015</v>
      </c>
      <c r="B67" s="6">
        <v>12066</v>
      </c>
      <c r="C67" s="29" t="s">
        <v>732</v>
      </c>
      <c r="D67" s="6" t="s">
        <v>684</v>
      </c>
      <c r="E67" s="6">
        <v>12067</v>
      </c>
      <c r="F67" s="17"/>
    </row>
    <row r="68" spans="1:6">
      <c r="A68" s="6">
        <v>10015</v>
      </c>
      <c r="B68" s="6">
        <v>12067</v>
      </c>
      <c r="C68" s="29" t="s">
        <v>740</v>
      </c>
      <c r="D68" s="6" t="s">
        <v>470</v>
      </c>
      <c r="E68" s="6">
        <v>12068</v>
      </c>
      <c r="F68" s="17"/>
    </row>
    <row r="69" spans="1:6">
      <c r="A69" s="6">
        <v>10015</v>
      </c>
      <c r="B69" s="6">
        <v>12068</v>
      </c>
      <c r="C69" s="29" t="s">
        <v>742</v>
      </c>
      <c r="D69" s="6" t="s">
        <v>471</v>
      </c>
      <c r="E69" s="6">
        <v>12069</v>
      </c>
      <c r="F69" s="17"/>
    </row>
    <row r="70" spans="1:6">
      <c r="A70" s="6">
        <v>10015</v>
      </c>
      <c r="B70" s="6">
        <v>12069</v>
      </c>
      <c r="C70" s="29" t="s">
        <v>740</v>
      </c>
      <c r="D70" s="6" t="s">
        <v>478</v>
      </c>
      <c r="E70" s="6">
        <v>12070</v>
      </c>
      <c r="F70" s="17"/>
    </row>
    <row r="71" spans="1:6">
      <c r="A71" s="6">
        <v>10015</v>
      </c>
      <c r="B71" s="6">
        <v>12070</v>
      </c>
      <c r="C71" s="29" t="s">
        <v>733</v>
      </c>
      <c r="D71" s="6" t="s">
        <v>479</v>
      </c>
      <c r="E71" s="6">
        <v>0</v>
      </c>
      <c r="F71" s="17"/>
    </row>
    <row r="72" spans="1:6">
      <c r="A72" s="6">
        <v>10016</v>
      </c>
      <c r="B72" s="6">
        <v>12071</v>
      </c>
      <c r="C72" s="29" t="s">
        <v>740</v>
      </c>
      <c r="D72" s="6" t="s">
        <v>86</v>
      </c>
      <c r="E72" s="6">
        <v>12072</v>
      </c>
      <c r="F72" s="17"/>
    </row>
    <row r="73" spans="1:6">
      <c r="A73" s="6">
        <v>10016</v>
      </c>
      <c r="B73" s="6">
        <v>12072</v>
      </c>
      <c r="C73" s="29" t="s">
        <v>742</v>
      </c>
      <c r="D73" s="6" t="s">
        <v>87</v>
      </c>
      <c r="E73" s="6">
        <v>12073</v>
      </c>
      <c r="F73" s="17"/>
    </row>
    <row r="74" spans="1:6">
      <c r="A74" s="6">
        <v>10016</v>
      </c>
      <c r="B74" s="6">
        <v>12073</v>
      </c>
      <c r="C74" s="29" t="s">
        <v>732</v>
      </c>
      <c r="D74" s="6" t="s">
        <v>129</v>
      </c>
      <c r="E74" s="6">
        <v>12074</v>
      </c>
      <c r="F74" s="17"/>
    </row>
    <row r="75" spans="1:6">
      <c r="A75" s="6">
        <v>10016</v>
      </c>
      <c r="B75" s="6">
        <v>12074</v>
      </c>
      <c r="C75" s="29" t="s">
        <v>733</v>
      </c>
      <c r="D75" s="6" t="s">
        <v>130</v>
      </c>
      <c r="E75" s="6">
        <v>0</v>
      </c>
      <c r="F75" s="17"/>
    </row>
    <row r="76" spans="1:6">
      <c r="A76" s="6">
        <v>10017</v>
      </c>
      <c r="B76" s="6">
        <v>12075</v>
      </c>
      <c r="C76" s="29" t="s">
        <v>737</v>
      </c>
      <c r="D76" s="6" t="s">
        <v>133</v>
      </c>
      <c r="E76" s="6">
        <v>12076</v>
      </c>
      <c r="F76" s="17"/>
    </row>
    <row r="77" spans="1:6">
      <c r="A77" s="6">
        <v>10017</v>
      </c>
      <c r="B77" s="6">
        <v>12076</v>
      </c>
      <c r="C77" s="29">
        <v>20001</v>
      </c>
      <c r="D77" s="6" t="s">
        <v>134</v>
      </c>
      <c r="E77" s="6">
        <v>12077</v>
      </c>
      <c r="F77" s="17"/>
    </row>
    <row r="78" spans="1:6">
      <c r="A78" s="6">
        <v>10017</v>
      </c>
      <c r="B78" s="6">
        <v>12077</v>
      </c>
      <c r="C78" s="29" t="s">
        <v>737</v>
      </c>
      <c r="D78" s="6" t="s">
        <v>135</v>
      </c>
      <c r="E78" s="6">
        <v>12078</v>
      </c>
      <c r="F78" s="17"/>
    </row>
    <row r="79" spans="1:6">
      <c r="A79" s="6">
        <v>10017</v>
      </c>
      <c r="B79" s="6">
        <v>12078</v>
      </c>
      <c r="C79" s="29">
        <v>20001</v>
      </c>
      <c r="D79" s="6" t="s">
        <v>136</v>
      </c>
      <c r="E79" s="6">
        <v>12079</v>
      </c>
      <c r="F79" s="17"/>
    </row>
    <row r="80" spans="1:6">
      <c r="A80" s="6">
        <v>10017</v>
      </c>
      <c r="B80" s="6">
        <v>12079</v>
      </c>
      <c r="C80" s="29" t="s">
        <v>737</v>
      </c>
      <c r="D80" s="6" t="s">
        <v>453</v>
      </c>
      <c r="E80" s="6">
        <v>12080</v>
      </c>
      <c r="F80" s="17"/>
    </row>
    <row r="81" spans="1:6">
      <c r="A81" s="6">
        <v>10017</v>
      </c>
      <c r="B81" s="6">
        <v>12080</v>
      </c>
      <c r="C81" s="29">
        <v>20001</v>
      </c>
      <c r="D81" s="6" t="s">
        <v>137</v>
      </c>
      <c r="E81" s="6">
        <v>12081</v>
      </c>
      <c r="F81" s="17"/>
    </row>
    <row r="82" spans="1:6">
      <c r="A82" s="6">
        <v>10017</v>
      </c>
      <c r="B82" s="6">
        <v>12081</v>
      </c>
      <c r="C82" s="29" t="s">
        <v>737</v>
      </c>
      <c r="D82" s="6" t="s">
        <v>685</v>
      </c>
      <c r="E82" s="6">
        <v>0</v>
      </c>
      <c r="F82" s="17"/>
    </row>
    <row r="83" spans="1:6">
      <c r="A83" s="6">
        <v>10018</v>
      </c>
      <c r="B83" s="6">
        <v>12082</v>
      </c>
      <c r="C83" s="29" t="s">
        <v>737</v>
      </c>
      <c r="D83" s="6" t="s">
        <v>454</v>
      </c>
      <c r="E83" s="6">
        <v>12083</v>
      </c>
      <c r="F83" s="17"/>
    </row>
    <row r="84" spans="1:6">
      <c r="A84" s="6">
        <v>10018</v>
      </c>
      <c r="B84" s="6">
        <v>12083</v>
      </c>
      <c r="C84" s="29" t="s">
        <v>733</v>
      </c>
      <c r="D84" s="6" t="s">
        <v>89</v>
      </c>
      <c r="E84" s="6">
        <v>12084</v>
      </c>
      <c r="F84" s="17"/>
    </row>
    <row r="85" spans="1:6">
      <c r="A85" s="6">
        <v>10018</v>
      </c>
      <c r="B85" s="6">
        <v>12084</v>
      </c>
      <c r="C85" s="29" t="s">
        <v>737</v>
      </c>
      <c r="D85" s="6" t="s">
        <v>90</v>
      </c>
      <c r="E85" s="6">
        <v>12085</v>
      </c>
      <c r="F85" s="17"/>
    </row>
    <row r="86" spans="1:6">
      <c r="A86" s="6">
        <v>10018</v>
      </c>
      <c r="B86" s="6">
        <v>12085</v>
      </c>
      <c r="C86" s="29" t="s">
        <v>733</v>
      </c>
      <c r="D86" s="6" t="s">
        <v>91</v>
      </c>
      <c r="E86" s="6">
        <v>12086</v>
      </c>
      <c r="F86" s="17"/>
    </row>
    <row r="87" spans="1:6">
      <c r="A87" s="6">
        <v>10018</v>
      </c>
      <c r="B87" s="6">
        <v>12086</v>
      </c>
      <c r="C87" s="29" t="s">
        <v>732</v>
      </c>
      <c r="D87" s="6" t="s">
        <v>92</v>
      </c>
      <c r="E87" s="6">
        <v>12087</v>
      </c>
      <c r="F87" s="17"/>
    </row>
    <row r="88" spans="1:6">
      <c r="A88" s="6">
        <v>10018</v>
      </c>
      <c r="B88" s="6">
        <v>12087</v>
      </c>
      <c r="C88" s="29">
        <v>20001</v>
      </c>
      <c r="D88" s="6" t="s">
        <v>455</v>
      </c>
      <c r="E88" s="6">
        <v>0</v>
      </c>
      <c r="F88" s="17"/>
    </row>
    <row r="89" spans="1:6">
      <c r="A89" s="6">
        <v>10019</v>
      </c>
      <c r="B89" s="6">
        <v>12088</v>
      </c>
      <c r="C89" s="29" t="s">
        <v>743</v>
      </c>
      <c r="D89" s="6" t="s">
        <v>138</v>
      </c>
      <c r="E89" s="6">
        <v>12089</v>
      </c>
      <c r="F89" s="17"/>
    </row>
    <row r="90" spans="1:6">
      <c r="A90" s="6">
        <v>10019</v>
      </c>
      <c r="B90" s="6">
        <v>12089</v>
      </c>
      <c r="C90" s="29">
        <v>20001</v>
      </c>
      <c r="D90" s="6" t="s">
        <v>93</v>
      </c>
      <c r="E90" s="6">
        <v>12090</v>
      </c>
      <c r="F90" s="17"/>
    </row>
    <row r="91" spans="1:6">
      <c r="A91" s="6">
        <v>10019</v>
      </c>
      <c r="B91" s="6">
        <v>12090</v>
      </c>
      <c r="C91" s="29" t="s">
        <v>743</v>
      </c>
      <c r="D91" s="6" t="s">
        <v>139</v>
      </c>
      <c r="E91" s="6">
        <v>12091</v>
      </c>
      <c r="F91" s="17"/>
    </row>
    <row r="92" spans="1:6">
      <c r="A92" s="6">
        <v>10019</v>
      </c>
      <c r="B92" s="6">
        <v>12091</v>
      </c>
      <c r="C92" s="29">
        <v>20001</v>
      </c>
      <c r="D92" s="6" t="s">
        <v>140</v>
      </c>
      <c r="E92" s="6">
        <v>12092</v>
      </c>
      <c r="F92" s="17"/>
    </row>
    <row r="93" spans="1:6">
      <c r="A93" s="6">
        <v>10019</v>
      </c>
      <c r="B93" s="6">
        <v>12092</v>
      </c>
      <c r="C93" s="29" t="s">
        <v>743</v>
      </c>
      <c r="D93" s="6" t="s">
        <v>141</v>
      </c>
      <c r="E93" s="6">
        <v>12093</v>
      </c>
      <c r="F93" s="17"/>
    </row>
    <row r="94" spans="1:6">
      <c r="A94" s="6">
        <v>10019</v>
      </c>
      <c r="B94" s="6">
        <v>12093</v>
      </c>
      <c r="C94" s="29" t="s">
        <v>743</v>
      </c>
      <c r="D94" s="6" t="s">
        <v>456</v>
      </c>
      <c r="E94" s="6">
        <v>12094</v>
      </c>
      <c r="F94" s="17"/>
    </row>
    <row r="95" spans="1:6">
      <c r="A95" s="6">
        <v>10019</v>
      </c>
      <c r="B95" s="6">
        <v>12094</v>
      </c>
      <c r="C95" s="29">
        <v>20001</v>
      </c>
      <c r="D95" s="6" t="s">
        <v>457</v>
      </c>
      <c r="E95" s="6">
        <v>0</v>
      </c>
      <c r="F95" s="17"/>
    </row>
    <row r="96" spans="1:6">
      <c r="A96" s="6">
        <v>10020</v>
      </c>
      <c r="B96" s="6">
        <v>12095</v>
      </c>
      <c r="C96" s="29" t="s">
        <v>733</v>
      </c>
      <c r="D96" s="6" t="s">
        <v>142</v>
      </c>
      <c r="E96" s="6">
        <v>12096</v>
      </c>
      <c r="F96" s="17"/>
    </row>
    <row r="97" spans="1:6">
      <c r="A97" s="6">
        <v>10020</v>
      </c>
      <c r="B97" s="6">
        <v>12096</v>
      </c>
      <c r="C97" s="29" t="s">
        <v>743</v>
      </c>
      <c r="D97" s="6" t="s">
        <v>686</v>
      </c>
      <c r="E97" s="6">
        <v>12097</v>
      </c>
      <c r="F97" s="17"/>
    </row>
    <row r="98" spans="1:6">
      <c r="A98" s="6">
        <v>10020</v>
      </c>
      <c r="B98" s="6">
        <v>12097</v>
      </c>
      <c r="C98" s="29" t="s">
        <v>733</v>
      </c>
      <c r="D98" s="6" t="s">
        <v>143</v>
      </c>
      <c r="E98" s="6">
        <v>12098</v>
      </c>
      <c r="F98" s="17"/>
    </row>
    <row r="99" spans="1:6">
      <c r="A99" s="6">
        <v>10020</v>
      </c>
      <c r="B99" s="6">
        <v>12098</v>
      </c>
      <c r="C99" s="29" t="s">
        <v>743</v>
      </c>
      <c r="D99" s="6" t="s">
        <v>687</v>
      </c>
      <c r="E99" s="6">
        <v>0</v>
      </c>
      <c r="F99" s="17"/>
    </row>
    <row r="100" spans="1:6" s="22" customFormat="1">
      <c r="A100" s="6">
        <v>10021</v>
      </c>
      <c r="B100" s="6">
        <v>12099</v>
      </c>
      <c r="C100" s="29" t="s">
        <v>744</v>
      </c>
      <c r="D100" s="6" t="s">
        <v>688</v>
      </c>
      <c r="E100" s="6">
        <v>12100</v>
      </c>
      <c r="F100" s="18"/>
    </row>
    <row r="101" spans="1:6">
      <c r="A101" s="6">
        <v>10021</v>
      </c>
      <c r="B101" s="6">
        <v>12100</v>
      </c>
      <c r="C101" s="29">
        <v>20001</v>
      </c>
      <c r="D101" s="6" t="s">
        <v>689</v>
      </c>
      <c r="E101" s="6">
        <v>12101</v>
      </c>
      <c r="F101" s="17"/>
    </row>
    <row r="102" spans="1:6">
      <c r="A102" s="6">
        <v>10021</v>
      </c>
      <c r="B102" s="6">
        <v>12101</v>
      </c>
      <c r="C102" s="29" t="s">
        <v>733</v>
      </c>
      <c r="D102" s="6" t="s">
        <v>690</v>
      </c>
      <c r="E102" s="6">
        <v>12102</v>
      </c>
      <c r="F102" s="17"/>
    </row>
    <row r="103" spans="1:6">
      <c r="A103" s="6">
        <v>10021</v>
      </c>
      <c r="B103" s="6">
        <v>12102</v>
      </c>
      <c r="C103" s="29" t="s">
        <v>744</v>
      </c>
      <c r="D103" s="6" t="s">
        <v>691</v>
      </c>
      <c r="E103" s="6">
        <v>12103</v>
      </c>
      <c r="F103" s="17"/>
    </row>
    <row r="104" spans="1:6">
      <c r="A104" s="6">
        <v>10021</v>
      </c>
      <c r="B104" s="6">
        <v>12103</v>
      </c>
      <c r="C104" s="29">
        <v>20001</v>
      </c>
      <c r="D104" s="6" t="s">
        <v>692</v>
      </c>
      <c r="E104" s="6">
        <v>12104</v>
      </c>
      <c r="F104" s="17"/>
    </row>
    <row r="105" spans="1:6">
      <c r="A105" s="6">
        <v>10021</v>
      </c>
      <c r="B105" s="6">
        <v>12104</v>
      </c>
      <c r="C105" s="29" t="s">
        <v>744</v>
      </c>
      <c r="D105" s="6" t="s">
        <v>693</v>
      </c>
      <c r="E105" s="6">
        <v>0</v>
      </c>
      <c r="F105" s="17"/>
    </row>
    <row r="106" spans="1:6">
      <c r="A106" s="6">
        <v>10022</v>
      </c>
      <c r="B106" s="6">
        <v>12105</v>
      </c>
      <c r="C106" s="29" t="s">
        <v>744</v>
      </c>
      <c r="D106" s="6" t="s">
        <v>694</v>
      </c>
      <c r="E106" s="6">
        <v>12106</v>
      </c>
      <c r="F106" s="17"/>
    </row>
    <row r="107" spans="1:6">
      <c r="A107" s="6">
        <v>10022</v>
      </c>
      <c r="B107" s="6">
        <v>12106</v>
      </c>
      <c r="C107" s="29" t="s">
        <v>733</v>
      </c>
      <c r="D107" s="6" t="s">
        <v>695</v>
      </c>
      <c r="E107" s="6">
        <v>12107</v>
      </c>
      <c r="F107" s="17"/>
    </row>
    <row r="108" spans="1:6">
      <c r="A108" s="6">
        <v>10022</v>
      </c>
      <c r="B108" s="6">
        <v>12107</v>
      </c>
      <c r="C108" s="29">
        <v>20001</v>
      </c>
      <c r="D108" s="6" t="s">
        <v>696</v>
      </c>
      <c r="E108" s="6">
        <v>12108</v>
      </c>
      <c r="F108" s="17"/>
    </row>
    <row r="109" spans="1:6">
      <c r="A109" s="6">
        <v>10022</v>
      </c>
      <c r="B109" s="6">
        <v>12108</v>
      </c>
      <c r="C109" s="29" t="s">
        <v>732</v>
      </c>
      <c r="D109" s="6" t="s">
        <v>697</v>
      </c>
      <c r="E109" s="6">
        <v>0</v>
      </c>
      <c r="F109" s="17"/>
    </row>
    <row r="110" spans="1:6">
      <c r="A110" s="6">
        <v>10023</v>
      </c>
      <c r="B110" s="6">
        <v>12109</v>
      </c>
      <c r="C110" s="29" t="s">
        <v>745</v>
      </c>
      <c r="D110" s="6" t="s">
        <v>144</v>
      </c>
      <c r="E110" s="6">
        <v>12110</v>
      </c>
      <c r="F110" s="17"/>
    </row>
    <row r="111" spans="1:6">
      <c r="A111" s="6">
        <v>10023</v>
      </c>
      <c r="B111" s="6">
        <v>12110</v>
      </c>
      <c r="C111" s="29">
        <v>20001</v>
      </c>
      <c r="D111" s="6" t="s">
        <v>94</v>
      </c>
      <c r="E111" s="6">
        <v>12111</v>
      </c>
      <c r="F111" s="17"/>
    </row>
    <row r="112" spans="1:6" s="22" customFormat="1">
      <c r="A112" s="6">
        <v>10023</v>
      </c>
      <c r="B112" s="6">
        <v>12111</v>
      </c>
      <c r="C112" s="29" t="s">
        <v>745</v>
      </c>
      <c r="D112" s="6" t="s">
        <v>95</v>
      </c>
      <c r="E112" s="6">
        <v>12112</v>
      </c>
      <c r="F112" s="18"/>
    </row>
    <row r="113" spans="1:6">
      <c r="A113" s="6">
        <v>10023</v>
      </c>
      <c r="B113" s="6">
        <v>12112</v>
      </c>
      <c r="C113" s="29">
        <v>20001</v>
      </c>
      <c r="D113" s="6" t="s">
        <v>96</v>
      </c>
      <c r="E113" s="6">
        <v>0</v>
      </c>
      <c r="F113" s="17"/>
    </row>
    <row r="114" spans="1:6">
      <c r="A114" s="6">
        <v>10024</v>
      </c>
      <c r="B114" s="6">
        <v>12113</v>
      </c>
      <c r="C114" s="29">
        <v>20001</v>
      </c>
      <c r="D114" s="6" t="s">
        <v>97</v>
      </c>
      <c r="E114" s="6">
        <v>12114</v>
      </c>
      <c r="F114" s="17"/>
    </row>
    <row r="115" spans="1:6" s="17" customFormat="1">
      <c r="A115" s="6">
        <v>10024</v>
      </c>
      <c r="B115" s="6">
        <v>12114</v>
      </c>
      <c r="C115" s="29" t="s">
        <v>745</v>
      </c>
      <c r="D115" s="6" t="s">
        <v>698</v>
      </c>
      <c r="E115" s="6">
        <v>0</v>
      </c>
    </row>
    <row r="116" spans="1:6" s="23" customFormat="1">
      <c r="A116" s="6">
        <v>10025</v>
      </c>
      <c r="B116" s="6">
        <v>12115</v>
      </c>
      <c r="C116" s="29" t="s">
        <v>746</v>
      </c>
      <c r="D116" s="6" t="s">
        <v>145</v>
      </c>
      <c r="E116" s="6">
        <v>12116</v>
      </c>
    </row>
    <row r="117" spans="1:6" s="21" customFormat="1">
      <c r="A117" s="6">
        <v>10025</v>
      </c>
      <c r="B117" s="6">
        <v>12116</v>
      </c>
      <c r="C117" s="29">
        <v>20001</v>
      </c>
      <c r="D117" s="6" t="s">
        <v>699</v>
      </c>
      <c r="E117" s="6">
        <v>12117</v>
      </c>
    </row>
    <row r="118" spans="1:6">
      <c r="A118" s="6">
        <v>10025</v>
      </c>
      <c r="B118" s="6">
        <v>12117</v>
      </c>
      <c r="C118" s="29" t="s">
        <v>746</v>
      </c>
      <c r="D118" s="6" t="s">
        <v>146</v>
      </c>
      <c r="E118" s="6">
        <v>12118</v>
      </c>
      <c r="F118" s="17"/>
    </row>
    <row r="119" spans="1:6">
      <c r="A119" s="6">
        <v>10025</v>
      </c>
      <c r="B119" s="6">
        <v>12118</v>
      </c>
      <c r="C119" s="29">
        <v>20001</v>
      </c>
      <c r="D119" s="6" t="s">
        <v>147</v>
      </c>
      <c r="E119" s="6">
        <v>12119</v>
      </c>
      <c r="F119" s="17"/>
    </row>
    <row r="120" spans="1:6">
      <c r="A120" s="6">
        <v>10025</v>
      </c>
      <c r="B120" s="6">
        <v>12119</v>
      </c>
      <c r="C120" s="29" t="s">
        <v>746</v>
      </c>
      <c r="D120" s="6" t="s">
        <v>148</v>
      </c>
      <c r="E120" s="6">
        <v>0</v>
      </c>
      <c r="F120" s="17"/>
    </row>
    <row r="121" spans="1:6">
      <c r="A121" s="6">
        <v>10026</v>
      </c>
      <c r="B121" s="6">
        <v>12120</v>
      </c>
      <c r="C121" s="29" t="s">
        <v>746</v>
      </c>
      <c r="D121" s="6" t="s">
        <v>149</v>
      </c>
      <c r="E121" s="6">
        <v>12121</v>
      </c>
      <c r="F121" s="17"/>
    </row>
    <row r="122" spans="1:6">
      <c r="A122" s="6">
        <v>10026</v>
      </c>
      <c r="B122" s="6">
        <v>12121</v>
      </c>
      <c r="C122" s="29">
        <v>20001</v>
      </c>
      <c r="D122" s="6" t="s">
        <v>98</v>
      </c>
      <c r="E122" s="6">
        <v>12122</v>
      </c>
      <c r="F122" s="17"/>
    </row>
    <row r="123" spans="1:6">
      <c r="A123" s="6">
        <v>10026</v>
      </c>
      <c r="B123" s="6">
        <v>12122</v>
      </c>
      <c r="C123" s="29" t="s">
        <v>746</v>
      </c>
      <c r="D123" s="6" t="s">
        <v>150</v>
      </c>
      <c r="E123" s="6">
        <v>12123</v>
      </c>
      <c r="F123" s="17"/>
    </row>
    <row r="124" spans="1:6">
      <c r="A124" s="6">
        <v>10026</v>
      </c>
      <c r="B124" s="6">
        <v>12123</v>
      </c>
      <c r="C124" s="29">
        <v>20001</v>
      </c>
      <c r="D124" s="6" t="s">
        <v>151</v>
      </c>
      <c r="E124" s="6">
        <v>12124</v>
      </c>
      <c r="F124" s="17"/>
    </row>
    <row r="125" spans="1:6">
      <c r="A125" s="6">
        <v>10026</v>
      </c>
      <c r="B125" s="6">
        <v>12124</v>
      </c>
      <c r="C125" s="29" t="s">
        <v>746</v>
      </c>
      <c r="D125" s="6" t="s">
        <v>152</v>
      </c>
      <c r="E125" s="6">
        <v>0</v>
      </c>
      <c r="F125" s="17"/>
    </row>
    <row r="126" spans="1:6">
      <c r="A126" s="6">
        <v>10027</v>
      </c>
      <c r="B126" s="6">
        <v>12125</v>
      </c>
      <c r="C126" s="29">
        <v>20001</v>
      </c>
      <c r="D126" s="6" t="s">
        <v>153</v>
      </c>
      <c r="E126" s="6">
        <v>12126</v>
      </c>
      <c r="F126" s="17"/>
    </row>
    <row r="127" spans="1:6">
      <c r="A127" s="6">
        <v>10027</v>
      </c>
      <c r="B127" s="6">
        <v>12126</v>
      </c>
      <c r="C127" s="29" t="s">
        <v>732</v>
      </c>
      <c r="D127" s="6" t="s">
        <v>154</v>
      </c>
      <c r="E127" s="6">
        <v>12127</v>
      </c>
      <c r="F127" s="17"/>
    </row>
    <row r="128" spans="1:6">
      <c r="A128" s="6">
        <v>10027</v>
      </c>
      <c r="B128" s="6">
        <v>12127</v>
      </c>
      <c r="C128" s="29" t="s">
        <v>747</v>
      </c>
      <c r="D128" s="6" t="s">
        <v>155</v>
      </c>
      <c r="E128" s="6">
        <v>12128</v>
      </c>
      <c r="F128" s="17"/>
    </row>
    <row r="129" spans="1:6">
      <c r="A129" s="6">
        <v>10027</v>
      </c>
      <c r="B129" s="6">
        <v>12128</v>
      </c>
      <c r="C129" s="29">
        <v>20001</v>
      </c>
      <c r="D129" s="6" t="s">
        <v>156</v>
      </c>
      <c r="E129" s="6">
        <v>12129</v>
      </c>
      <c r="F129" s="17"/>
    </row>
    <row r="130" spans="1:6">
      <c r="A130" s="6">
        <v>10027</v>
      </c>
      <c r="B130" s="6">
        <v>12129</v>
      </c>
      <c r="C130" s="29" t="s">
        <v>747</v>
      </c>
      <c r="D130" s="6" t="s">
        <v>157</v>
      </c>
      <c r="E130" s="6">
        <v>0</v>
      </c>
      <c r="F130" s="17"/>
    </row>
    <row r="131" spans="1:6">
      <c r="A131" s="6">
        <v>10028</v>
      </c>
      <c r="B131" s="6">
        <v>12130</v>
      </c>
      <c r="C131" s="29" t="s">
        <v>747</v>
      </c>
      <c r="D131" s="6" t="s">
        <v>158</v>
      </c>
      <c r="E131" s="6">
        <v>12131</v>
      </c>
      <c r="F131" s="17"/>
    </row>
    <row r="132" spans="1:6">
      <c r="A132" s="6">
        <v>10028</v>
      </c>
      <c r="B132" s="6">
        <v>12131</v>
      </c>
      <c r="C132" s="29">
        <v>20001</v>
      </c>
      <c r="D132" s="6" t="s">
        <v>159</v>
      </c>
      <c r="E132" s="6">
        <v>12132</v>
      </c>
      <c r="F132" s="17"/>
    </row>
    <row r="133" spans="1:6">
      <c r="A133" s="6">
        <v>10028</v>
      </c>
      <c r="B133" s="6">
        <v>12132</v>
      </c>
      <c r="C133" s="29" t="s">
        <v>732</v>
      </c>
      <c r="D133" s="6" t="s">
        <v>160</v>
      </c>
      <c r="E133" s="6">
        <v>12133</v>
      </c>
      <c r="F133" s="17"/>
    </row>
    <row r="134" spans="1:6">
      <c r="A134" s="6">
        <v>10028</v>
      </c>
      <c r="B134" s="6">
        <v>12133</v>
      </c>
      <c r="C134" s="29" t="s">
        <v>747</v>
      </c>
      <c r="D134" s="6" t="s">
        <v>161</v>
      </c>
      <c r="E134" s="6">
        <v>12134</v>
      </c>
      <c r="F134" s="17"/>
    </row>
    <row r="135" spans="1:6">
      <c r="A135" s="6">
        <v>10028</v>
      </c>
      <c r="B135" s="6">
        <v>12134</v>
      </c>
      <c r="C135" s="29">
        <v>20001</v>
      </c>
      <c r="D135" s="6" t="s">
        <v>162</v>
      </c>
      <c r="E135" s="6">
        <v>0</v>
      </c>
      <c r="F135" s="17"/>
    </row>
    <row r="136" spans="1:6">
      <c r="A136" s="6">
        <v>10029</v>
      </c>
      <c r="B136" s="6">
        <v>12135</v>
      </c>
      <c r="C136" s="29">
        <v>20001</v>
      </c>
      <c r="D136" s="6" t="s">
        <v>163</v>
      </c>
      <c r="E136" s="6">
        <v>12136</v>
      </c>
      <c r="F136" s="17"/>
    </row>
    <row r="137" spans="1:6">
      <c r="A137" s="6">
        <v>10029</v>
      </c>
      <c r="B137" s="6">
        <v>12136</v>
      </c>
      <c r="C137" s="29" t="s">
        <v>732</v>
      </c>
      <c r="D137" s="6" t="s">
        <v>164</v>
      </c>
      <c r="E137" s="6">
        <v>12137</v>
      </c>
      <c r="F137" s="17"/>
    </row>
    <row r="138" spans="1:6">
      <c r="A138" s="6">
        <v>10029</v>
      </c>
      <c r="B138" s="6">
        <v>12137</v>
      </c>
      <c r="C138" s="29">
        <v>20001</v>
      </c>
      <c r="D138" s="6" t="s">
        <v>165</v>
      </c>
      <c r="E138" s="6">
        <v>12138</v>
      </c>
      <c r="F138" s="17"/>
    </row>
    <row r="139" spans="1:6">
      <c r="A139" s="6">
        <v>10029</v>
      </c>
      <c r="B139" s="6">
        <v>12138</v>
      </c>
      <c r="C139" s="29" t="s">
        <v>748</v>
      </c>
      <c r="D139" s="6" t="s">
        <v>99</v>
      </c>
      <c r="E139" s="6">
        <v>12139</v>
      </c>
      <c r="F139" s="17"/>
    </row>
    <row r="140" spans="1:6">
      <c r="A140" s="6">
        <v>10029</v>
      </c>
      <c r="B140" s="6">
        <v>12139</v>
      </c>
      <c r="C140" s="29">
        <v>20001</v>
      </c>
      <c r="D140" s="6" t="s">
        <v>700</v>
      </c>
      <c r="E140" s="6">
        <v>12140</v>
      </c>
      <c r="F140" s="17"/>
    </row>
    <row r="141" spans="1:6">
      <c r="A141" s="6">
        <v>10029</v>
      </c>
      <c r="B141" s="6">
        <v>12140</v>
      </c>
      <c r="C141" s="29" t="s">
        <v>748</v>
      </c>
      <c r="D141" s="6" t="s">
        <v>166</v>
      </c>
      <c r="E141" s="6">
        <v>12141</v>
      </c>
      <c r="F141" s="17"/>
    </row>
    <row r="142" spans="1:6" s="18" customFormat="1">
      <c r="A142" s="6">
        <v>10029</v>
      </c>
      <c r="B142" s="6">
        <v>12141</v>
      </c>
      <c r="C142" s="29">
        <v>20001</v>
      </c>
      <c r="D142" s="6" t="s">
        <v>701</v>
      </c>
      <c r="E142" s="6">
        <v>12142</v>
      </c>
    </row>
    <row r="143" spans="1:6" s="17" customFormat="1">
      <c r="A143" s="6">
        <v>10029</v>
      </c>
      <c r="B143" s="6">
        <v>12142</v>
      </c>
      <c r="C143" s="29" t="s">
        <v>732</v>
      </c>
      <c r="D143" s="6" t="s">
        <v>167</v>
      </c>
      <c r="E143" s="6">
        <v>0</v>
      </c>
    </row>
    <row r="144" spans="1:6" s="17" customFormat="1">
      <c r="A144" s="6">
        <v>10030</v>
      </c>
      <c r="B144" s="6">
        <v>12143</v>
      </c>
      <c r="C144" s="29" t="s">
        <v>748</v>
      </c>
      <c r="D144" s="6" t="s">
        <v>100</v>
      </c>
      <c r="E144" s="6">
        <v>12144</v>
      </c>
    </row>
    <row r="145" spans="1:6" s="17" customFormat="1">
      <c r="A145" s="6">
        <v>10030</v>
      </c>
      <c r="B145" s="6">
        <v>12144</v>
      </c>
      <c r="C145" s="29">
        <v>20001</v>
      </c>
      <c r="D145" s="6" t="s">
        <v>168</v>
      </c>
      <c r="E145" s="6">
        <v>12145</v>
      </c>
    </row>
    <row r="146" spans="1:6">
      <c r="A146" s="6">
        <v>10030</v>
      </c>
      <c r="B146" s="6">
        <v>12145</v>
      </c>
      <c r="C146" s="29" t="s">
        <v>748</v>
      </c>
      <c r="D146" s="6" t="s">
        <v>169</v>
      </c>
      <c r="E146" s="6">
        <v>12146</v>
      </c>
      <c r="F146" s="17"/>
    </row>
    <row r="147" spans="1:6">
      <c r="A147" s="6">
        <v>10030</v>
      </c>
      <c r="B147" s="6">
        <v>12146</v>
      </c>
      <c r="C147" s="29">
        <v>20001</v>
      </c>
      <c r="D147" s="6" t="s">
        <v>170</v>
      </c>
      <c r="E147" s="6">
        <v>12147</v>
      </c>
      <c r="F147" s="17"/>
    </row>
    <row r="148" spans="1:6">
      <c r="A148" s="6">
        <v>10030</v>
      </c>
      <c r="B148" s="6">
        <v>12147</v>
      </c>
      <c r="C148" s="29" t="s">
        <v>748</v>
      </c>
      <c r="D148" s="6" t="s">
        <v>171</v>
      </c>
      <c r="E148" s="6">
        <v>0</v>
      </c>
      <c r="F148" s="17"/>
    </row>
    <row r="149" spans="1:6">
      <c r="A149" s="6">
        <v>10031</v>
      </c>
      <c r="B149" s="6">
        <v>12148</v>
      </c>
      <c r="C149" s="29" t="s">
        <v>749</v>
      </c>
      <c r="D149" s="6" t="s">
        <v>101</v>
      </c>
      <c r="E149" s="6">
        <v>12149</v>
      </c>
      <c r="F149" s="17"/>
    </row>
    <row r="150" spans="1:6">
      <c r="A150" s="6">
        <v>10031</v>
      </c>
      <c r="B150" s="6">
        <v>12149</v>
      </c>
      <c r="C150" s="29">
        <v>20001</v>
      </c>
      <c r="D150" s="6" t="s">
        <v>172</v>
      </c>
      <c r="E150" s="6">
        <v>12150</v>
      </c>
      <c r="F150" s="17"/>
    </row>
    <row r="151" spans="1:6">
      <c r="A151" s="6">
        <v>10031</v>
      </c>
      <c r="B151" s="6">
        <v>12150</v>
      </c>
      <c r="C151" s="29" t="s">
        <v>749</v>
      </c>
      <c r="D151" s="6" t="s">
        <v>102</v>
      </c>
      <c r="E151" s="6">
        <v>12151</v>
      </c>
      <c r="F151" s="17"/>
    </row>
    <row r="152" spans="1:6" s="17" customFormat="1">
      <c r="A152" s="6">
        <v>10031</v>
      </c>
      <c r="B152" s="6">
        <v>12151</v>
      </c>
      <c r="C152" s="29">
        <v>20001</v>
      </c>
      <c r="D152" s="6" t="s">
        <v>103</v>
      </c>
      <c r="E152" s="6">
        <v>12152</v>
      </c>
    </row>
    <row r="153" spans="1:6">
      <c r="A153" s="6">
        <v>10031</v>
      </c>
      <c r="B153" s="6">
        <v>12152</v>
      </c>
      <c r="C153" s="29" t="s">
        <v>749</v>
      </c>
      <c r="D153" s="6" t="s">
        <v>173</v>
      </c>
      <c r="E153" s="6">
        <v>0</v>
      </c>
      <c r="F153" s="17"/>
    </row>
    <row r="154" spans="1:6">
      <c r="A154" s="6">
        <v>10032</v>
      </c>
      <c r="B154" s="6">
        <v>12153</v>
      </c>
      <c r="C154" s="29" t="s">
        <v>749</v>
      </c>
      <c r="D154" s="6" t="s">
        <v>104</v>
      </c>
      <c r="E154" s="6">
        <v>12154</v>
      </c>
      <c r="F154" s="17"/>
    </row>
    <row r="155" spans="1:6">
      <c r="A155" s="6">
        <v>10032</v>
      </c>
      <c r="B155" s="6">
        <v>12154</v>
      </c>
      <c r="C155" s="29">
        <v>20001</v>
      </c>
      <c r="D155" s="6" t="s">
        <v>105</v>
      </c>
      <c r="E155" s="6">
        <v>0</v>
      </c>
      <c r="F155" s="17"/>
    </row>
    <row r="156" spans="1:6">
      <c r="A156" s="6">
        <v>10033</v>
      </c>
      <c r="B156" s="6">
        <v>12155</v>
      </c>
      <c r="C156" s="29">
        <v>50108</v>
      </c>
      <c r="D156" s="6" t="s">
        <v>702</v>
      </c>
      <c r="E156" s="6">
        <v>12156</v>
      </c>
      <c r="F156" s="17"/>
    </row>
    <row r="157" spans="1:6">
      <c r="A157" s="6">
        <v>10033</v>
      </c>
      <c r="B157" s="6">
        <v>12156</v>
      </c>
      <c r="C157" s="29">
        <v>20001</v>
      </c>
      <c r="D157" s="6" t="s">
        <v>780</v>
      </c>
      <c r="E157" s="6">
        <v>12157</v>
      </c>
      <c r="F157" s="17"/>
    </row>
    <row r="158" spans="1:6">
      <c r="A158" s="6">
        <v>10033</v>
      </c>
      <c r="B158" s="6">
        <v>12157</v>
      </c>
      <c r="C158" s="29">
        <v>50108</v>
      </c>
      <c r="D158" s="6" t="s">
        <v>174</v>
      </c>
      <c r="E158" s="6">
        <v>12158</v>
      </c>
      <c r="F158" s="17"/>
    </row>
    <row r="159" spans="1:6">
      <c r="A159" s="6">
        <v>10033</v>
      </c>
      <c r="B159" s="6">
        <v>12158</v>
      </c>
      <c r="C159" s="29">
        <v>20001</v>
      </c>
      <c r="D159" s="6" t="s">
        <v>175</v>
      </c>
      <c r="E159" s="6">
        <v>12159</v>
      </c>
      <c r="F159" s="17"/>
    </row>
    <row r="160" spans="1:6">
      <c r="A160" s="6">
        <v>10033</v>
      </c>
      <c r="B160" s="6">
        <v>12159</v>
      </c>
      <c r="C160" s="29">
        <v>50108</v>
      </c>
      <c r="D160" s="6" t="s">
        <v>176</v>
      </c>
      <c r="E160" s="6">
        <v>0</v>
      </c>
      <c r="F160" s="17"/>
    </row>
    <row r="161" spans="1:6">
      <c r="A161" s="6">
        <v>10034</v>
      </c>
      <c r="B161" s="6">
        <v>12160</v>
      </c>
      <c r="C161" s="29">
        <v>50108</v>
      </c>
      <c r="D161" s="6" t="s">
        <v>177</v>
      </c>
      <c r="E161" s="6">
        <v>12161</v>
      </c>
      <c r="F161" s="17"/>
    </row>
    <row r="162" spans="1:6">
      <c r="A162" s="6">
        <v>10034</v>
      </c>
      <c r="B162" s="6">
        <v>12161</v>
      </c>
      <c r="C162" s="29">
        <v>20001</v>
      </c>
      <c r="D162" s="6" t="s">
        <v>178</v>
      </c>
      <c r="E162" s="6">
        <v>12162</v>
      </c>
      <c r="F162" s="17"/>
    </row>
    <row r="163" spans="1:6">
      <c r="A163" s="6">
        <v>10034</v>
      </c>
      <c r="B163" s="6">
        <v>12162</v>
      </c>
      <c r="C163" s="29">
        <v>50108</v>
      </c>
      <c r="D163" s="6" t="s">
        <v>179</v>
      </c>
      <c r="E163" s="6">
        <v>0</v>
      </c>
      <c r="F163" s="17"/>
    </row>
    <row r="164" spans="1:6">
      <c r="A164" s="6">
        <v>10035</v>
      </c>
      <c r="B164" s="6">
        <v>12163</v>
      </c>
      <c r="C164" s="29" t="s">
        <v>750</v>
      </c>
      <c r="D164" s="6" t="s">
        <v>703</v>
      </c>
      <c r="E164" s="6">
        <v>12164</v>
      </c>
      <c r="F164" s="17"/>
    </row>
    <row r="165" spans="1:6">
      <c r="A165" s="6">
        <v>10035</v>
      </c>
      <c r="B165" s="6">
        <v>12164</v>
      </c>
      <c r="C165" s="29">
        <v>20001</v>
      </c>
      <c r="D165" s="6" t="s">
        <v>180</v>
      </c>
      <c r="E165" s="6">
        <v>12165</v>
      </c>
      <c r="F165" s="17"/>
    </row>
    <row r="166" spans="1:6">
      <c r="A166" s="6">
        <v>10035</v>
      </c>
      <c r="B166" s="6">
        <v>12165</v>
      </c>
      <c r="C166" s="29" t="s">
        <v>750</v>
      </c>
      <c r="D166" s="6" t="s">
        <v>181</v>
      </c>
      <c r="E166" s="6">
        <v>12166</v>
      </c>
      <c r="F166" s="17"/>
    </row>
    <row r="167" spans="1:6">
      <c r="A167" s="6">
        <v>10035</v>
      </c>
      <c r="B167" s="6">
        <v>12166</v>
      </c>
      <c r="C167" s="29">
        <v>20001</v>
      </c>
      <c r="D167" s="6" t="s">
        <v>704</v>
      </c>
      <c r="E167" s="6">
        <v>0</v>
      </c>
      <c r="F167" s="17"/>
    </row>
    <row r="168" spans="1:6">
      <c r="A168" s="6">
        <v>10036</v>
      </c>
      <c r="B168" s="6">
        <v>12167</v>
      </c>
      <c r="C168" s="29" t="s">
        <v>751</v>
      </c>
      <c r="D168" s="6" t="s">
        <v>106</v>
      </c>
      <c r="E168" s="6">
        <v>12168</v>
      </c>
      <c r="F168" s="17"/>
    </row>
    <row r="169" spans="1:6">
      <c r="A169" s="6">
        <v>10036</v>
      </c>
      <c r="B169" s="6">
        <v>12168</v>
      </c>
      <c r="C169" s="29" t="s">
        <v>750</v>
      </c>
      <c r="D169" s="6" t="s">
        <v>182</v>
      </c>
      <c r="E169" s="6">
        <v>12169</v>
      </c>
      <c r="F169" s="17"/>
    </row>
    <row r="170" spans="1:6">
      <c r="A170" s="6">
        <v>10036</v>
      </c>
      <c r="B170" s="6">
        <v>12169</v>
      </c>
      <c r="C170" s="29">
        <v>20001</v>
      </c>
      <c r="D170" s="6" t="s">
        <v>183</v>
      </c>
      <c r="E170" s="6">
        <v>12170</v>
      </c>
      <c r="F170" s="17"/>
    </row>
    <row r="171" spans="1:6">
      <c r="A171" s="6">
        <v>10036</v>
      </c>
      <c r="B171" s="6">
        <v>12170</v>
      </c>
      <c r="C171" s="29" t="s">
        <v>750</v>
      </c>
      <c r="D171" s="6" t="s">
        <v>184</v>
      </c>
      <c r="E171" s="6">
        <v>0</v>
      </c>
      <c r="F171" s="17"/>
    </row>
    <row r="172" spans="1:6">
      <c r="A172" s="6">
        <v>10037</v>
      </c>
      <c r="B172" s="6">
        <v>12171</v>
      </c>
      <c r="C172" s="29">
        <v>20001</v>
      </c>
      <c r="D172" s="6" t="s">
        <v>705</v>
      </c>
      <c r="E172" s="6">
        <v>12172</v>
      </c>
      <c r="F172" s="17"/>
    </row>
    <row r="173" spans="1:6">
      <c r="A173" s="6">
        <v>10037</v>
      </c>
      <c r="B173" s="6">
        <v>12172</v>
      </c>
      <c r="C173" s="29" t="s">
        <v>752</v>
      </c>
      <c r="D173" s="6" t="s">
        <v>185</v>
      </c>
      <c r="E173" s="6">
        <v>12173</v>
      </c>
      <c r="F173" s="17"/>
    </row>
    <row r="174" spans="1:6">
      <c r="A174" s="6">
        <v>10037</v>
      </c>
      <c r="B174" s="6">
        <v>12173</v>
      </c>
      <c r="C174" s="29" t="s">
        <v>732</v>
      </c>
      <c r="D174" s="6" t="s">
        <v>186</v>
      </c>
      <c r="E174" s="6">
        <v>12174</v>
      </c>
      <c r="F174" s="17"/>
    </row>
    <row r="175" spans="1:6">
      <c r="A175" s="6">
        <v>10037</v>
      </c>
      <c r="B175" s="6">
        <v>12174</v>
      </c>
      <c r="C175" s="29">
        <v>20001</v>
      </c>
      <c r="D175" s="6" t="s">
        <v>187</v>
      </c>
      <c r="E175" s="6">
        <v>0</v>
      </c>
      <c r="F175" s="17"/>
    </row>
    <row r="176" spans="1:6">
      <c r="A176" s="6">
        <v>10038</v>
      </c>
      <c r="B176" s="6">
        <v>12175</v>
      </c>
      <c r="C176" s="29" t="s">
        <v>752</v>
      </c>
      <c r="D176" s="6" t="s">
        <v>188</v>
      </c>
      <c r="E176" s="6">
        <v>12176</v>
      </c>
      <c r="F176" s="17"/>
    </row>
    <row r="177" spans="1:6">
      <c r="A177" s="6">
        <v>10038</v>
      </c>
      <c r="B177" s="6">
        <v>12176</v>
      </c>
      <c r="C177" s="29">
        <v>20001</v>
      </c>
      <c r="D177" s="6" t="s">
        <v>706</v>
      </c>
      <c r="E177" s="6">
        <v>0</v>
      </c>
      <c r="F177" s="17"/>
    </row>
    <row r="178" spans="1:6">
      <c r="A178" s="6">
        <v>10039</v>
      </c>
      <c r="B178" s="6">
        <v>12177</v>
      </c>
      <c r="C178" s="29" t="s">
        <v>750</v>
      </c>
      <c r="D178" s="6" t="s">
        <v>189</v>
      </c>
      <c r="E178" s="6">
        <v>12178</v>
      </c>
      <c r="F178" s="17"/>
    </row>
    <row r="179" spans="1:6">
      <c r="A179" s="6">
        <v>10039</v>
      </c>
      <c r="B179" s="6">
        <v>12178</v>
      </c>
      <c r="C179" s="29">
        <v>20001</v>
      </c>
      <c r="D179" s="6" t="s">
        <v>190</v>
      </c>
      <c r="E179" s="6">
        <v>12179</v>
      </c>
      <c r="F179" s="17"/>
    </row>
    <row r="180" spans="1:6">
      <c r="A180" s="6">
        <v>10039</v>
      </c>
      <c r="B180" s="6">
        <v>12179</v>
      </c>
      <c r="C180" s="29" t="s">
        <v>753</v>
      </c>
      <c r="D180" s="6" t="s">
        <v>191</v>
      </c>
      <c r="E180" s="6">
        <v>12180</v>
      </c>
      <c r="F180" s="17"/>
    </row>
    <row r="181" spans="1:6">
      <c r="A181" s="6">
        <v>10039</v>
      </c>
      <c r="B181" s="6">
        <v>12180</v>
      </c>
      <c r="C181" s="29" t="s">
        <v>732</v>
      </c>
      <c r="D181" s="6" t="s">
        <v>192</v>
      </c>
      <c r="E181" s="6">
        <v>0</v>
      </c>
      <c r="F181" s="17"/>
    </row>
    <row r="182" spans="1:6">
      <c r="A182" s="6">
        <v>10040</v>
      </c>
      <c r="B182" s="6">
        <v>12181</v>
      </c>
      <c r="C182" s="29" t="s">
        <v>750</v>
      </c>
      <c r="D182" s="6" t="s">
        <v>193</v>
      </c>
      <c r="E182" s="6">
        <v>12182</v>
      </c>
      <c r="F182" s="17"/>
    </row>
    <row r="183" spans="1:6">
      <c r="A183" s="6">
        <v>10040</v>
      </c>
      <c r="B183" s="6">
        <v>12182</v>
      </c>
      <c r="C183" s="29">
        <v>20001</v>
      </c>
      <c r="D183" s="6" t="s">
        <v>194</v>
      </c>
      <c r="E183" s="6">
        <v>12183</v>
      </c>
      <c r="F183" s="17"/>
    </row>
    <row r="184" spans="1:6" s="19" customFormat="1">
      <c r="A184" s="6">
        <v>10040</v>
      </c>
      <c r="B184" s="6">
        <v>12183</v>
      </c>
      <c r="C184" s="29" t="s">
        <v>753</v>
      </c>
      <c r="D184" s="6" t="s">
        <v>195</v>
      </c>
      <c r="E184" s="6">
        <v>12184</v>
      </c>
    </row>
    <row r="185" spans="1:6">
      <c r="A185" s="6">
        <v>10040</v>
      </c>
      <c r="B185" s="6">
        <v>12184</v>
      </c>
      <c r="C185" s="29" t="s">
        <v>750</v>
      </c>
      <c r="D185" s="6" t="s">
        <v>196</v>
      </c>
      <c r="E185" s="6">
        <v>12185</v>
      </c>
      <c r="F185" s="17"/>
    </row>
    <row r="186" spans="1:6">
      <c r="A186" s="6">
        <v>10040</v>
      </c>
      <c r="B186" s="6">
        <v>12185</v>
      </c>
      <c r="C186" s="29" t="s">
        <v>753</v>
      </c>
      <c r="D186" s="6" t="s">
        <v>197</v>
      </c>
      <c r="E186" s="6">
        <v>0</v>
      </c>
      <c r="F186" s="17"/>
    </row>
    <row r="187" spans="1:6">
      <c r="A187" s="6">
        <v>10041</v>
      </c>
      <c r="B187" s="6">
        <v>12186</v>
      </c>
      <c r="C187" s="29" t="s">
        <v>754</v>
      </c>
      <c r="D187" s="6" t="s">
        <v>107</v>
      </c>
      <c r="E187" s="6">
        <v>12187</v>
      </c>
      <c r="F187" s="17"/>
    </row>
    <row r="188" spans="1:6">
      <c r="A188" s="6">
        <v>10041</v>
      </c>
      <c r="B188" s="6">
        <v>12187</v>
      </c>
      <c r="C188" s="29" t="s">
        <v>733</v>
      </c>
      <c r="D188" s="6" t="s">
        <v>108</v>
      </c>
      <c r="E188" s="6">
        <v>12188</v>
      </c>
      <c r="F188" s="17"/>
    </row>
    <row r="189" spans="1:6">
      <c r="A189" s="6">
        <v>10041</v>
      </c>
      <c r="B189" s="6">
        <v>12188</v>
      </c>
      <c r="C189" s="29" t="s">
        <v>754</v>
      </c>
      <c r="D189" s="6" t="s">
        <v>707</v>
      </c>
      <c r="E189" s="6">
        <v>12189</v>
      </c>
      <c r="F189" s="17"/>
    </row>
    <row r="190" spans="1:6">
      <c r="A190" s="6">
        <v>10041</v>
      </c>
      <c r="B190" s="6">
        <v>12189</v>
      </c>
      <c r="C190" s="29" t="s">
        <v>732</v>
      </c>
      <c r="D190" s="6" t="s">
        <v>198</v>
      </c>
      <c r="E190" s="6">
        <v>12190</v>
      </c>
      <c r="F190" s="17"/>
    </row>
    <row r="191" spans="1:6">
      <c r="A191" s="6">
        <v>10041</v>
      </c>
      <c r="B191" s="6">
        <v>12190</v>
      </c>
      <c r="C191" s="29">
        <v>20001</v>
      </c>
      <c r="D191" s="6" t="s">
        <v>199</v>
      </c>
      <c r="E191" s="6">
        <v>0</v>
      </c>
      <c r="F191" s="17"/>
    </row>
    <row r="192" spans="1:6">
      <c r="A192" s="6">
        <v>10042</v>
      </c>
      <c r="B192" s="6">
        <v>12191</v>
      </c>
      <c r="C192" s="29">
        <v>20001</v>
      </c>
      <c r="D192" s="6" t="s">
        <v>200</v>
      </c>
      <c r="E192" s="6">
        <v>0</v>
      </c>
      <c r="F192" s="17"/>
    </row>
    <row r="193" spans="1:6">
      <c r="A193" s="6">
        <v>10043</v>
      </c>
      <c r="B193" s="6">
        <v>12192</v>
      </c>
      <c r="C193" s="29">
        <v>20001</v>
      </c>
      <c r="D193" s="6" t="s">
        <v>708</v>
      </c>
      <c r="E193" s="6">
        <v>12193</v>
      </c>
      <c r="F193" s="17"/>
    </row>
    <row r="194" spans="1:6">
      <c r="A194" s="6">
        <v>10043</v>
      </c>
      <c r="B194" s="6">
        <v>12193</v>
      </c>
      <c r="C194" s="29" t="s">
        <v>732</v>
      </c>
      <c r="D194" s="6" t="s">
        <v>201</v>
      </c>
      <c r="E194" s="6">
        <v>12194</v>
      </c>
      <c r="F194" s="17"/>
    </row>
    <row r="195" spans="1:6">
      <c r="A195" s="6">
        <v>10043</v>
      </c>
      <c r="B195" s="6">
        <v>12194</v>
      </c>
      <c r="C195" s="29" t="s">
        <v>755</v>
      </c>
      <c r="D195" s="6" t="s">
        <v>109</v>
      </c>
      <c r="E195" s="6">
        <v>12195</v>
      </c>
      <c r="F195" s="17"/>
    </row>
    <row r="196" spans="1:6">
      <c r="A196" s="6">
        <v>10043</v>
      </c>
      <c r="B196" s="6">
        <v>12195</v>
      </c>
      <c r="C196" s="29">
        <v>20001</v>
      </c>
      <c r="D196" s="6" t="s">
        <v>202</v>
      </c>
      <c r="E196" s="6">
        <v>12196</v>
      </c>
      <c r="F196" s="17"/>
    </row>
    <row r="197" spans="1:6" s="17" customFormat="1">
      <c r="A197" s="6">
        <v>10043</v>
      </c>
      <c r="B197" s="6">
        <v>12196</v>
      </c>
      <c r="C197" s="29" t="s">
        <v>755</v>
      </c>
      <c r="D197" s="6" t="s">
        <v>203</v>
      </c>
      <c r="E197" s="6">
        <v>0</v>
      </c>
    </row>
    <row r="198" spans="1:6">
      <c r="A198" s="6">
        <v>10044</v>
      </c>
      <c r="B198" s="6">
        <v>12197</v>
      </c>
      <c r="C198" s="29">
        <v>20001</v>
      </c>
      <c r="D198" s="6" t="s">
        <v>110</v>
      </c>
      <c r="E198" s="6">
        <v>12198</v>
      </c>
      <c r="F198" s="17"/>
    </row>
    <row r="199" spans="1:6">
      <c r="A199" s="6">
        <v>10044</v>
      </c>
      <c r="B199" s="6">
        <v>12198</v>
      </c>
      <c r="C199" s="29" t="s">
        <v>755</v>
      </c>
      <c r="D199" s="6" t="s">
        <v>204</v>
      </c>
      <c r="E199" s="6">
        <v>12199</v>
      </c>
      <c r="F199" s="17"/>
    </row>
    <row r="200" spans="1:6">
      <c r="A200" s="6">
        <v>10044</v>
      </c>
      <c r="B200" s="6">
        <v>12199</v>
      </c>
      <c r="C200" s="29" t="s">
        <v>732</v>
      </c>
      <c r="D200" s="6" t="s">
        <v>205</v>
      </c>
      <c r="E200" s="6">
        <v>0</v>
      </c>
      <c r="F200" s="17"/>
    </row>
    <row r="201" spans="1:6">
      <c r="A201" s="6">
        <v>10045</v>
      </c>
      <c r="B201" s="6">
        <v>12200</v>
      </c>
      <c r="C201" s="29" t="s">
        <v>756</v>
      </c>
      <c r="D201" s="6" t="s">
        <v>206</v>
      </c>
      <c r="E201" s="6">
        <v>12201</v>
      </c>
      <c r="F201" s="17"/>
    </row>
    <row r="202" spans="1:6">
      <c r="A202" s="6">
        <v>10045</v>
      </c>
      <c r="B202" s="6">
        <v>12201</v>
      </c>
      <c r="C202" s="29">
        <v>20001</v>
      </c>
      <c r="D202" s="6" t="s">
        <v>207</v>
      </c>
      <c r="E202" s="6">
        <v>12202</v>
      </c>
      <c r="F202" s="17"/>
    </row>
    <row r="203" spans="1:6">
      <c r="A203" s="6">
        <v>10045</v>
      </c>
      <c r="B203" s="6">
        <v>12202</v>
      </c>
      <c r="C203" s="29" t="s">
        <v>756</v>
      </c>
      <c r="D203" s="6" t="s">
        <v>208</v>
      </c>
      <c r="E203" s="6">
        <v>12203</v>
      </c>
      <c r="F203" s="17"/>
    </row>
    <row r="204" spans="1:6">
      <c r="A204" s="6">
        <v>10045</v>
      </c>
      <c r="B204" s="6">
        <v>12203</v>
      </c>
      <c r="C204" s="29">
        <v>20001</v>
      </c>
      <c r="D204" s="6" t="s">
        <v>209</v>
      </c>
      <c r="E204" s="6">
        <v>12204</v>
      </c>
      <c r="F204" s="17"/>
    </row>
    <row r="205" spans="1:6">
      <c r="A205" s="6">
        <v>10045</v>
      </c>
      <c r="B205" s="6">
        <v>12204</v>
      </c>
      <c r="C205" s="29" t="s">
        <v>756</v>
      </c>
      <c r="D205" s="6" t="s">
        <v>210</v>
      </c>
      <c r="E205" s="6">
        <v>12205</v>
      </c>
      <c r="F205" s="17"/>
    </row>
    <row r="206" spans="1:6">
      <c r="A206" s="6">
        <v>10045</v>
      </c>
      <c r="B206" s="6">
        <v>12205</v>
      </c>
      <c r="C206" s="29">
        <v>20001</v>
      </c>
      <c r="D206" s="6" t="s">
        <v>211</v>
      </c>
      <c r="E206" s="6">
        <v>0</v>
      </c>
      <c r="F206" s="17"/>
    </row>
    <row r="207" spans="1:6">
      <c r="A207" s="6">
        <v>10046</v>
      </c>
      <c r="B207" s="6">
        <v>12206</v>
      </c>
      <c r="C207" s="29">
        <v>20001</v>
      </c>
      <c r="D207" s="6" t="s">
        <v>212</v>
      </c>
      <c r="E207" s="6">
        <v>12207</v>
      </c>
      <c r="F207" s="17"/>
    </row>
    <row r="208" spans="1:6">
      <c r="A208" s="6">
        <v>10046</v>
      </c>
      <c r="B208" s="6">
        <v>12207</v>
      </c>
      <c r="C208" s="29" t="s">
        <v>756</v>
      </c>
      <c r="D208" s="6" t="s">
        <v>213</v>
      </c>
      <c r="E208" s="6">
        <v>0</v>
      </c>
      <c r="F208" s="17"/>
    </row>
    <row r="209" spans="1:6">
      <c r="A209" s="6">
        <v>10047</v>
      </c>
      <c r="B209" s="6">
        <v>12208</v>
      </c>
      <c r="C209" s="29" t="s">
        <v>738</v>
      </c>
      <c r="D209" s="6" t="s">
        <v>709</v>
      </c>
      <c r="E209" s="6">
        <v>12209</v>
      </c>
      <c r="F209" s="17"/>
    </row>
    <row r="210" spans="1:6">
      <c r="A210" s="6">
        <v>10047</v>
      </c>
      <c r="B210" s="6">
        <v>12209</v>
      </c>
      <c r="C210" s="29">
        <v>20001</v>
      </c>
      <c r="D210" s="6" t="s">
        <v>214</v>
      </c>
      <c r="E210" s="6">
        <v>12210</v>
      </c>
      <c r="F210" s="17"/>
    </row>
    <row r="211" spans="1:6">
      <c r="A211" s="6">
        <v>10047</v>
      </c>
      <c r="B211" s="6">
        <v>12210</v>
      </c>
      <c r="C211" s="29" t="s">
        <v>738</v>
      </c>
      <c r="D211" s="6" t="s">
        <v>215</v>
      </c>
      <c r="E211" s="6">
        <v>12211</v>
      </c>
      <c r="F211" s="17"/>
    </row>
    <row r="212" spans="1:6">
      <c r="A212" s="6">
        <v>10047</v>
      </c>
      <c r="B212" s="6">
        <v>12211</v>
      </c>
      <c r="C212" s="29" t="s">
        <v>756</v>
      </c>
      <c r="D212" s="6" t="s">
        <v>216</v>
      </c>
      <c r="E212" s="6">
        <v>0</v>
      </c>
      <c r="F212" s="17"/>
    </row>
    <row r="213" spans="1:6">
      <c r="A213" s="6">
        <v>10048</v>
      </c>
      <c r="B213" s="6">
        <v>12212</v>
      </c>
      <c r="C213" s="29" t="s">
        <v>738</v>
      </c>
      <c r="D213" s="6" t="s">
        <v>217</v>
      </c>
      <c r="E213" s="6">
        <v>12213</v>
      </c>
      <c r="F213" s="17"/>
    </row>
    <row r="214" spans="1:6">
      <c r="A214" s="6">
        <v>10048</v>
      </c>
      <c r="B214" s="6">
        <v>12213</v>
      </c>
      <c r="C214" s="29">
        <v>20001</v>
      </c>
      <c r="D214" s="6" t="s">
        <v>111</v>
      </c>
      <c r="E214" s="6">
        <v>0</v>
      </c>
      <c r="F214" s="17"/>
    </row>
    <row r="215" spans="1:6">
      <c r="A215" s="6">
        <v>10049</v>
      </c>
      <c r="B215" s="6">
        <v>12214</v>
      </c>
      <c r="C215" s="29">
        <v>20001</v>
      </c>
      <c r="D215" s="6" t="s">
        <v>218</v>
      </c>
      <c r="E215" s="6">
        <v>12215</v>
      </c>
      <c r="F215" s="17"/>
    </row>
    <row r="216" spans="1:6">
      <c r="A216" s="6">
        <v>10049</v>
      </c>
      <c r="B216" s="6">
        <v>12215</v>
      </c>
      <c r="C216" s="29" t="s">
        <v>757</v>
      </c>
      <c r="D216" s="6" t="s">
        <v>219</v>
      </c>
      <c r="E216" s="6">
        <v>12216</v>
      </c>
      <c r="F216" s="17"/>
    </row>
    <row r="217" spans="1:6">
      <c r="A217" s="6">
        <v>10049</v>
      </c>
      <c r="B217" s="6">
        <v>12216</v>
      </c>
      <c r="C217" s="29">
        <v>20001</v>
      </c>
      <c r="D217" s="6" t="s">
        <v>220</v>
      </c>
      <c r="E217" s="6">
        <v>12217</v>
      </c>
      <c r="F217" s="17"/>
    </row>
    <row r="218" spans="1:6">
      <c r="A218" s="6">
        <v>10049</v>
      </c>
      <c r="B218" s="6">
        <v>12217</v>
      </c>
      <c r="C218" s="29" t="s">
        <v>757</v>
      </c>
      <c r="D218" s="6" t="s">
        <v>221</v>
      </c>
      <c r="E218" s="6">
        <v>12218</v>
      </c>
      <c r="F218" s="17"/>
    </row>
    <row r="219" spans="1:6">
      <c r="A219" s="6">
        <v>10049</v>
      </c>
      <c r="B219" s="6">
        <v>12218</v>
      </c>
      <c r="C219" s="29">
        <v>20001</v>
      </c>
      <c r="D219" s="6" t="s">
        <v>222</v>
      </c>
      <c r="E219" s="6">
        <v>12219</v>
      </c>
      <c r="F219" s="17"/>
    </row>
    <row r="220" spans="1:6">
      <c r="A220" s="6">
        <v>10049</v>
      </c>
      <c r="B220" s="6">
        <v>12219</v>
      </c>
      <c r="C220" s="29" t="s">
        <v>757</v>
      </c>
      <c r="D220" s="6" t="s">
        <v>710</v>
      </c>
      <c r="E220" s="6">
        <v>12220</v>
      </c>
      <c r="F220" s="17"/>
    </row>
    <row r="221" spans="1:6">
      <c r="A221" s="6">
        <v>10049</v>
      </c>
      <c r="B221" s="6">
        <v>12220</v>
      </c>
      <c r="C221" s="29">
        <v>20001</v>
      </c>
      <c r="D221" s="6" t="s">
        <v>223</v>
      </c>
      <c r="E221" s="6">
        <v>0</v>
      </c>
      <c r="F221" s="17"/>
    </row>
    <row r="222" spans="1:6">
      <c r="A222" s="6">
        <v>10050</v>
      </c>
      <c r="B222" s="6">
        <v>12221</v>
      </c>
      <c r="C222" s="29">
        <v>20001</v>
      </c>
      <c r="D222" s="6" t="s">
        <v>224</v>
      </c>
      <c r="E222" s="6">
        <v>12222</v>
      </c>
      <c r="F222" s="17"/>
    </row>
    <row r="223" spans="1:6">
      <c r="A223" s="6">
        <v>10050</v>
      </c>
      <c r="B223" s="6">
        <v>12222</v>
      </c>
      <c r="C223" s="29" t="s">
        <v>757</v>
      </c>
      <c r="D223" s="6" t="s">
        <v>225</v>
      </c>
      <c r="E223" s="6">
        <v>12223</v>
      </c>
      <c r="F223" s="17"/>
    </row>
    <row r="224" spans="1:6">
      <c r="A224" s="6">
        <v>10050</v>
      </c>
      <c r="B224" s="6">
        <v>12223</v>
      </c>
      <c r="C224" s="29">
        <v>20001</v>
      </c>
      <c r="D224" s="6" t="s">
        <v>781</v>
      </c>
      <c r="E224" s="6">
        <v>0</v>
      </c>
      <c r="F224" s="17"/>
    </row>
    <row r="225" spans="1:6">
      <c r="A225" s="6">
        <v>10051</v>
      </c>
      <c r="B225" s="6">
        <v>12224</v>
      </c>
      <c r="C225" s="29" t="s">
        <v>758</v>
      </c>
      <c r="D225" s="6" t="s">
        <v>226</v>
      </c>
      <c r="E225" s="6">
        <v>12225</v>
      </c>
      <c r="F225" s="17"/>
    </row>
    <row r="226" spans="1:6">
      <c r="A226" s="6">
        <v>10051</v>
      </c>
      <c r="B226" s="6">
        <v>12225</v>
      </c>
      <c r="C226" s="29" t="s">
        <v>757</v>
      </c>
      <c r="D226" s="6" t="s">
        <v>711</v>
      </c>
      <c r="E226" s="6">
        <v>12226</v>
      </c>
      <c r="F226" s="17"/>
    </row>
    <row r="227" spans="1:6">
      <c r="A227" s="6">
        <v>10051</v>
      </c>
      <c r="B227" s="6">
        <v>12226</v>
      </c>
      <c r="C227" s="29" t="s">
        <v>758</v>
      </c>
      <c r="D227" s="6" t="s">
        <v>227</v>
      </c>
      <c r="E227" s="6">
        <v>12227</v>
      </c>
      <c r="F227" s="17"/>
    </row>
    <row r="228" spans="1:6">
      <c r="A228" s="6">
        <v>10051</v>
      </c>
      <c r="B228" s="6">
        <v>12227</v>
      </c>
      <c r="C228" s="29">
        <v>20001</v>
      </c>
      <c r="D228" s="6" t="s">
        <v>228</v>
      </c>
      <c r="E228" s="6">
        <v>12228</v>
      </c>
      <c r="F228" s="17"/>
    </row>
    <row r="229" spans="1:6">
      <c r="A229" s="6">
        <v>10051</v>
      </c>
      <c r="B229" s="6">
        <v>12228</v>
      </c>
      <c r="C229" s="29" t="s">
        <v>758</v>
      </c>
      <c r="D229" s="6" t="s">
        <v>229</v>
      </c>
      <c r="E229" s="6">
        <v>12229</v>
      </c>
      <c r="F229" s="17"/>
    </row>
    <row r="230" spans="1:6">
      <c r="A230" s="6">
        <v>10051</v>
      </c>
      <c r="B230" s="6">
        <v>12229</v>
      </c>
      <c r="C230" s="29">
        <v>20001</v>
      </c>
      <c r="D230" s="6" t="s">
        <v>230</v>
      </c>
      <c r="E230" s="6">
        <v>0</v>
      </c>
      <c r="F230" s="17"/>
    </row>
    <row r="231" spans="1:6">
      <c r="A231" s="6">
        <v>10052</v>
      </c>
      <c r="B231" s="6">
        <v>12230</v>
      </c>
      <c r="C231" s="29">
        <v>20001</v>
      </c>
      <c r="D231" s="6" t="s">
        <v>231</v>
      </c>
      <c r="E231" s="6">
        <v>12231</v>
      </c>
      <c r="F231" s="17"/>
    </row>
    <row r="232" spans="1:6">
      <c r="A232" s="6">
        <v>10052</v>
      </c>
      <c r="B232" s="6">
        <v>12231</v>
      </c>
      <c r="C232" s="29" t="s">
        <v>758</v>
      </c>
      <c r="D232" s="6" t="s">
        <v>232</v>
      </c>
      <c r="E232" s="6">
        <v>0</v>
      </c>
      <c r="F232" s="17"/>
    </row>
    <row r="233" spans="1:6">
      <c r="A233" s="6">
        <v>10053</v>
      </c>
      <c r="B233" s="6">
        <v>12232</v>
      </c>
      <c r="C233" s="29">
        <v>20001</v>
      </c>
      <c r="D233" s="6" t="s">
        <v>233</v>
      </c>
      <c r="E233" s="6">
        <v>12233</v>
      </c>
      <c r="F233" s="17"/>
    </row>
    <row r="234" spans="1:6">
      <c r="A234" s="6">
        <v>10053</v>
      </c>
      <c r="B234" s="6">
        <v>12233</v>
      </c>
      <c r="C234" s="29" t="s">
        <v>757</v>
      </c>
      <c r="D234" s="6" t="s">
        <v>234</v>
      </c>
      <c r="E234" s="6">
        <v>12234</v>
      </c>
      <c r="F234" s="17"/>
    </row>
    <row r="235" spans="1:6">
      <c r="A235" s="6">
        <v>10053</v>
      </c>
      <c r="B235" s="6">
        <v>12234</v>
      </c>
      <c r="C235" s="29" t="s">
        <v>757</v>
      </c>
      <c r="D235" s="6" t="s">
        <v>235</v>
      </c>
      <c r="E235" s="6">
        <v>12235</v>
      </c>
      <c r="F235" s="17"/>
    </row>
    <row r="236" spans="1:6" s="17" customFormat="1">
      <c r="A236" s="6">
        <v>10053</v>
      </c>
      <c r="B236" s="6">
        <v>12235</v>
      </c>
      <c r="C236" s="29">
        <v>20001</v>
      </c>
      <c r="D236" s="6" t="s">
        <v>236</v>
      </c>
      <c r="E236" s="6">
        <v>12236</v>
      </c>
    </row>
    <row r="237" spans="1:6">
      <c r="A237" s="6">
        <v>10053</v>
      </c>
      <c r="B237" s="6">
        <v>12236</v>
      </c>
      <c r="C237" s="29" t="s">
        <v>757</v>
      </c>
      <c r="D237" s="6" t="s">
        <v>237</v>
      </c>
      <c r="E237" s="6">
        <v>12237</v>
      </c>
      <c r="F237" s="17"/>
    </row>
    <row r="238" spans="1:6">
      <c r="A238" s="6">
        <v>10053</v>
      </c>
      <c r="B238" s="6">
        <v>12237</v>
      </c>
      <c r="C238" s="29" t="s">
        <v>759</v>
      </c>
      <c r="D238" s="6" t="s">
        <v>712</v>
      </c>
      <c r="E238" s="6">
        <v>0</v>
      </c>
      <c r="F238" s="17"/>
    </row>
    <row r="239" spans="1:6">
      <c r="A239" s="6">
        <v>10054</v>
      </c>
      <c r="B239" s="6">
        <v>12238</v>
      </c>
      <c r="C239" s="29" t="s">
        <v>757</v>
      </c>
      <c r="D239" s="6" t="s">
        <v>713</v>
      </c>
      <c r="E239" s="6">
        <v>0</v>
      </c>
      <c r="F239" s="17"/>
    </row>
    <row r="240" spans="1:6">
      <c r="A240" s="6">
        <v>10055</v>
      </c>
      <c r="B240" s="6">
        <v>12239</v>
      </c>
      <c r="C240" s="29" t="s">
        <v>759</v>
      </c>
      <c r="D240" s="6" t="s">
        <v>238</v>
      </c>
      <c r="E240" s="6">
        <v>12240</v>
      </c>
      <c r="F240" s="17"/>
    </row>
    <row r="241" spans="1:6">
      <c r="A241" s="6">
        <v>10055</v>
      </c>
      <c r="B241" s="6">
        <v>12240</v>
      </c>
      <c r="C241" s="29">
        <v>20001</v>
      </c>
      <c r="D241" s="6" t="s">
        <v>239</v>
      </c>
      <c r="E241" s="6">
        <v>12241</v>
      </c>
      <c r="F241" s="17"/>
    </row>
    <row r="242" spans="1:6">
      <c r="A242" s="6">
        <v>10055</v>
      </c>
      <c r="B242" s="6">
        <v>12241</v>
      </c>
      <c r="C242" s="29" t="s">
        <v>759</v>
      </c>
      <c r="D242" s="6" t="s">
        <v>240</v>
      </c>
      <c r="E242" s="6">
        <v>12242</v>
      </c>
      <c r="F242" s="17"/>
    </row>
    <row r="243" spans="1:6">
      <c r="A243" s="6">
        <v>10055</v>
      </c>
      <c r="B243" s="6">
        <v>12242</v>
      </c>
      <c r="C243" s="29">
        <v>20001</v>
      </c>
      <c r="D243" s="6" t="s">
        <v>241</v>
      </c>
      <c r="E243" s="6">
        <v>12243</v>
      </c>
      <c r="F243" s="17"/>
    </row>
    <row r="244" spans="1:6">
      <c r="A244" s="6">
        <v>10055</v>
      </c>
      <c r="B244" s="6">
        <v>12243</v>
      </c>
      <c r="C244" s="29" t="s">
        <v>759</v>
      </c>
      <c r="D244" s="6" t="s">
        <v>242</v>
      </c>
      <c r="E244" s="6">
        <v>0</v>
      </c>
      <c r="F244" s="17"/>
    </row>
    <row r="245" spans="1:6">
      <c r="A245" s="6">
        <v>10056</v>
      </c>
      <c r="B245" s="6">
        <v>12244</v>
      </c>
      <c r="C245" s="29" t="s">
        <v>759</v>
      </c>
      <c r="D245" s="6" t="s">
        <v>243</v>
      </c>
      <c r="E245" s="6">
        <v>12245</v>
      </c>
      <c r="F245" s="17"/>
    </row>
    <row r="246" spans="1:6">
      <c r="A246" s="6">
        <v>10056</v>
      </c>
      <c r="B246" s="6">
        <v>12245</v>
      </c>
      <c r="C246" s="29" t="s">
        <v>757</v>
      </c>
      <c r="D246" s="6" t="s">
        <v>244</v>
      </c>
      <c r="E246" s="6">
        <v>12246</v>
      </c>
      <c r="F246" s="17"/>
    </row>
    <row r="247" spans="1:6">
      <c r="A247" s="6">
        <v>10056</v>
      </c>
      <c r="B247" s="6">
        <v>12246</v>
      </c>
      <c r="C247" s="29">
        <v>20001</v>
      </c>
      <c r="D247" s="6" t="s">
        <v>245</v>
      </c>
      <c r="E247" s="6">
        <v>12247</v>
      </c>
      <c r="F247" s="17"/>
    </row>
    <row r="248" spans="1:6">
      <c r="A248" s="6">
        <v>10056</v>
      </c>
      <c r="B248" s="6">
        <v>12247</v>
      </c>
      <c r="C248" s="29" t="s">
        <v>757</v>
      </c>
      <c r="D248" s="6" t="s">
        <v>246</v>
      </c>
      <c r="E248" s="6">
        <v>0</v>
      </c>
      <c r="F248" s="17"/>
    </row>
    <row r="249" spans="1:6">
      <c r="A249" s="6">
        <v>10057</v>
      </c>
      <c r="B249" s="6">
        <v>12248</v>
      </c>
      <c r="C249" s="29" t="s">
        <v>732</v>
      </c>
      <c r="D249" s="6" t="s">
        <v>714</v>
      </c>
      <c r="E249" s="6">
        <v>12249</v>
      </c>
      <c r="F249" s="17"/>
    </row>
    <row r="250" spans="1:6">
      <c r="A250" s="6">
        <v>10057</v>
      </c>
      <c r="B250" s="6">
        <v>12249</v>
      </c>
      <c r="C250" s="29" t="s">
        <v>760</v>
      </c>
      <c r="D250" s="6" t="s">
        <v>247</v>
      </c>
      <c r="E250" s="6">
        <v>12250</v>
      </c>
      <c r="F250" s="17"/>
    </row>
    <row r="251" spans="1:6">
      <c r="A251" s="6">
        <v>10057</v>
      </c>
      <c r="B251" s="6">
        <v>12250</v>
      </c>
      <c r="C251" s="29" t="s">
        <v>732</v>
      </c>
      <c r="D251" s="6" t="s">
        <v>248</v>
      </c>
      <c r="E251" s="6">
        <v>12251</v>
      </c>
      <c r="F251" s="17"/>
    </row>
    <row r="252" spans="1:6">
      <c r="A252" s="6">
        <v>10057</v>
      </c>
      <c r="B252" s="6">
        <v>12251</v>
      </c>
      <c r="C252" s="29" t="s">
        <v>760</v>
      </c>
      <c r="D252" s="6" t="s">
        <v>249</v>
      </c>
      <c r="E252" s="6">
        <v>0</v>
      </c>
      <c r="F252" s="17"/>
    </row>
    <row r="253" spans="1:6">
      <c r="A253" s="6">
        <v>10058</v>
      </c>
      <c r="B253" s="6">
        <v>12252</v>
      </c>
      <c r="C253" s="29" t="s">
        <v>760</v>
      </c>
      <c r="D253" s="6" t="s">
        <v>250</v>
      </c>
      <c r="E253" s="6">
        <v>12253</v>
      </c>
      <c r="F253" s="17"/>
    </row>
    <row r="254" spans="1:6">
      <c r="A254" s="6">
        <v>10058</v>
      </c>
      <c r="B254" s="6">
        <v>12253</v>
      </c>
      <c r="C254" s="29" t="s">
        <v>732</v>
      </c>
      <c r="D254" s="6" t="s">
        <v>251</v>
      </c>
      <c r="E254" s="6">
        <v>12254</v>
      </c>
      <c r="F254" s="17"/>
    </row>
    <row r="255" spans="1:6">
      <c r="A255" s="6">
        <v>10058</v>
      </c>
      <c r="B255" s="6">
        <v>12254</v>
      </c>
      <c r="C255" s="29" t="s">
        <v>733</v>
      </c>
      <c r="D255" s="6" t="s">
        <v>252</v>
      </c>
      <c r="E255" s="6">
        <v>12255</v>
      </c>
      <c r="F255" s="17"/>
    </row>
    <row r="256" spans="1:6">
      <c r="A256" s="6">
        <v>10058</v>
      </c>
      <c r="B256" s="6">
        <v>12255</v>
      </c>
      <c r="C256" s="29">
        <v>20001</v>
      </c>
      <c r="D256" s="6" t="s">
        <v>715</v>
      </c>
      <c r="E256" s="6">
        <v>12256</v>
      </c>
      <c r="F256" s="17"/>
    </row>
    <row r="257" spans="1:6">
      <c r="A257" s="6">
        <v>10058</v>
      </c>
      <c r="B257" s="6">
        <v>12256</v>
      </c>
      <c r="C257" s="29" t="s">
        <v>733</v>
      </c>
      <c r="D257" s="6" t="s">
        <v>253</v>
      </c>
      <c r="E257" s="6">
        <v>0</v>
      </c>
      <c r="F257" s="17"/>
    </row>
    <row r="258" spans="1:6">
      <c r="A258" s="6">
        <v>10059</v>
      </c>
      <c r="B258" s="6">
        <v>12257</v>
      </c>
      <c r="C258" s="29">
        <v>20001</v>
      </c>
      <c r="D258" s="6" t="s">
        <v>254</v>
      </c>
      <c r="E258" s="6">
        <v>12258</v>
      </c>
      <c r="F258" s="17"/>
    </row>
    <row r="259" spans="1:6">
      <c r="A259" s="6">
        <v>10059</v>
      </c>
      <c r="B259" s="6">
        <v>12258</v>
      </c>
      <c r="C259" s="29" t="s">
        <v>761</v>
      </c>
      <c r="D259" s="6" t="s">
        <v>255</v>
      </c>
      <c r="E259" s="6">
        <v>12259</v>
      </c>
      <c r="F259" s="17"/>
    </row>
    <row r="260" spans="1:6">
      <c r="A260" s="6">
        <v>10059</v>
      </c>
      <c r="B260" s="6">
        <v>12259</v>
      </c>
      <c r="C260" s="29">
        <v>20001</v>
      </c>
      <c r="D260" s="6" t="s">
        <v>256</v>
      </c>
      <c r="E260" s="6">
        <v>12260</v>
      </c>
      <c r="F260" s="17"/>
    </row>
    <row r="261" spans="1:6">
      <c r="A261" s="6">
        <v>10059</v>
      </c>
      <c r="B261" s="6">
        <v>12260</v>
      </c>
      <c r="C261" s="29" t="s">
        <v>761</v>
      </c>
      <c r="D261" s="6" t="s">
        <v>257</v>
      </c>
      <c r="E261" s="6">
        <v>12261</v>
      </c>
      <c r="F261" s="17"/>
    </row>
    <row r="262" spans="1:6">
      <c r="A262" s="6">
        <v>10059</v>
      </c>
      <c r="B262" s="6">
        <v>12261</v>
      </c>
      <c r="C262" s="29">
        <v>20001</v>
      </c>
      <c r="D262" s="6" t="s">
        <v>258</v>
      </c>
      <c r="E262" s="6">
        <v>12262</v>
      </c>
      <c r="F262" s="17"/>
    </row>
    <row r="263" spans="1:6">
      <c r="A263" s="6">
        <v>10059</v>
      </c>
      <c r="B263" s="6">
        <v>12262</v>
      </c>
      <c r="C263" s="29" t="s">
        <v>761</v>
      </c>
      <c r="D263" s="6" t="s">
        <v>259</v>
      </c>
      <c r="E263" s="6">
        <v>0</v>
      </c>
      <c r="F263" s="17"/>
    </row>
    <row r="264" spans="1:6">
      <c r="A264" s="6">
        <v>10060</v>
      </c>
      <c r="B264" s="6">
        <v>12263</v>
      </c>
      <c r="C264" s="29" t="s">
        <v>761</v>
      </c>
      <c r="D264" s="6" t="s">
        <v>260</v>
      </c>
      <c r="E264" s="6">
        <v>12264</v>
      </c>
      <c r="F264" s="17"/>
    </row>
    <row r="265" spans="1:6">
      <c r="A265" s="6">
        <v>10060</v>
      </c>
      <c r="B265" s="6">
        <v>12264</v>
      </c>
      <c r="C265" s="29">
        <v>20001</v>
      </c>
      <c r="D265" s="6" t="s">
        <v>261</v>
      </c>
      <c r="E265" s="6">
        <v>12265</v>
      </c>
      <c r="F265" s="17"/>
    </row>
    <row r="266" spans="1:6" s="19" customFormat="1">
      <c r="A266" s="6">
        <v>10060</v>
      </c>
      <c r="B266" s="6">
        <v>12265</v>
      </c>
      <c r="C266" s="29" t="s">
        <v>761</v>
      </c>
      <c r="D266" s="6" t="s">
        <v>262</v>
      </c>
      <c r="E266" s="6">
        <v>0</v>
      </c>
    </row>
    <row r="267" spans="1:6">
      <c r="A267" s="6">
        <v>10061</v>
      </c>
      <c r="B267" s="6">
        <v>12266</v>
      </c>
      <c r="C267" s="29" t="s">
        <v>762</v>
      </c>
      <c r="D267" s="6" t="s">
        <v>263</v>
      </c>
      <c r="E267" s="6">
        <v>12267</v>
      </c>
      <c r="F267" s="17"/>
    </row>
    <row r="268" spans="1:6">
      <c r="A268" s="6">
        <v>10061</v>
      </c>
      <c r="B268" s="6">
        <v>12267</v>
      </c>
      <c r="C268" s="29">
        <v>20001</v>
      </c>
      <c r="D268" s="6" t="s">
        <v>264</v>
      </c>
      <c r="E268" s="6">
        <v>12268</v>
      </c>
      <c r="F268" s="17"/>
    </row>
    <row r="269" spans="1:6">
      <c r="A269" s="6">
        <v>10061</v>
      </c>
      <c r="B269" s="6">
        <v>12268</v>
      </c>
      <c r="C269" s="29" t="s">
        <v>762</v>
      </c>
      <c r="D269" s="6" t="s">
        <v>265</v>
      </c>
      <c r="E269" s="6">
        <v>12269</v>
      </c>
      <c r="F269" s="17"/>
    </row>
    <row r="270" spans="1:6">
      <c r="A270" s="6">
        <v>10061</v>
      </c>
      <c r="B270" s="6">
        <v>12269</v>
      </c>
      <c r="C270" s="29">
        <v>20001</v>
      </c>
      <c r="D270" s="6" t="s">
        <v>266</v>
      </c>
      <c r="E270" s="6">
        <v>0</v>
      </c>
      <c r="F270" s="17"/>
    </row>
    <row r="271" spans="1:6">
      <c r="A271" s="6">
        <v>10062</v>
      </c>
      <c r="B271" s="6">
        <v>12270</v>
      </c>
      <c r="C271" s="29" t="s">
        <v>762</v>
      </c>
      <c r="D271" s="6" t="s">
        <v>267</v>
      </c>
      <c r="E271" s="6">
        <v>12271</v>
      </c>
      <c r="F271" s="17"/>
    </row>
    <row r="272" spans="1:6">
      <c r="A272" s="6">
        <v>10062</v>
      </c>
      <c r="B272" s="6">
        <v>12271</v>
      </c>
      <c r="C272" s="29" t="s">
        <v>760</v>
      </c>
      <c r="D272" s="6" t="s">
        <v>268</v>
      </c>
      <c r="E272" s="6">
        <v>12272</v>
      </c>
      <c r="F272" s="17"/>
    </row>
    <row r="273" spans="1:6">
      <c r="A273" s="6">
        <v>10062</v>
      </c>
      <c r="B273" s="6">
        <v>12272</v>
      </c>
      <c r="C273" s="29" t="s">
        <v>732</v>
      </c>
      <c r="D273" s="6" t="s">
        <v>269</v>
      </c>
      <c r="E273" s="6">
        <v>12273</v>
      </c>
      <c r="F273" s="17"/>
    </row>
    <row r="274" spans="1:6">
      <c r="A274" s="6">
        <v>10062</v>
      </c>
      <c r="B274" s="6">
        <v>12273</v>
      </c>
      <c r="C274" s="29" t="s">
        <v>760</v>
      </c>
      <c r="D274" s="6" t="s">
        <v>270</v>
      </c>
      <c r="E274" s="6">
        <v>12274</v>
      </c>
      <c r="F274" s="17"/>
    </row>
    <row r="275" spans="1:6">
      <c r="A275" s="6">
        <v>10062</v>
      </c>
      <c r="B275" s="6">
        <v>12274</v>
      </c>
      <c r="C275" s="29" t="s">
        <v>762</v>
      </c>
      <c r="D275" s="6" t="s">
        <v>271</v>
      </c>
      <c r="E275" s="6">
        <v>12275</v>
      </c>
      <c r="F275" s="17"/>
    </row>
    <row r="276" spans="1:6">
      <c r="A276" s="6">
        <v>10062</v>
      </c>
      <c r="B276" s="6">
        <v>12275</v>
      </c>
      <c r="C276" s="29" t="s">
        <v>732</v>
      </c>
      <c r="D276" s="6" t="s">
        <v>272</v>
      </c>
      <c r="E276" s="6">
        <v>0</v>
      </c>
      <c r="F276" s="17"/>
    </row>
    <row r="277" spans="1:6">
      <c r="A277" s="6">
        <v>10063</v>
      </c>
      <c r="B277" s="6">
        <v>12276</v>
      </c>
      <c r="C277" s="29" t="s">
        <v>732</v>
      </c>
      <c r="D277" s="6" t="s">
        <v>273</v>
      </c>
      <c r="E277" s="6">
        <v>12277</v>
      </c>
      <c r="F277" s="17"/>
    </row>
    <row r="278" spans="1:6">
      <c r="A278" s="6">
        <v>10063</v>
      </c>
      <c r="B278" s="6">
        <v>12277</v>
      </c>
      <c r="C278" s="29" t="s">
        <v>762</v>
      </c>
      <c r="D278" s="6" t="s">
        <v>274</v>
      </c>
      <c r="E278" s="6">
        <v>12278</v>
      </c>
      <c r="F278" s="17"/>
    </row>
    <row r="279" spans="1:6">
      <c r="A279" s="6">
        <v>10063</v>
      </c>
      <c r="B279" s="6">
        <v>12278</v>
      </c>
      <c r="C279" s="29" t="s">
        <v>760</v>
      </c>
      <c r="D279" s="6" t="s">
        <v>275</v>
      </c>
      <c r="E279" s="6">
        <v>12279</v>
      </c>
      <c r="F279" s="17"/>
    </row>
    <row r="280" spans="1:6">
      <c r="A280" s="6">
        <v>10063</v>
      </c>
      <c r="B280" s="6">
        <v>12279</v>
      </c>
      <c r="C280" s="29">
        <v>20001</v>
      </c>
      <c r="D280" s="6" t="s">
        <v>276</v>
      </c>
      <c r="E280" s="6">
        <v>12280</v>
      </c>
      <c r="F280" s="17"/>
    </row>
    <row r="281" spans="1:6">
      <c r="A281" s="6">
        <v>10063</v>
      </c>
      <c r="B281" s="6">
        <v>12280</v>
      </c>
      <c r="C281" s="29" t="s">
        <v>732</v>
      </c>
      <c r="D281" s="6" t="s">
        <v>277</v>
      </c>
      <c r="E281" s="6">
        <v>12281</v>
      </c>
      <c r="F281" s="17"/>
    </row>
    <row r="282" spans="1:6">
      <c r="A282" s="6">
        <v>10063</v>
      </c>
      <c r="B282" s="6">
        <v>12281</v>
      </c>
      <c r="C282" s="29">
        <v>20001</v>
      </c>
      <c r="D282" s="6" t="s">
        <v>716</v>
      </c>
      <c r="E282" s="6">
        <v>12282</v>
      </c>
      <c r="F282" s="17"/>
    </row>
    <row r="283" spans="1:6">
      <c r="A283" s="6">
        <v>10063</v>
      </c>
      <c r="B283" s="6">
        <v>12282</v>
      </c>
      <c r="C283" s="29" t="s">
        <v>760</v>
      </c>
      <c r="D283" s="6" t="s">
        <v>278</v>
      </c>
      <c r="E283" s="6">
        <v>0</v>
      </c>
      <c r="F283" s="17"/>
    </row>
    <row r="284" spans="1:6">
      <c r="A284" s="6">
        <v>10064</v>
      </c>
      <c r="B284" s="6">
        <v>12283</v>
      </c>
      <c r="C284" s="29" t="s">
        <v>759</v>
      </c>
      <c r="D284" s="6" t="s">
        <v>279</v>
      </c>
      <c r="E284" s="6">
        <v>12284</v>
      </c>
      <c r="F284" s="17"/>
    </row>
    <row r="285" spans="1:6">
      <c r="A285" s="6">
        <v>10064</v>
      </c>
      <c r="B285" s="6">
        <v>12284</v>
      </c>
      <c r="C285" s="29" t="s">
        <v>760</v>
      </c>
      <c r="D285" s="6" t="s">
        <v>280</v>
      </c>
      <c r="E285" s="6">
        <v>12285</v>
      </c>
      <c r="F285" s="17"/>
    </row>
    <row r="286" spans="1:6">
      <c r="A286" s="6">
        <v>10064</v>
      </c>
      <c r="B286" s="6">
        <v>12285</v>
      </c>
      <c r="C286" s="29" t="s">
        <v>759</v>
      </c>
      <c r="D286" s="6" t="s">
        <v>281</v>
      </c>
      <c r="E286" s="6">
        <v>12286</v>
      </c>
      <c r="F286" s="17"/>
    </row>
    <row r="287" spans="1:6">
      <c r="A287" s="6">
        <v>10064</v>
      </c>
      <c r="B287" s="6">
        <v>12286</v>
      </c>
      <c r="C287" s="29" t="s">
        <v>760</v>
      </c>
      <c r="D287" s="6" t="s">
        <v>717</v>
      </c>
      <c r="E287" s="6">
        <v>0</v>
      </c>
      <c r="F287" s="17"/>
    </row>
    <row r="288" spans="1:6">
      <c r="A288" s="6">
        <v>10065</v>
      </c>
      <c r="B288" s="6">
        <v>12287</v>
      </c>
      <c r="C288" s="29">
        <v>20001</v>
      </c>
      <c r="D288" s="6" t="s">
        <v>282</v>
      </c>
      <c r="E288" s="6">
        <v>12288</v>
      </c>
      <c r="F288" s="17"/>
    </row>
    <row r="289" spans="1:6">
      <c r="A289" s="6">
        <v>10065</v>
      </c>
      <c r="B289" s="6">
        <v>12288</v>
      </c>
      <c r="C289" s="29" t="s">
        <v>763</v>
      </c>
      <c r="D289" s="6" t="s">
        <v>283</v>
      </c>
      <c r="E289" s="6">
        <v>12289</v>
      </c>
      <c r="F289" s="17"/>
    </row>
    <row r="290" spans="1:6">
      <c r="A290" s="6">
        <v>10065</v>
      </c>
      <c r="B290" s="6">
        <v>12289</v>
      </c>
      <c r="C290" s="29">
        <v>20001</v>
      </c>
      <c r="D290" s="6" t="s">
        <v>284</v>
      </c>
      <c r="E290" s="6">
        <v>12290</v>
      </c>
      <c r="F290" s="17"/>
    </row>
    <row r="291" spans="1:6">
      <c r="A291" s="6">
        <v>10065</v>
      </c>
      <c r="B291" s="6">
        <v>12290</v>
      </c>
      <c r="C291" s="29" t="s">
        <v>763</v>
      </c>
      <c r="D291" s="6" t="s">
        <v>285</v>
      </c>
      <c r="E291" s="6">
        <v>12291</v>
      </c>
      <c r="F291" s="17"/>
    </row>
    <row r="292" spans="1:6">
      <c r="A292" s="6">
        <v>10065</v>
      </c>
      <c r="B292" s="6">
        <v>12291</v>
      </c>
      <c r="C292" s="29">
        <v>20001</v>
      </c>
      <c r="D292" s="6" t="s">
        <v>286</v>
      </c>
      <c r="E292" s="6">
        <v>12292</v>
      </c>
      <c r="F292" s="17"/>
    </row>
    <row r="293" spans="1:6">
      <c r="A293" s="6">
        <v>10065</v>
      </c>
      <c r="B293" s="6">
        <v>12292</v>
      </c>
      <c r="C293" s="29" t="s">
        <v>763</v>
      </c>
      <c r="D293" s="6" t="s">
        <v>287</v>
      </c>
      <c r="E293" s="6">
        <v>12293</v>
      </c>
      <c r="F293" s="17"/>
    </row>
    <row r="294" spans="1:6">
      <c r="A294" s="6">
        <v>10065</v>
      </c>
      <c r="B294" s="6">
        <v>12293</v>
      </c>
      <c r="C294" s="29">
        <v>20001</v>
      </c>
      <c r="D294" s="6" t="s">
        <v>288</v>
      </c>
      <c r="E294" s="6">
        <v>12294</v>
      </c>
      <c r="F294" s="17"/>
    </row>
    <row r="295" spans="1:6">
      <c r="A295" s="6">
        <v>10065</v>
      </c>
      <c r="B295" s="6">
        <v>12294</v>
      </c>
      <c r="C295" s="29" t="s">
        <v>763</v>
      </c>
      <c r="D295" s="6" t="s">
        <v>289</v>
      </c>
      <c r="E295" s="6">
        <v>0</v>
      </c>
      <c r="F295" s="17"/>
    </row>
    <row r="296" spans="1:6">
      <c r="A296" s="6">
        <v>10066</v>
      </c>
      <c r="B296" s="6">
        <v>12295</v>
      </c>
      <c r="C296" s="29" t="s">
        <v>763</v>
      </c>
      <c r="D296" s="6" t="s">
        <v>290</v>
      </c>
      <c r="E296" s="6">
        <v>12296</v>
      </c>
      <c r="F296" s="17"/>
    </row>
    <row r="297" spans="1:6">
      <c r="A297" s="6">
        <v>10066</v>
      </c>
      <c r="B297" s="6">
        <v>12296</v>
      </c>
      <c r="C297" s="29">
        <v>20001</v>
      </c>
      <c r="D297" s="6" t="s">
        <v>291</v>
      </c>
      <c r="E297" s="6">
        <v>12297</v>
      </c>
      <c r="F297" s="17"/>
    </row>
    <row r="298" spans="1:6">
      <c r="A298" s="6">
        <v>10066</v>
      </c>
      <c r="B298" s="6">
        <v>12297</v>
      </c>
      <c r="C298" s="29" t="s">
        <v>763</v>
      </c>
      <c r="D298" s="6" t="s">
        <v>292</v>
      </c>
      <c r="E298" s="6">
        <v>12298</v>
      </c>
      <c r="F298" s="17"/>
    </row>
    <row r="299" spans="1:6">
      <c r="A299" s="6">
        <v>10066</v>
      </c>
      <c r="B299" s="6">
        <v>12298</v>
      </c>
      <c r="C299" s="29">
        <v>20001</v>
      </c>
      <c r="D299" s="6" t="s">
        <v>293</v>
      </c>
      <c r="E299" s="6">
        <v>0</v>
      </c>
      <c r="F299" s="17"/>
    </row>
    <row r="300" spans="1:6">
      <c r="A300" s="6">
        <v>10067</v>
      </c>
      <c r="B300" s="6">
        <v>12299</v>
      </c>
      <c r="C300" s="29" t="s">
        <v>733</v>
      </c>
      <c r="D300" s="6" t="s">
        <v>718</v>
      </c>
      <c r="E300" s="6">
        <v>12300</v>
      </c>
      <c r="F300" s="17"/>
    </row>
    <row r="301" spans="1:6">
      <c r="A301" s="6">
        <v>10067</v>
      </c>
      <c r="B301" s="6">
        <v>12300</v>
      </c>
      <c r="C301" s="29">
        <v>20001</v>
      </c>
      <c r="D301" s="6" t="s">
        <v>294</v>
      </c>
      <c r="E301" s="6">
        <v>12301</v>
      </c>
      <c r="F301" s="17"/>
    </row>
    <row r="302" spans="1:6">
      <c r="A302" s="6">
        <v>10067</v>
      </c>
      <c r="B302" s="6">
        <v>12301</v>
      </c>
      <c r="C302" s="29" t="s">
        <v>733</v>
      </c>
      <c r="D302" s="6" t="s">
        <v>295</v>
      </c>
      <c r="E302" s="6">
        <v>12302</v>
      </c>
      <c r="F302" s="17"/>
    </row>
    <row r="303" spans="1:6">
      <c r="A303" s="6">
        <v>10067</v>
      </c>
      <c r="B303" s="6">
        <v>12302</v>
      </c>
      <c r="C303" s="29">
        <v>20001</v>
      </c>
      <c r="D303" s="6" t="s">
        <v>458</v>
      </c>
      <c r="E303" s="6">
        <v>12303</v>
      </c>
      <c r="F303" s="17"/>
    </row>
    <row r="304" spans="1:6">
      <c r="A304" s="6">
        <v>10067</v>
      </c>
      <c r="B304" s="6">
        <v>12303</v>
      </c>
      <c r="C304" s="29" t="s">
        <v>764</v>
      </c>
      <c r="D304" s="6" t="s">
        <v>296</v>
      </c>
      <c r="E304" s="6">
        <v>12304</v>
      </c>
      <c r="F304" s="17"/>
    </row>
    <row r="305" spans="1:6">
      <c r="A305" s="6">
        <v>10067</v>
      </c>
      <c r="B305" s="6">
        <v>12304</v>
      </c>
      <c r="C305" s="29">
        <v>20001</v>
      </c>
      <c r="D305" s="6" t="s">
        <v>297</v>
      </c>
      <c r="E305" s="6">
        <v>12305</v>
      </c>
      <c r="F305" s="17"/>
    </row>
    <row r="306" spans="1:6">
      <c r="A306" s="6">
        <v>10067</v>
      </c>
      <c r="B306" s="6">
        <v>12305</v>
      </c>
      <c r="C306" s="29" t="s">
        <v>764</v>
      </c>
      <c r="D306" s="6" t="s">
        <v>298</v>
      </c>
      <c r="E306" s="6">
        <v>0</v>
      </c>
      <c r="F306" s="17"/>
    </row>
    <row r="307" spans="1:6">
      <c r="A307" s="6">
        <v>10068</v>
      </c>
      <c r="B307" s="6">
        <v>12306</v>
      </c>
      <c r="C307" s="29" t="s">
        <v>764</v>
      </c>
      <c r="D307" s="6" t="s">
        <v>299</v>
      </c>
      <c r="E307" s="6">
        <v>12307</v>
      </c>
      <c r="F307" s="17"/>
    </row>
    <row r="308" spans="1:6">
      <c r="A308" s="6">
        <v>10068</v>
      </c>
      <c r="B308" s="6">
        <v>12307</v>
      </c>
      <c r="C308" s="29">
        <v>20001</v>
      </c>
      <c r="D308" s="6" t="s">
        <v>300</v>
      </c>
      <c r="E308" s="6">
        <v>12308</v>
      </c>
      <c r="F308" s="17"/>
    </row>
    <row r="309" spans="1:6">
      <c r="A309" s="6">
        <v>10068</v>
      </c>
      <c r="B309" s="6">
        <v>12308</v>
      </c>
      <c r="C309" s="29" t="s">
        <v>764</v>
      </c>
      <c r="D309" s="6" t="s">
        <v>301</v>
      </c>
      <c r="E309" s="6">
        <v>0</v>
      </c>
      <c r="F309" s="17"/>
    </row>
    <row r="310" spans="1:6">
      <c r="A310" s="6">
        <v>10069</v>
      </c>
      <c r="B310" s="6">
        <v>12309</v>
      </c>
      <c r="C310" s="29" t="s">
        <v>764</v>
      </c>
      <c r="D310" s="6" t="s">
        <v>302</v>
      </c>
      <c r="E310" s="6">
        <v>12310</v>
      </c>
      <c r="F310" s="17"/>
    </row>
    <row r="311" spans="1:6">
      <c r="A311" s="6">
        <v>10069</v>
      </c>
      <c r="B311" s="6">
        <v>12310</v>
      </c>
      <c r="C311" s="29">
        <v>20001</v>
      </c>
      <c r="D311" s="6" t="s">
        <v>303</v>
      </c>
      <c r="E311" s="6">
        <v>12311</v>
      </c>
      <c r="F311" s="17"/>
    </row>
    <row r="312" spans="1:6">
      <c r="A312" s="6">
        <v>10069</v>
      </c>
      <c r="B312" s="6">
        <v>12311</v>
      </c>
      <c r="C312" s="29" t="s">
        <v>764</v>
      </c>
      <c r="D312" s="6" t="s">
        <v>304</v>
      </c>
      <c r="E312" s="6">
        <v>12312</v>
      </c>
      <c r="F312" s="17"/>
    </row>
    <row r="313" spans="1:6">
      <c r="A313" s="6">
        <v>10069</v>
      </c>
      <c r="B313" s="6">
        <v>12312</v>
      </c>
      <c r="C313" s="29">
        <v>20001</v>
      </c>
      <c r="D313" s="6" t="s">
        <v>305</v>
      </c>
      <c r="E313" s="6">
        <v>12313</v>
      </c>
      <c r="F313" s="17"/>
    </row>
    <row r="314" spans="1:6">
      <c r="A314" s="6">
        <v>10069</v>
      </c>
      <c r="B314" s="6">
        <v>12313</v>
      </c>
      <c r="C314" s="29" t="s">
        <v>764</v>
      </c>
      <c r="D314" s="6" t="s">
        <v>306</v>
      </c>
      <c r="E314" s="6">
        <v>12314</v>
      </c>
      <c r="F314" s="17"/>
    </row>
    <row r="315" spans="1:6">
      <c r="A315" s="6">
        <v>10069</v>
      </c>
      <c r="B315" s="6">
        <v>12314</v>
      </c>
      <c r="C315" s="29">
        <v>20001</v>
      </c>
      <c r="D315" s="6" t="s">
        <v>307</v>
      </c>
      <c r="E315" s="6">
        <v>12315</v>
      </c>
      <c r="F315" s="17"/>
    </row>
    <row r="316" spans="1:6">
      <c r="A316" s="6">
        <v>10069</v>
      </c>
      <c r="B316" s="6">
        <v>12315</v>
      </c>
      <c r="C316" s="29" t="s">
        <v>764</v>
      </c>
      <c r="D316" s="6" t="s">
        <v>308</v>
      </c>
      <c r="E316" s="6">
        <v>12316</v>
      </c>
      <c r="F316" s="17"/>
    </row>
    <row r="317" spans="1:6">
      <c r="A317" s="6">
        <v>10069</v>
      </c>
      <c r="B317" s="6">
        <v>12316</v>
      </c>
      <c r="C317" s="29">
        <v>20001</v>
      </c>
      <c r="D317" s="6" t="s">
        <v>309</v>
      </c>
      <c r="E317" s="6">
        <v>12317</v>
      </c>
      <c r="F317" s="17"/>
    </row>
    <row r="318" spans="1:6">
      <c r="A318" s="6">
        <v>10069</v>
      </c>
      <c r="B318" s="6">
        <v>12317</v>
      </c>
      <c r="C318" s="29" t="s">
        <v>764</v>
      </c>
      <c r="D318" s="6" t="s">
        <v>310</v>
      </c>
      <c r="E318" s="6">
        <v>0</v>
      </c>
      <c r="F318" s="17"/>
    </row>
    <row r="319" spans="1:6">
      <c r="A319" s="6">
        <v>10070</v>
      </c>
      <c r="B319" s="6">
        <v>12318</v>
      </c>
      <c r="C319" s="29">
        <v>20001</v>
      </c>
      <c r="D319" s="6" t="s">
        <v>311</v>
      </c>
      <c r="E319" s="6">
        <v>12319</v>
      </c>
      <c r="F319" s="17"/>
    </row>
    <row r="320" spans="1:6">
      <c r="A320" s="6">
        <v>10070</v>
      </c>
      <c r="B320" s="6">
        <v>12319</v>
      </c>
      <c r="C320" s="29" t="s">
        <v>764</v>
      </c>
      <c r="D320" s="6" t="s">
        <v>312</v>
      </c>
      <c r="E320" s="6">
        <v>12320</v>
      </c>
      <c r="F320" s="17"/>
    </row>
    <row r="321" spans="1:6">
      <c r="A321" s="6">
        <v>10070</v>
      </c>
      <c r="B321" s="6">
        <v>12320</v>
      </c>
      <c r="C321" s="29" t="s">
        <v>732</v>
      </c>
      <c r="D321" s="6" t="s">
        <v>313</v>
      </c>
      <c r="E321" s="6">
        <v>12321</v>
      </c>
      <c r="F321" s="17"/>
    </row>
    <row r="322" spans="1:6">
      <c r="A322" s="6">
        <v>10070</v>
      </c>
      <c r="B322" s="6">
        <v>12321</v>
      </c>
      <c r="C322" s="29">
        <v>20001</v>
      </c>
      <c r="D322" s="6" t="s">
        <v>314</v>
      </c>
      <c r="E322" s="6">
        <v>12322</v>
      </c>
      <c r="F322" s="17"/>
    </row>
    <row r="323" spans="1:6">
      <c r="A323" s="6">
        <v>10070</v>
      </c>
      <c r="B323" s="6">
        <v>12322</v>
      </c>
      <c r="C323" s="29" t="s">
        <v>732</v>
      </c>
      <c r="D323" s="6" t="s">
        <v>315</v>
      </c>
      <c r="E323" s="6">
        <v>0</v>
      </c>
      <c r="F323" s="17"/>
    </row>
    <row r="324" spans="1:6">
      <c r="A324" s="6">
        <v>10071</v>
      </c>
      <c r="B324" s="6">
        <v>12323</v>
      </c>
      <c r="C324" s="29" t="s">
        <v>765</v>
      </c>
      <c r="D324" s="6" t="s">
        <v>316</v>
      </c>
      <c r="E324" s="6">
        <v>12324</v>
      </c>
      <c r="F324" s="17"/>
    </row>
    <row r="325" spans="1:6">
      <c r="A325" s="6">
        <v>10071</v>
      </c>
      <c r="B325" s="6">
        <v>12324</v>
      </c>
      <c r="C325" s="29">
        <v>20001</v>
      </c>
      <c r="D325" s="6" t="s">
        <v>317</v>
      </c>
      <c r="E325" s="6">
        <v>12325</v>
      </c>
      <c r="F325" s="17"/>
    </row>
    <row r="326" spans="1:6">
      <c r="A326" s="6">
        <v>10071</v>
      </c>
      <c r="B326" s="6">
        <v>12325</v>
      </c>
      <c r="C326" s="29" t="s">
        <v>765</v>
      </c>
      <c r="D326" s="6" t="s">
        <v>719</v>
      </c>
      <c r="E326" s="6">
        <v>12326</v>
      </c>
      <c r="F326" s="17"/>
    </row>
    <row r="327" spans="1:6">
      <c r="A327" s="6">
        <v>10071</v>
      </c>
      <c r="B327" s="6">
        <v>12326</v>
      </c>
      <c r="C327" s="29">
        <v>20001</v>
      </c>
      <c r="D327" s="6" t="s">
        <v>318</v>
      </c>
      <c r="E327" s="6">
        <v>12327</v>
      </c>
      <c r="F327" s="17"/>
    </row>
    <row r="328" spans="1:6">
      <c r="A328" s="6">
        <v>10071</v>
      </c>
      <c r="B328" s="6">
        <v>12327</v>
      </c>
      <c r="C328" s="29" t="s">
        <v>765</v>
      </c>
      <c r="D328" s="6" t="s">
        <v>720</v>
      </c>
      <c r="E328" s="6">
        <v>0</v>
      </c>
      <c r="F328" s="17"/>
    </row>
    <row r="329" spans="1:6">
      <c r="A329" s="6">
        <v>10072</v>
      </c>
      <c r="B329" s="6">
        <v>12328</v>
      </c>
      <c r="C329" s="29" t="s">
        <v>765</v>
      </c>
      <c r="D329" s="6" t="s">
        <v>319</v>
      </c>
      <c r="E329" s="6">
        <v>0</v>
      </c>
      <c r="F329" s="17"/>
    </row>
    <row r="330" spans="1:6">
      <c r="A330" s="6">
        <v>10073</v>
      </c>
      <c r="B330" s="6">
        <v>12329</v>
      </c>
      <c r="C330" s="29" t="s">
        <v>766</v>
      </c>
      <c r="D330" s="6" t="s">
        <v>320</v>
      </c>
      <c r="E330" s="6">
        <v>12330</v>
      </c>
      <c r="F330" s="17"/>
    </row>
    <row r="331" spans="1:6">
      <c r="A331" s="6">
        <v>10073</v>
      </c>
      <c r="B331" s="6">
        <v>12330</v>
      </c>
      <c r="C331" s="29" t="s">
        <v>767</v>
      </c>
      <c r="D331" s="6" t="s">
        <v>321</v>
      </c>
      <c r="E331" s="6">
        <v>12331</v>
      </c>
      <c r="F331" s="17"/>
    </row>
    <row r="332" spans="1:6">
      <c r="A332" s="6">
        <v>10073</v>
      </c>
      <c r="B332" s="6">
        <v>12331</v>
      </c>
      <c r="C332" s="29">
        <v>20001</v>
      </c>
      <c r="D332" s="6" t="s">
        <v>322</v>
      </c>
      <c r="E332" s="6">
        <v>12332</v>
      </c>
      <c r="F332" s="17"/>
    </row>
    <row r="333" spans="1:6">
      <c r="A333" s="6">
        <v>10073</v>
      </c>
      <c r="B333" s="6">
        <v>12332</v>
      </c>
      <c r="C333" s="29" t="s">
        <v>766</v>
      </c>
      <c r="D333" s="6" t="s">
        <v>323</v>
      </c>
      <c r="E333" s="6">
        <v>12333</v>
      </c>
      <c r="F333" s="17"/>
    </row>
    <row r="334" spans="1:6">
      <c r="A334" s="6">
        <v>10073</v>
      </c>
      <c r="B334" s="6">
        <v>12333</v>
      </c>
      <c r="C334" s="29">
        <v>20001</v>
      </c>
      <c r="D334" s="6" t="s">
        <v>324</v>
      </c>
      <c r="E334" s="6">
        <v>0</v>
      </c>
      <c r="F334" s="17"/>
    </row>
    <row r="335" spans="1:6">
      <c r="A335" s="6">
        <v>10074</v>
      </c>
      <c r="B335" s="6">
        <v>12334</v>
      </c>
      <c r="C335" s="29">
        <v>20001</v>
      </c>
      <c r="D335" s="6" t="s">
        <v>325</v>
      </c>
      <c r="E335" s="6">
        <v>12335</v>
      </c>
      <c r="F335" s="17"/>
    </row>
    <row r="336" spans="1:6">
      <c r="A336" s="6">
        <v>10074</v>
      </c>
      <c r="B336" s="6">
        <v>12335</v>
      </c>
      <c r="C336" s="29" t="s">
        <v>767</v>
      </c>
      <c r="D336" s="6" t="s">
        <v>326</v>
      </c>
      <c r="E336" s="6">
        <v>12336</v>
      </c>
      <c r="F336" s="17"/>
    </row>
    <row r="337" spans="1:6">
      <c r="A337" s="6">
        <v>10074</v>
      </c>
      <c r="B337" s="6">
        <v>12336</v>
      </c>
      <c r="C337" s="29" t="s">
        <v>766</v>
      </c>
      <c r="D337" s="6" t="s">
        <v>327</v>
      </c>
      <c r="E337" s="6">
        <v>0</v>
      </c>
      <c r="F337" s="17"/>
    </row>
    <row r="338" spans="1:6">
      <c r="A338" s="6">
        <v>10075</v>
      </c>
      <c r="B338" s="6">
        <v>12337</v>
      </c>
      <c r="C338" s="29" t="s">
        <v>732</v>
      </c>
      <c r="D338" s="6" t="s">
        <v>328</v>
      </c>
      <c r="E338" s="6">
        <v>12338</v>
      </c>
      <c r="F338" s="17"/>
    </row>
    <row r="339" spans="1:6">
      <c r="A339" s="6">
        <v>10075</v>
      </c>
      <c r="B339" s="6">
        <v>12338</v>
      </c>
      <c r="C339" s="29" t="s">
        <v>768</v>
      </c>
      <c r="D339" s="6" t="s">
        <v>329</v>
      </c>
      <c r="E339" s="6">
        <v>12339</v>
      </c>
      <c r="F339" s="17"/>
    </row>
    <row r="340" spans="1:6">
      <c r="A340" s="6">
        <v>10075</v>
      </c>
      <c r="B340" s="6">
        <v>12339</v>
      </c>
      <c r="C340" s="29" t="s">
        <v>732</v>
      </c>
      <c r="D340" s="6" t="s">
        <v>731</v>
      </c>
      <c r="E340" s="6">
        <v>12340</v>
      </c>
      <c r="F340" s="17"/>
    </row>
    <row r="341" spans="1:6">
      <c r="A341" s="6">
        <v>10075</v>
      </c>
      <c r="B341" s="6">
        <v>12340</v>
      </c>
      <c r="C341" s="29" t="s">
        <v>768</v>
      </c>
      <c r="D341" s="28" t="s">
        <v>730</v>
      </c>
      <c r="E341" s="6">
        <v>12341</v>
      </c>
      <c r="F341" s="17"/>
    </row>
    <row r="342" spans="1:6">
      <c r="A342" s="6">
        <v>10075</v>
      </c>
      <c r="B342" s="6">
        <v>12341</v>
      </c>
      <c r="C342" s="29" t="s">
        <v>732</v>
      </c>
      <c r="D342" s="6" t="s">
        <v>330</v>
      </c>
      <c r="E342" s="6">
        <v>12342</v>
      </c>
      <c r="F342" s="17"/>
    </row>
    <row r="343" spans="1:6">
      <c r="A343" s="6">
        <v>10075</v>
      </c>
      <c r="B343" s="6">
        <v>12342</v>
      </c>
      <c r="C343" s="29">
        <v>20001</v>
      </c>
      <c r="D343" s="6" t="s">
        <v>331</v>
      </c>
      <c r="E343" s="6">
        <v>0</v>
      </c>
      <c r="F343" s="17"/>
    </row>
    <row r="344" spans="1:6">
      <c r="A344" s="6">
        <v>10076</v>
      </c>
      <c r="B344" s="6">
        <v>12343</v>
      </c>
      <c r="C344" s="29">
        <v>20001</v>
      </c>
      <c r="D344" s="6" t="s">
        <v>332</v>
      </c>
      <c r="E344" s="6">
        <v>12344</v>
      </c>
      <c r="F344" s="17"/>
    </row>
    <row r="345" spans="1:6">
      <c r="A345" s="6">
        <v>10076</v>
      </c>
      <c r="B345" s="6">
        <v>12344</v>
      </c>
      <c r="C345" s="29" t="s">
        <v>733</v>
      </c>
      <c r="D345" s="6" t="s">
        <v>333</v>
      </c>
      <c r="E345" s="6">
        <v>12345</v>
      </c>
      <c r="F345" s="17"/>
    </row>
    <row r="346" spans="1:6" s="19" customFormat="1">
      <c r="A346" s="6">
        <v>10076</v>
      </c>
      <c r="B346" s="6">
        <v>12345</v>
      </c>
      <c r="C346" s="29" t="s">
        <v>769</v>
      </c>
      <c r="D346" s="6" t="s">
        <v>334</v>
      </c>
      <c r="E346" s="6">
        <v>12346</v>
      </c>
    </row>
    <row r="347" spans="1:6">
      <c r="A347" s="6">
        <v>10076</v>
      </c>
      <c r="B347" s="6">
        <v>12346</v>
      </c>
      <c r="C347" s="29">
        <v>20001</v>
      </c>
      <c r="D347" s="6" t="s">
        <v>335</v>
      </c>
      <c r="E347" s="6">
        <v>12347</v>
      </c>
      <c r="F347" s="17"/>
    </row>
    <row r="348" spans="1:6">
      <c r="A348" s="6">
        <v>10076</v>
      </c>
      <c r="B348" s="6">
        <v>12347</v>
      </c>
      <c r="C348" s="29" t="s">
        <v>769</v>
      </c>
      <c r="D348" s="6" t="s">
        <v>336</v>
      </c>
      <c r="E348" s="6">
        <v>0</v>
      </c>
      <c r="F348" s="17"/>
    </row>
    <row r="349" spans="1:6">
      <c r="A349" s="6">
        <v>10077</v>
      </c>
      <c r="B349" s="6">
        <v>12348</v>
      </c>
      <c r="C349" s="29">
        <v>20001</v>
      </c>
      <c r="D349" s="6" t="s">
        <v>337</v>
      </c>
      <c r="E349" s="6">
        <v>12349</v>
      </c>
      <c r="F349" s="17"/>
    </row>
    <row r="350" spans="1:6">
      <c r="A350" s="6">
        <v>10077</v>
      </c>
      <c r="B350" s="6">
        <v>12349</v>
      </c>
      <c r="C350" s="29" t="s">
        <v>764</v>
      </c>
      <c r="D350" s="6" t="s">
        <v>721</v>
      </c>
      <c r="E350" s="6">
        <v>12350</v>
      </c>
      <c r="F350" s="17"/>
    </row>
    <row r="351" spans="1:6">
      <c r="A351" s="6">
        <v>10077</v>
      </c>
      <c r="B351" s="6">
        <v>12350</v>
      </c>
      <c r="C351" s="29" t="s">
        <v>770</v>
      </c>
      <c r="D351" s="6" t="s">
        <v>338</v>
      </c>
      <c r="E351" s="6">
        <v>12351</v>
      </c>
      <c r="F351" s="17"/>
    </row>
    <row r="352" spans="1:6">
      <c r="A352" s="6">
        <v>10077</v>
      </c>
      <c r="B352" s="6">
        <v>12351</v>
      </c>
      <c r="C352" s="29">
        <v>20001</v>
      </c>
      <c r="D352" s="6" t="s">
        <v>339</v>
      </c>
      <c r="E352" s="6">
        <v>0</v>
      </c>
      <c r="F352" s="17"/>
    </row>
    <row r="353" spans="1:6">
      <c r="A353" s="6">
        <v>10078</v>
      </c>
      <c r="B353" s="6">
        <v>12352</v>
      </c>
      <c r="C353" s="29" t="s">
        <v>764</v>
      </c>
      <c r="D353" s="6" t="s">
        <v>340</v>
      </c>
      <c r="E353" s="6">
        <v>12353</v>
      </c>
      <c r="F353" s="17"/>
    </row>
    <row r="354" spans="1:6">
      <c r="A354" s="6">
        <v>10078</v>
      </c>
      <c r="B354" s="6">
        <v>12353</v>
      </c>
      <c r="C354" s="29">
        <v>20001</v>
      </c>
      <c r="D354" s="6" t="s">
        <v>341</v>
      </c>
      <c r="E354" s="6">
        <v>12354</v>
      </c>
      <c r="F354" s="17"/>
    </row>
    <row r="355" spans="1:6">
      <c r="A355" s="6">
        <v>10078</v>
      </c>
      <c r="B355" s="6">
        <v>12354</v>
      </c>
      <c r="C355" s="29" t="s">
        <v>764</v>
      </c>
      <c r="D355" s="6" t="s">
        <v>342</v>
      </c>
      <c r="E355" s="6">
        <v>12355</v>
      </c>
      <c r="F355" s="17"/>
    </row>
    <row r="356" spans="1:6">
      <c r="A356" s="6">
        <v>10078</v>
      </c>
      <c r="B356" s="6">
        <v>12355</v>
      </c>
      <c r="C356" s="29">
        <v>20001</v>
      </c>
      <c r="D356" s="6" t="s">
        <v>343</v>
      </c>
      <c r="E356" s="6">
        <v>12356</v>
      </c>
      <c r="F356" s="17"/>
    </row>
    <row r="357" spans="1:6">
      <c r="A357" s="6">
        <v>10078</v>
      </c>
      <c r="B357" s="6">
        <v>12356</v>
      </c>
      <c r="C357" s="29" t="s">
        <v>764</v>
      </c>
      <c r="D357" s="6" t="s">
        <v>344</v>
      </c>
      <c r="E357" s="6">
        <v>0</v>
      </c>
      <c r="F357" s="17"/>
    </row>
    <row r="358" spans="1:6">
      <c r="A358" s="6">
        <v>10079</v>
      </c>
      <c r="B358" s="6">
        <v>12357</v>
      </c>
      <c r="C358" s="29">
        <v>20001</v>
      </c>
      <c r="D358" s="6" t="s">
        <v>345</v>
      </c>
      <c r="E358" s="6">
        <v>12358</v>
      </c>
      <c r="F358" s="17"/>
    </row>
    <row r="359" spans="1:6">
      <c r="A359" s="6">
        <v>10079</v>
      </c>
      <c r="B359" s="6">
        <v>12358</v>
      </c>
      <c r="C359" s="29" t="s">
        <v>732</v>
      </c>
      <c r="D359" s="6" t="s">
        <v>346</v>
      </c>
      <c r="E359" s="6">
        <v>12359</v>
      </c>
      <c r="F359" s="17"/>
    </row>
    <row r="360" spans="1:6">
      <c r="A360" s="6">
        <v>10079</v>
      </c>
      <c r="B360" s="6">
        <v>12359</v>
      </c>
      <c r="C360" s="29">
        <v>20001</v>
      </c>
      <c r="D360" s="6" t="s">
        <v>347</v>
      </c>
      <c r="E360" s="6">
        <v>12360</v>
      </c>
      <c r="F360" s="17"/>
    </row>
    <row r="361" spans="1:6">
      <c r="A361" s="6">
        <v>10079</v>
      </c>
      <c r="B361" s="6">
        <v>12360</v>
      </c>
      <c r="C361" s="29" t="s">
        <v>732</v>
      </c>
      <c r="D361" s="6" t="s">
        <v>348</v>
      </c>
      <c r="E361" s="6">
        <v>12361</v>
      </c>
      <c r="F361" s="17"/>
    </row>
    <row r="362" spans="1:6">
      <c r="A362" s="6">
        <v>10079</v>
      </c>
      <c r="B362" s="6">
        <v>12361</v>
      </c>
      <c r="C362" s="29">
        <v>20001</v>
      </c>
      <c r="D362" s="6" t="s">
        <v>349</v>
      </c>
      <c r="E362" s="6">
        <v>12362</v>
      </c>
      <c r="F362" s="17"/>
    </row>
    <row r="363" spans="1:6">
      <c r="A363" s="6">
        <v>10079</v>
      </c>
      <c r="B363" s="6">
        <v>12362</v>
      </c>
      <c r="C363" s="29" t="s">
        <v>732</v>
      </c>
      <c r="D363" s="6" t="s">
        <v>350</v>
      </c>
      <c r="E363" s="6">
        <v>12363</v>
      </c>
      <c r="F363" s="17"/>
    </row>
    <row r="364" spans="1:6">
      <c r="A364" s="6">
        <v>10079</v>
      </c>
      <c r="B364" s="6">
        <v>12363</v>
      </c>
      <c r="C364" s="29">
        <v>20001</v>
      </c>
      <c r="D364" s="6" t="s">
        <v>351</v>
      </c>
      <c r="E364" s="6">
        <v>0</v>
      </c>
      <c r="F364" s="17"/>
    </row>
    <row r="365" spans="1:6">
      <c r="A365" s="6">
        <v>10080</v>
      </c>
      <c r="B365" s="6">
        <v>12364</v>
      </c>
      <c r="C365" s="29" t="s">
        <v>732</v>
      </c>
      <c r="D365" s="6" t="s">
        <v>352</v>
      </c>
      <c r="E365" s="6">
        <v>12365</v>
      </c>
      <c r="F365" s="17"/>
    </row>
    <row r="366" spans="1:6">
      <c r="A366" s="6">
        <v>10080</v>
      </c>
      <c r="B366" s="6">
        <v>12365</v>
      </c>
      <c r="C366" s="29">
        <v>20001</v>
      </c>
      <c r="D366" s="6" t="s">
        <v>353</v>
      </c>
      <c r="E366" s="6">
        <v>12366</v>
      </c>
      <c r="F366" s="17"/>
    </row>
    <row r="367" spans="1:6">
      <c r="A367" s="6">
        <v>10080</v>
      </c>
      <c r="B367" s="6">
        <v>12366</v>
      </c>
      <c r="C367" s="29" t="s">
        <v>733</v>
      </c>
      <c r="D367" s="6" t="s">
        <v>354</v>
      </c>
      <c r="E367" s="6">
        <v>12367</v>
      </c>
      <c r="F367" s="17"/>
    </row>
    <row r="368" spans="1:6">
      <c r="A368" s="6">
        <v>10080</v>
      </c>
      <c r="B368" s="6">
        <v>12367</v>
      </c>
      <c r="C368" s="29">
        <v>20001</v>
      </c>
      <c r="D368" s="6" t="s">
        <v>722</v>
      </c>
      <c r="E368" s="6">
        <v>12368</v>
      </c>
      <c r="F368" s="17"/>
    </row>
    <row r="369" spans="1:6">
      <c r="A369" s="6">
        <v>10080</v>
      </c>
      <c r="B369" s="6">
        <v>12368</v>
      </c>
      <c r="C369" s="29" t="s">
        <v>732</v>
      </c>
      <c r="D369" s="6" t="s">
        <v>355</v>
      </c>
      <c r="E369" s="6">
        <v>0</v>
      </c>
      <c r="F369" s="17"/>
    </row>
    <row r="370" spans="1:6">
      <c r="A370" s="6">
        <v>10081</v>
      </c>
      <c r="B370" s="6">
        <v>12369</v>
      </c>
      <c r="C370" s="29" t="s">
        <v>732</v>
      </c>
      <c r="D370" s="6" t="s">
        <v>723</v>
      </c>
      <c r="E370" s="6">
        <v>12370</v>
      </c>
      <c r="F370" s="17"/>
    </row>
    <row r="371" spans="1:6">
      <c r="A371" s="6">
        <v>10081</v>
      </c>
      <c r="B371" s="6">
        <v>12370</v>
      </c>
      <c r="C371" s="29">
        <v>20001</v>
      </c>
      <c r="D371" s="6" t="s">
        <v>356</v>
      </c>
      <c r="E371" s="6">
        <v>12371</v>
      </c>
      <c r="F371" s="17"/>
    </row>
    <row r="372" spans="1:6">
      <c r="A372" s="6">
        <v>10081</v>
      </c>
      <c r="B372" s="6">
        <v>12371</v>
      </c>
      <c r="C372" s="29" t="s">
        <v>771</v>
      </c>
      <c r="D372" s="6" t="s">
        <v>357</v>
      </c>
      <c r="E372" s="6">
        <v>12372</v>
      </c>
      <c r="F372" s="17"/>
    </row>
    <row r="373" spans="1:6">
      <c r="A373" s="6">
        <v>10081</v>
      </c>
      <c r="B373" s="6">
        <v>12372</v>
      </c>
      <c r="C373" s="29" t="s">
        <v>772</v>
      </c>
      <c r="D373" s="6" t="s">
        <v>358</v>
      </c>
      <c r="E373" s="6">
        <v>12373</v>
      </c>
      <c r="F373" s="17"/>
    </row>
    <row r="374" spans="1:6">
      <c r="A374" s="6">
        <v>10081</v>
      </c>
      <c r="B374" s="6">
        <v>12373</v>
      </c>
      <c r="C374" s="29" t="s">
        <v>771</v>
      </c>
      <c r="D374" s="6" t="s">
        <v>359</v>
      </c>
      <c r="E374" s="6">
        <v>0</v>
      </c>
      <c r="F374" s="17"/>
    </row>
    <row r="375" spans="1:6">
      <c r="A375" s="6">
        <v>10082</v>
      </c>
      <c r="B375" s="6">
        <v>12374</v>
      </c>
      <c r="C375" s="29">
        <v>20001</v>
      </c>
      <c r="D375" s="6" t="s">
        <v>360</v>
      </c>
      <c r="E375" s="6">
        <v>12375</v>
      </c>
      <c r="F375" s="17"/>
    </row>
    <row r="376" spans="1:6">
      <c r="A376" s="6">
        <v>10082</v>
      </c>
      <c r="B376" s="6">
        <v>12375</v>
      </c>
      <c r="C376" s="29" t="s">
        <v>771</v>
      </c>
      <c r="D376" s="6" t="s">
        <v>361</v>
      </c>
      <c r="E376" s="6">
        <v>12376</v>
      </c>
      <c r="F376" s="17"/>
    </row>
    <row r="377" spans="1:6">
      <c r="A377" s="6">
        <v>10082</v>
      </c>
      <c r="B377" s="6">
        <v>12376</v>
      </c>
      <c r="C377" s="29" t="s">
        <v>772</v>
      </c>
      <c r="D377" s="6" t="s">
        <v>362</v>
      </c>
      <c r="E377" s="6">
        <v>12377</v>
      </c>
      <c r="F377" s="17"/>
    </row>
    <row r="378" spans="1:6">
      <c r="A378" s="6">
        <v>10082</v>
      </c>
      <c r="B378" s="6">
        <v>12377</v>
      </c>
      <c r="C378" s="29" t="s">
        <v>771</v>
      </c>
      <c r="D378" s="6" t="s">
        <v>363</v>
      </c>
      <c r="E378" s="6">
        <v>0</v>
      </c>
      <c r="F378" s="17"/>
    </row>
    <row r="379" spans="1:6">
      <c r="A379" s="6">
        <v>10083</v>
      </c>
      <c r="B379" s="6">
        <v>12378</v>
      </c>
      <c r="C379" s="29" t="s">
        <v>773</v>
      </c>
      <c r="D379" s="6" t="s">
        <v>364</v>
      </c>
      <c r="E379" s="6">
        <v>12379</v>
      </c>
      <c r="F379" s="17"/>
    </row>
    <row r="380" spans="1:6">
      <c r="A380" s="6">
        <v>10083</v>
      </c>
      <c r="B380" s="6">
        <v>12379</v>
      </c>
      <c r="C380" s="29" t="s">
        <v>733</v>
      </c>
      <c r="D380" s="6" t="s">
        <v>365</v>
      </c>
      <c r="E380" s="6">
        <v>12380</v>
      </c>
      <c r="F380" s="17"/>
    </row>
    <row r="381" spans="1:6">
      <c r="A381" s="6">
        <v>10083</v>
      </c>
      <c r="B381" s="6">
        <v>12380</v>
      </c>
      <c r="C381" s="29">
        <v>20001</v>
      </c>
      <c r="D381" s="6" t="s">
        <v>459</v>
      </c>
      <c r="E381" s="6">
        <v>12381</v>
      </c>
      <c r="F381" s="17"/>
    </row>
    <row r="382" spans="1:6" s="17" customFormat="1">
      <c r="A382" s="6">
        <v>10083</v>
      </c>
      <c r="B382" s="6">
        <v>12381</v>
      </c>
      <c r="C382" s="29" t="s">
        <v>773</v>
      </c>
      <c r="D382" s="6" t="s">
        <v>366</v>
      </c>
      <c r="E382" s="6">
        <v>0</v>
      </c>
    </row>
    <row r="383" spans="1:6">
      <c r="A383" s="6">
        <v>10084</v>
      </c>
      <c r="B383" s="6">
        <v>12382</v>
      </c>
      <c r="C383" s="29" t="s">
        <v>771</v>
      </c>
      <c r="D383" s="6" t="s">
        <v>367</v>
      </c>
      <c r="E383" s="6">
        <v>12383</v>
      </c>
      <c r="F383" s="17"/>
    </row>
    <row r="384" spans="1:6">
      <c r="A384" s="6">
        <v>10084</v>
      </c>
      <c r="B384" s="6">
        <v>12383</v>
      </c>
      <c r="C384" s="29" t="s">
        <v>773</v>
      </c>
      <c r="D384" s="6" t="s">
        <v>368</v>
      </c>
      <c r="E384" s="6">
        <v>12384</v>
      </c>
      <c r="F384" s="17"/>
    </row>
    <row r="385" spans="1:6">
      <c r="A385" s="6">
        <v>10084</v>
      </c>
      <c r="B385" s="6">
        <v>12384</v>
      </c>
      <c r="C385" s="29" t="s">
        <v>771</v>
      </c>
      <c r="D385" s="6" t="s">
        <v>369</v>
      </c>
      <c r="E385" s="6">
        <v>12385</v>
      </c>
      <c r="F385" s="17"/>
    </row>
    <row r="386" spans="1:6">
      <c r="A386" s="6">
        <v>10084</v>
      </c>
      <c r="B386" s="6">
        <v>12385</v>
      </c>
      <c r="C386" s="29">
        <v>20001</v>
      </c>
      <c r="D386" s="6" t="s">
        <v>370</v>
      </c>
      <c r="E386" s="6">
        <v>12386</v>
      </c>
      <c r="F386" s="17"/>
    </row>
    <row r="387" spans="1:6">
      <c r="A387" s="6">
        <v>10084</v>
      </c>
      <c r="B387" s="6">
        <v>12386</v>
      </c>
      <c r="C387" s="29" t="s">
        <v>772</v>
      </c>
      <c r="D387" s="6" t="s">
        <v>371</v>
      </c>
      <c r="E387" s="6">
        <v>12387</v>
      </c>
      <c r="F387" s="17"/>
    </row>
    <row r="388" spans="1:6">
      <c r="A388" s="6">
        <v>10084</v>
      </c>
      <c r="B388" s="6">
        <v>12387</v>
      </c>
      <c r="C388" s="29" t="s">
        <v>772</v>
      </c>
      <c r="D388" s="6" t="s">
        <v>372</v>
      </c>
      <c r="E388" s="6">
        <v>0</v>
      </c>
      <c r="F388" s="17"/>
    </row>
    <row r="389" spans="1:6">
      <c r="A389" s="6">
        <v>10085</v>
      </c>
      <c r="B389" s="6">
        <v>12388</v>
      </c>
      <c r="C389" s="29">
        <v>20001</v>
      </c>
      <c r="D389" s="6" t="s">
        <v>373</v>
      </c>
      <c r="E389" s="6">
        <v>12389</v>
      </c>
      <c r="F389" s="17"/>
    </row>
    <row r="390" spans="1:6">
      <c r="A390" s="6">
        <v>10085</v>
      </c>
      <c r="B390" s="6">
        <v>12389</v>
      </c>
      <c r="C390" s="29" t="s">
        <v>733</v>
      </c>
      <c r="D390" s="6" t="s">
        <v>374</v>
      </c>
      <c r="E390" s="6">
        <v>12390</v>
      </c>
      <c r="F390" s="17"/>
    </row>
    <row r="391" spans="1:6">
      <c r="A391" s="6">
        <v>10085</v>
      </c>
      <c r="B391" s="6">
        <v>12390</v>
      </c>
      <c r="C391" s="29">
        <v>20001</v>
      </c>
      <c r="D391" s="6" t="s">
        <v>375</v>
      </c>
      <c r="E391" s="6">
        <v>12391</v>
      </c>
      <c r="F391" s="17"/>
    </row>
    <row r="392" spans="1:6">
      <c r="A392" s="6">
        <v>10085</v>
      </c>
      <c r="B392" s="6">
        <v>12391</v>
      </c>
      <c r="C392" s="29" t="s">
        <v>773</v>
      </c>
      <c r="D392" s="6" t="s">
        <v>376</v>
      </c>
      <c r="E392" s="6">
        <v>12392</v>
      </c>
      <c r="F392" s="17"/>
    </row>
    <row r="393" spans="1:6">
      <c r="A393" s="6">
        <v>10085</v>
      </c>
      <c r="B393" s="6">
        <v>12392</v>
      </c>
      <c r="C393" s="29" t="s">
        <v>772</v>
      </c>
      <c r="D393" s="6" t="s">
        <v>377</v>
      </c>
      <c r="E393" s="6">
        <v>12393</v>
      </c>
      <c r="F393" s="17"/>
    </row>
    <row r="394" spans="1:6">
      <c r="A394" s="6">
        <v>10085</v>
      </c>
      <c r="B394" s="6">
        <v>12393</v>
      </c>
      <c r="C394" s="29" t="s">
        <v>759</v>
      </c>
      <c r="D394" s="6" t="s">
        <v>378</v>
      </c>
      <c r="E394" s="6">
        <v>12394</v>
      </c>
      <c r="F394" s="17"/>
    </row>
    <row r="395" spans="1:6">
      <c r="A395" s="6">
        <v>10085</v>
      </c>
      <c r="B395" s="6">
        <v>12394</v>
      </c>
      <c r="C395" s="29">
        <v>20001</v>
      </c>
      <c r="D395" s="6" t="s">
        <v>379</v>
      </c>
      <c r="E395" s="6">
        <v>0</v>
      </c>
      <c r="F395" s="17"/>
    </row>
    <row r="396" spans="1:6">
      <c r="A396" s="6">
        <v>10086</v>
      </c>
      <c r="B396" s="6">
        <v>12395</v>
      </c>
      <c r="C396" s="29">
        <v>20001</v>
      </c>
      <c r="D396" s="6" t="s">
        <v>380</v>
      </c>
      <c r="E396" s="6">
        <v>12396</v>
      </c>
      <c r="F396" s="17"/>
    </row>
    <row r="397" spans="1:6">
      <c r="A397" s="6">
        <v>10086</v>
      </c>
      <c r="B397" s="6">
        <v>12396</v>
      </c>
      <c r="C397" s="29" t="s">
        <v>759</v>
      </c>
      <c r="D397" s="6" t="s">
        <v>381</v>
      </c>
      <c r="E397" s="6">
        <v>12397</v>
      </c>
      <c r="F397" s="17"/>
    </row>
    <row r="398" spans="1:6">
      <c r="A398" s="6">
        <v>10086</v>
      </c>
      <c r="B398" s="6">
        <v>12397</v>
      </c>
      <c r="C398" s="29">
        <v>20001</v>
      </c>
      <c r="D398" s="6" t="s">
        <v>382</v>
      </c>
      <c r="E398" s="6">
        <v>12398</v>
      </c>
      <c r="F398" s="17"/>
    </row>
    <row r="399" spans="1:6">
      <c r="A399" s="6">
        <v>10086</v>
      </c>
      <c r="B399" s="6">
        <v>12398</v>
      </c>
      <c r="C399" s="29" t="s">
        <v>759</v>
      </c>
      <c r="D399" s="6" t="s">
        <v>383</v>
      </c>
      <c r="E399" s="6">
        <v>12399</v>
      </c>
      <c r="F399" s="17"/>
    </row>
    <row r="400" spans="1:6" s="17" customFormat="1">
      <c r="A400" s="6">
        <v>10086</v>
      </c>
      <c r="B400" s="6">
        <v>12399</v>
      </c>
      <c r="C400" s="29">
        <v>20001</v>
      </c>
      <c r="D400" s="6" t="s">
        <v>384</v>
      </c>
      <c r="E400" s="6">
        <v>12400</v>
      </c>
    </row>
    <row r="401" spans="1:6">
      <c r="A401" s="6">
        <v>10086</v>
      </c>
      <c r="B401" s="6">
        <v>12400</v>
      </c>
      <c r="C401" s="29" t="s">
        <v>773</v>
      </c>
      <c r="D401" s="6" t="s">
        <v>385</v>
      </c>
      <c r="E401" s="6">
        <v>0</v>
      </c>
      <c r="F401" s="17"/>
    </row>
    <row r="402" spans="1:6">
      <c r="A402" s="6">
        <v>10087</v>
      </c>
      <c r="B402" s="6">
        <v>12401</v>
      </c>
      <c r="C402" s="29" t="s">
        <v>733</v>
      </c>
      <c r="D402" s="6" t="s">
        <v>386</v>
      </c>
      <c r="E402" s="6">
        <v>12402</v>
      </c>
      <c r="F402" s="17"/>
    </row>
    <row r="403" spans="1:6">
      <c r="A403" s="6">
        <v>10087</v>
      </c>
      <c r="B403" s="6">
        <v>12402</v>
      </c>
      <c r="C403" s="29">
        <v>20001</v>
      </c>
      <c r="D403" s="6" t="s">
        <v>387</v>
      </c>
      <c r="E403" s="6">
        <v>12403</v>
      </c>
      <c r="F403" s="17"/>
    </row>
    <row r="404" spans="1:6">
      <c r="A404" s="6">
        <v>10087</v>
      </c>
      <c r="B404" s="6">
        <v>12403</v>
      </c>
      <c r="C404" s="29" t="s">
        <v>733</v>
      </c>
      <c r="D404" s="6" t="s">
        <v>388</v>
      </c>
      <c r="E404" s="6">
        <v>12404</v>
      </c>
      <c r="F404" s="17"/>
    </row>
    <row r="405" spans="1:6">
      <c r="A405" s="6">
        <v>10087</v>
      </c>
      <c r="B405" s="6">
        <v>12404</v>
      </c>
      <c r="C405" s="29" t="s">
        <v>774</v>
      </c>
      <c r="D405" s="6" t="s">
        <v>389</v>
      </c>
      <c r="E405" s="6">
        <v>12405</v>
      </c>
      <c r="F405" s="17"/>
    </row>
    <row r="406" spans="1:6">
      <c r="A406" s="6">
        <v>10087</v>
      </c>
      <c r="B406" s="6">
        <v>12405</v>
      </c>
      <c r="C406" s="29">
        <v>20001</v>
      </c>
      <c r="D406" s="6" t="s">
        <v>390</v>
      </c>
      <c r="E406" s="6">
        <v>12406</v>
      </c>
      <c r="F406" s="17"/>
    </row>
    <row r="407" spans="1:6">
      <c r="A407" s="6">
        <v>10087</v>
      </c>
      <c r="B407" s="6">
        <v>12406</v>
      </c>
      <c r="C407" s="29" t="s">
        <v>774</v>
      </c>
      <c r="D407" s="6" t="s">
        <v>391</v>
      </c>
      <c r="E407" s="6">
        <v>0</v>
      </c>
      <c r="F407" s="17"/>
    </row>
    <row r="408" spans="1:6">
      <c r="A408" s="6">
        <v>10088</v>
      </c>
      <c r="B408" s="6">
        <v>12407</v>
      </c>
      <c r="C408" s="29" t="s">
        <v>774</v>
      </c>
      <c r="D408" s="6" t="s">
        <v>392</v>
      </c>
      <c r="E408" s="6">
        <v>12408</v>
      </c>
      <c r="F408" s="17"/>
    </row>
    <row r="409" spans="1:6">
      <c r="A409" s="6">
        <v>10088</v>
      </c>
      <c r="B409" s="6">
        <v>12408</v>
      </c>
      <c r="C409" s="29">
        <v>20001</v>
      </c>
      <c r="D409" s="6" t="s">
        <v>393</v>
      </c>
      <c r="E409" s="6">
        <v>0</v>
      </c>
      <c r="F409" s="17"/>
    </row>
    <row r="410" spans="1:6">
      <c r="A410" s="6">
        <v>10089</v>
      </c>
      <c r="B410" s="6">
        <v>12409</v>
      </c>
      <c r="C410" s="29" t="s">
        <v>775</v>
      </c>
      <c r="D410" s="6" t="s">
        <v>394</v>
      </c>
      <c r="E410" s="6">
        <v>12410</v>
      </c>
      <c r="F410" s="17"/>
    </row>
    <row r="411" spans="1:6">
      <c r="A411" s="6">
        <v>10089</v>
      </c>
      <c r="B411" s="6">
        <v>12410</v>
      </c>
      <c r="C411" s="29">
        <v>20001</v>
      </c>
      <c r="D411" s="6" t="s">
        <v>395</v>
      </c>
      <c r="E411" s="6">
        <v>12411</v>
      </c>
      <c r="F411" s="17"/>
    </row>
    <row r="412" spans="1:6">
      <c r="A412" s="6">
        <v>10089</v>
      </c>
      <c r="B412" s="6">
        <v>12411</v>
      </c>
      <c r="C412" s="29" t="s">
        <v>775</v>
      </c>
      <c r="D412" s="6" t="s">
        <v>396</v>
      </c>
      <c r="E412" s="6">
        <v>0</v>
      </c>
      <c r="F412" s="17"/>
    </row>
    <row r="413" spans="1:6">
      <c r="A413" s="6">
        <v>10090</v>
      </c>
      <c r="B413" s="6">
        <v>12412</v>
      </c>
      <c r="C413" s="29" t="s">
        <v>772</v>
      </c>
      <c r="D413" s="6" t="s">
        <v>724</v>
      </c>
      <c r="E413" s="6">
        <v>12413</v>
      </c>
      <c r="F413" s="17"/>
    </row>
    <row r="414" spans="1:6">
      <c r="A414" s="6">
        <v>10090</v>
      </c>
      <c r="B414" s="6">
        <v>12413</v>
      </c>
      <c r="C414" s="29">
        <v>20001</v>
      </c>
      <c r="D414" s="6" t="s">
        <v>397</v>
      </c>
      <c r="E414" s="6">
        <v>12414</v>
      </c>
      <c r="F414" s="17"/>
    </row>
    <row r="415" spans="1:6">
      <c r="A415" s="6">
        <v>10090</v>
      </c>
      <c r="B415" s="6">
        <v>12414</v>
      </c>
      <c r="C415" s="29" t="s">
        <v>772</v>
      </c>
      <c r="D415" s="6" t="s">
        <v>398</v>
      </c>
      <c r="E415" s="6">
        <v>0</v>
      </c>
      <c r="F415" s="17"/>
    </row>
    <row r="416" spans="1:6">
      <c r="A416" s="6">
        <v>10091</v>
      </c>
      <c r="B416" s="6">
        <v>12415</v>
      </c>
      <c r="C416" s="29">
        <v>20001</v>
      </c>
      <c r="D416" s="6" t="s">
        <v>399</v>
      </c>
      <c r="E416" s="6">
        <v>12416</v>
      </c>
      <c r="F416" s="17"/>
    </row>
    <row r="417" spans="1:6">
      <c r="A417" s="6">
        <v>10091</v>
      </c>
      <c r="B417" s="6">
        <v>12416</v>
      </c>
      <c r="C417" s="29" t="s">
        <v>772</v>
      </c>
      <c r="D417" s="6" t="s">
        <v>400</v>
      </c>
      <c r="E417" s="6">
        <v>12417</v>
      </c>
      <c r="F417" s="17"/>
    </row>
    <row r="418" spans="1:6">
      <c r="A418" s="6">
        <v>10091</v>
      </c>
      <c r="B418" s="6">
        <v>12417</v>
      </c>
      <c r="C418" s="29" t="s">
        <v>775</v>
      </c>
      <c r="D418" s="6" t="s">
        <v>401</v>
      </c>
      <c r="E418" s="6">
        <v>12418</v>
      </c>
      <c r="F418" s="17"/>
    </row>
    <row r="419" spans="1:6">
      <c r="A419" s="6">
        <v>10091</v>
      </c>
      <c r="B419" s="6">
        <v>12418</v>
      </c>
      <c r="C419" s="29" t="s">
        <v>776</v>
      </c>
      <c r="D419" s="6" t="s">
        <v>402</v>
      </c>
      <c r="E419" s="6">
        <v>0</v>
      </c>
      <c r="F419" s="17"/>
    </row>
    <row r="420" spans="1:6">
      <c r="A420" s="6">
        <v>10092</v>
      </c>
      <c r="B420" s="6">
        <v>12419</v>
      </c>
      <c r="C420" s="29" t="s">
        <v>776</v>
      </c>
      <c r="D420" s="6" t="s">
        <v>403</v>
      </c>
      <c r="E420" s="6">
        <v>12420</v>
      </c>
      <c r="F420" s="17"/>
    </row>
    <row r="421" spans="1:6">
      <c r="A421" s="6">
        <v>10092</v>
      </c>
      <c r="B421" s="6">
        <v>12420</v>
      </c>
      <c r="C421" s="29" t="s">
        <v>772</v>
      </c>
      <c r="D421" s="6" t="s">
        <v>404</v>
      </c>
      <c r="E421" s="6">
        <v>12421</v>
      </c>
      <c r="F421" s="17"/>
    </row>
    <row r="422" spans="1:6">
      <c r="A422" s="6">
        <v>10092</v>
      </c>
      <c r="B422" s="6">
        <v>12421</v>
      </c>
      <c r="C422" s="29">
        <v>20001</v>
      </c>
      <c r="D422" s="6" t="s">
        <v>405</v>
      </c>
      <c r="E422" s="6">
        <v>0</v>
      </c>
      <c r="F422" s="17"/>
    </row>
    <row r="423" spans="1:6">
      <c r="A423" s="6">
        <v>10093</v>
      </c>
      <c r="B423" s="6">
        <v>12422</v>
      </c>
      <c r="C423" s="29">
        <v>20001</v>
      </c>
      <c r="D423" s="6" t="s">
        <v>406</v>
      </c>
      <c r="E423" s="6">
        <v>12423</v>
      </c>
      <c r="F423" s="17"/>
    </row>
    <row r="424" spans="1:6">
      <c r="A424" s="6">
        <v>10093</v>
      </c>
      <c r="B424" s="6">
        <v>12423</v>
      </c>
      <c r="C424" s="29" t="s">
        <v>772</v>
      </c>
      <c r="D424" s="6" t="s">
        <v>407</v>
      </c>
      <c r="E424" s="6">
        <v>12424</v>
      </c>
      <c r="F424" s="17"/>
    </row>
    <row r="425" spans="1:6">
      <c r="A425" s="6">
        <v>10093</v>
      </c>
      <c r="B425" s="6">
        <v>12424</v>
      </c>
      <c r="C425" s="29">
        <v>20001</v>
      </c>
      <c r="D425" s="6" t="s">
        <v>408</v>
      </c>
      <c r="E425" s="6">
        <v>12425</v>
      </c>
      <c r="F425" s="17"/>
    </row>
    <row r="426" spans="1:6">
      <c r="A426" s="6">
        <v>10093</v>
      </c>
      <c r="B426" s="6">
        <v>12425</v>
      </c>
      <c r="C426" s="29" t="s">
        <v>772</v>
      </c>
      <c r="D426" s="6" t="s">
        <v>409</v>
      </c>
      <c r="E426" s="6">
        <v>12426</v>
      </c>
      <c r="F426" s="17"/>
    </row>
    <row r="427" spans="1:6">
      <c r="A427" s="6">
        <v>10093</v>
      </c>
      <c r="B427" s="6">
        <v>12426</v>
      </c>
      <c r="C427" s="29">
        <v>20001</v>
      </c>
      <c r="D427" s="6" t="s">
        <v>410</v>
      </c>
      <c r="E427" s="6">
        <v>0</v>
      </c>
      <c r="F427" s="17"/>
    </row>
    <row r="428" spans="1:6">
      <c r="A428" s="6">
        <v>10094</v>
      </c>
      <c r="B428" s="6">
        <v>12427</v>
      </c>
      <c r="C428" s="29">
        <v>20001</v>
      </c>
      <c r="D428" s="6" t="s">
        <v>411</v>
      </c>
      <c r="E428" s="6">
        <v>0</v>
      </c>
      <c r="F428" s="17"/>
    </row>
    <row r="429" spans="1:6">
      <c r="A429" s="6">
        <v>10095</v>
      </c>
      <c r="B429" s="6">
        <v>12428</v>
      </c>
      <c r="C429" s="29">
        <v>20001</v>
      </c>
      <c r="D429" s="6" t="s">
        <v>412</v>
      </c>
      <c r="E429" s="6">
        <v>12429</v>
      </c>
      <c r="F429" s="17"/>
    </row>
    <row r="430" spans="1:6">
      <c r="A430" s="6">
        <v>10095</v>
      </c>
      <c r="B430" s="6">
        <v>12429</v>
      </c>
      <c r="C430" s="29" t="s">
        <v>733</v>
      </c>
      <c r="D430" s="6" t="s">
        <v>413</v>
      </c>
      <c r="E430" s="6">
        <v>12430</v>
      </c>
      <c r="F430" s="17"/>
    </row>
    <row r="431" spans="1:6">
      <c r="A431" s="6">
        <v>10095</v>
      </c>
      <c r="B431" s="6">
        <v>12430</v>
      </c>
      <c r="C431" s="29">
        <v>20001</v>
      </c>
      <c r="D431" s="6" t="s">
        <v>414</v>
      </c>
      <c r="E431" s="6">
        <v>12431</v>
      </c>
      <c r="F431" s="17"/>
    </row>
    <row r="432" spans="1:6">
      <c r="A432" s="6">
        <v>10095</v>
      </c>
      <c r="B432" s="6">
        <v>12431</v>
      </c>
      <c r="C432" s="29" t="s">
        <v>733</v>
      </c>
      <c r="D432" s="6" t="s">
        <v>415</v>
      </c>
      <c r="E432" s="6">
        <v>12432</v>
      </c>
      <c r="F432" s="17"/>
    </row>
    <row r="433" spans="1:6">
      <c r="A433" s="6">
        <v>10095</v>
      </c>
      <c r="B433" s="6">
        <v>12432</v>
      </c>
      <c r="C433" s="29" t="s">
        <v>777</v>
      </c>
      <c r="D433" s="6" t="s">
        <v>416</v>
      </c>
      <c r="E433" s="6">
        <v>12433</v>
      </c>
      <c r="F433" s="17"/>
    </row>
    <row r="434" spans="1:6">
      <c r="A434" s="6">
        <v>10095</v>
      </c>
      <c r="B434" s="6">
        <v>12433</v>
      </c>
      <c r="C434" s="29">
        <v>20001</v>
      </c>
      <c r="D434" s="6" t="s">
        <v>417</v>
      </c>
      <c r="E434" s="6">
        <v>0</v>
      </c>
      <c r="F434" s="17"/>
    </row>
    <row r="435" spans="1:6">
      <c r="A435" s="6">
        <v>10096</v>
      </c>
      <c r="B435" s="6">
        <v>12434</v>
      </c>
      <c r="C435" s="29" t="s">
        <v>733</v>
      </c>
      <c r="D435" s="6" t="s">
        <v>418</v>
      </c>
      <c r="E435" s="6">
        <v>12435</v>
      </c>
      <c r="F435" s="17"/>
    </row>
    <row r="436" spans="1:6">
      <c r="A436" s="6">
        <v>10096</v>
      </c>
      <c r="B436" s="6">
        <v>12435</v>
      </c>
      <c r="C436" s="29">
        <v>20001</v>
      </c>
      <c r="D436" s="6" t="s">
        <v>419</v>
      </c>
      <c r="E436" s="6">
        <v>12436</v>
      </c>
      <c r="F436" s="17"/>
    </row>
    <row r="437" spans="1:6">
      <c r="A437" s="6">
        <v>10096</v>
      </c>
      <c r="B437" s="6">
        <v>12436</v>
      </c>
      <c r="C437" s="29" t="s">
        <v>777</v>
      </c>
      <c r="D437" s="6" t="s">
        <v>420</v>
      </c>
      <c r="E437" s="6">
        <v>12437</v>
      </c>
      <c r="F437" s="17"/>
    </row>
    <row r="438" spans="1:6">
      <c r="A438" s="6">
        <v>10096</v>
      </c>
      <c r="B438" s="6">
        <v>12437</v>
      </c>
      <c r="C438" s="29">
        <v>20001</v>
      </c>
      <c r="D438" s="6" t="s">
        <v>421</v>
      </c>
      <c r="E438" s="6">
        <v>12438</v>
      </c>
      <c r="F438" s="17"/>
    </row>
    <row r="439" spans="1:6">
      <c r="A439" s="6">
        <v>10096</v>
      </c>
      <c r="B439" s="6">
        <v>12438</v>
      </c>
      <c r="C439" s="29" t="s">
        <v>777</v>
      </c>
      <c r="D439" s="6" t="s">
        <v>422</v>
      </c>
      <c r="E439" s="6">
        <v>0</v>
      </c>
      <c r="F439" s="17"/>
    </row>
    <row r="440" spans="1:6">
      <c r="A440" s="6">
        <v>10097</v>
      </c>
      <c r="B440" s="6">
        <v>12439</v>
      </c>
      <c r="C440" s="29" t="s">
        <v>778</v>
      </c>
      <c r="D440" s="6" t="s">
        <v>423</v>
      </c>
      <c r="E440" s="6">
        <v>12440</v>
      </c>
      <c r="F440" s="17"/>
    </row>
    <row r="441" spans="1:6">
      <c r="A441" s="6">
        <v>10097</v>
      </c>
      <c r="B441" s="6">
        <v>12440</v>
      </c>
      <c r="C441" s="29">
        <v>20001</v>
      </c>
      <c r="D441" s="6" t="s">
        <v>424</v>
      </c>
      <c r="E441" s="6">
        <v>12441</v>
      </c>
      <c r="F441" s="17"/>
    </row>
    <row r="442" spans="1:6">
      <c r="A442" s="6">
        <v>10097</v>
      </c>
      <c r="B442" s="6">
        <v>12441</v>
      </c>
      <c r="C442" s="29" t="s">
        <v>778</v>
      </c>
      <c r="D442" s="6" t="s">
        <v>725</v>
      </c>
      <c r="E442" s="6">
        <v>12442</v>
      </c>
      <c r="F442" s="17"/>
    </row>
    <row r="443" spans="1:6">
      <c r="A443" s="6">
        <v>10097</v>
      </c>
      <c r="B443" s="6">
        <v>12442</v>
      </c>
      <c r="C443" s="29">
        <v>20001</v>
      </c>
      <c r="D443" s="6" t="s">
        <v>425</v>
      </c>
      <c r="E443" s="6">
        <v>12443</v>
      </c>
      <c r="F443" s="17"/>
    </row>
    <row r="444" spans="1:6">
      <c r="A444" s="6">
        <v>10097</v>
      </c>
      <c r="B444" s="6">
        <v>12443</v>
      </c>
      <c r="C444" s="29" t="s">
        <v>777</v>
      </c>
      <c r="D444" s="6" t="s">
        <v>426</v>
      </c>
      <c r="E444" s="6">
        <v>0</v>
      </c>
      <c r="F444" s="17"/>
    </row>
    <row r="445" spans="1:6">
      <c r="A445" s="6">
        <v>10098</v>
      </c>
      <c r="B445" s="6">
        <v>12444</v>
      </c>
      <c r="C445" s="29" t="s">
        <v>778</v>
      </c>
      <c r="D445" s="6" t="s">
        <v>427</v>
      </c>
      <c r="E445" s="6">
        <v>0</v>
      </c>
      <c r="F445" s="17"/>
    </row>
    <row r="446" spans="1:6">
      <c r="A446" s="6">
        <v>10099</v>
      </c>
      <c r="B446" s="6">
        <v>12445</v>
      </c>
      <c r="C446" s="29" t="s">
        <v>779</v>
      </c>
      <c r="D446" s="6" t="s">
        <v>428</v>
      </c>
      <c r="E446" s="6">
        <v>12446</v>
      </c>
      <c r="F446" s="17"/>
    </row>
    <row r="447" spans="1:6">
      <c r="A447" s="6">
        <v>10099</v>
      </c>
      <c r="B447" s="6">
        <v>12446</v>
      </c>
      <c r="C447" s="29" t="s">
        <v>778</v>
      </c>
      <c r="D447" s="6" t="s">
        <v>429</v>
      </c>
      <c r="E447" s="6">
        <v>12447</v>
      </c>
      <c r="F447" s="17"/>
    </row>
    <row r="448" spans="1:6">
      <c r="A448" s="6">
        <v>10099</v>
      </c>
      <c r="B448" s="6">
        <v>12447</v>
      </c>
      <c r="C448" s="29" t="s">
        <v>779</v>
      </c>
      <c r="D448" s="6" t="s">
        <v>941</v>
      </c>
      <c r="E448" s="6">
        <v>12448</v>
      </c>
      <c r="F448" s="17"/>
    </row>
    <row r="449" spans="1:6">
      <c r="A449" s="6">
        <v>10099</v>
      </c>
      <c r="B449" s="6">
        <v>12448</v>
      </c>
      <c r="C449" s="29">
        <v>20001</v>
      </c>
      <c r="D449" s="6" t="s">
        <v>430</v>
      </c>
      <c r="E449" s="6">
        <v>12449</v>
      </c>
      <c r="F449" s="17"/>
    </row>
    <row r="450" spans="1:6">
      <c r="A450" s="6">
        <v>10099</v>
      </c>
      <c r="B450" s="6">
        <v>12449</v>
      </c>
      <c r="C450" s="29" t="s">
        <v>778</v>
      </c>
      <c r="D450" s="6" t="s">
        <v>431</v>
      </c>
      <c r="E450" s="6">
        <v>0</v>
      </c>
      <c r="F450" s="17"/>
    </row>
    <row r="451" spans="1:6">
      <c r="A451" s="6">
        <v>10100</v>
      </c>
      <c r="B451" s="6">
        <v>12450</v>
      </c>
      <c r="C451" s="29" t="s">
        <v>778</v>
      </c>
      <c r="D451" s="6" t="s">
        <v>432</v>
      </c>
      <c r="E451" s="6">
        <v>12451</v>
      </c>
      <c r="F451" s="17"/>
    </row>
    <row r="452" spans="1:6">
      <c r="A452" s="6">
        <v>10100</v>
      </c>
      <c r="B452" s="6">
        <v>12451</v>
      </c>
      <c r="C452" s="29" t="s">
        <v>779</v>
      </c>
      <c r="D452" s="6" t="s">
        <v>433</v>
      </c>
      <c r="E452" s="6">
        <v>12452</v>
      </c>
      <c r="F452" s="17"/>
    </row>
    <row r="453" spans="1:6">
      <c r="A453" s="6">
        <v>10100</v>
      </c>
      <c r="B453" s="6">
        <v>12452</v>
      </c>
      <c r="C453" s="29" t="s">
        <v>777</v>
      </c>
      <c r="D453" s="6" t="s">
        <v>726</v>
      </c>
      <c r="E453" s="6">
        <v>0</v>
      </c>
      <c r="F453" s="17"/>
    </row>
    <row r="454" spans="1:6">
      <c r="A454" s="6">
        <v>10101</v>
      </c>
      <c r="B454" s="6">
        <v>12453</v>
      </c>
      <c r="C454" s="29" t="s">
        <v>779</v>
      </c>
      <c r="D454" s="6" t="s">
        <v>434</v>
      </c>
      <c r="E454" s="6">
        <v>12454</v>
      </c>
      <c r="F454" s="17"/>
    </row>
    <row r="455" spans="1:6">
      <c r="A455" s="6">
        <v>10101</v>
      </c>
      <c r="B455" s="6">
        <v>12454</v>
      </c>
      <c r="C455" s="29" t="s">
        <v>778</v>
      </c>
      <c r="D455" s="6" t="s">
        <v>435</v>
      </c>
      <c r="E455" s="6">
        <v>12455</v>
      </c>
      <c r="F455" s="17"/>
    </row>
    <row r="456" spans="1:6">
      <c r="A456" s="6">
        <v>10101</v>
      </c>
      <c r="B456" s="6">
        <v>12455</v>
      </c>
      <c r="C456" s="29" t="s">
        <v>779</v>
      </c>
      <c r="D456" s="6" t="s">
        <v>436</v>
      </c>
      <c r="E456" s="6">
        <v>12456</v>
      </c>
      <c r="F456" s="17"/>
    </row>
    <row r="457" spans="1:6">
      <c r="A457" s="6">
        <v>10101</v>
      </c>
      <c r="B457" s="6">
        <v>12456</v>
      </c>
      <c r="C457" s="29">
        <v>20001</v>
      </c>
      <c r="D457" s="6" t="s">
        <v>437</v>
      </c>
      <c r="E457" s="6">
        <v>0</v>
      </c>
    </row>
    <row r="458" spans="1:6">
      <c r="A458" s="6">
        <v>10102</v>
      </c>
      <c r="B458" s="6">
        <v>12457</v>
      </c>
      <c r="C458" s="29" t="s">
        <v>779</v>
      </c>
      <c r="D458" s="6" t="s">
        <v>438</v>
      </c>
      <c r="E458" s="6">
        <v>12458</v>
      </c>
    </row>
    <row r="459" spans="1:6">
      <c r="A459" s="6">
        <v>10102</v>
      </c>
      <c r="B459" s="6">
        <v>12458</v>
      </c>
      <c r="C459" s="29" t="s">
        <v>778</v>
      </c>
      <c r="D459" s="6" t="s">
        <v>439</v>
      </c>
      <c r="E459" s="6">
        <v>12459</v>
      </c>
    </row>
    <row r="460" spans="1:6">
      <c r="A460" s="6">
        <v>10102</v>
      </c>
      <c r="B460" s="6">
        <v>12459</v>
      </c>
      <c r="C460" s="29" t="s">
        <v>777</v>
      </c>
      <c r="D460" s="6" t="s">
        <v>727</v>
      </c>
      <c r="E460" s="6">
        <v>12460</v>
      </c>
    </row>
    <row r="461" spans="1:6">
      <c r="A461" s="6">
        <v>10102</v>
      </c>
      <c r="B461" s="6">
        <v>12460</v>
      </c>
      <c r="C461" s="29" t="s">
        <v>732</v>
      </c>
      <c r="D461" s="6" t="s">
        <v>728</v>
      </c>
      <c r="E461" s="6">
        <v>12461</v>
      </c>
    </row>
    <row r="462" spans="1:6">
      <c r="A462" s="6">
        <v>10102</v>
      </c>
      <c r="B462" s="6">
        <v>12461</v>
      </c>
      <c r="C462" s="29">
        <v>20001</v>
      </c>
      <c r="D462" s="6" t="s">
        <v>729</v>
      </c>
      <c r="E462" s="6">
        <v>0</v>
      </c>
    </row>
    <row r="463" spans="1:6">
      <c r="A463" s="6">
        <v>10103</v>
      </c>
      <c r="B463" s="6">
        <v>12462</v>
      </c>
      <c r="C463" s="29" t="s">
        <v>733</v>
      </c>
      <c r="D463" s="6" t="s">
        <v>789</v>
      </c>
      <c r="E463" s="6">
        <v>12463</v>
      </c>
    </row>
    <row r="464" spans="1:6">
      <c r="A464" s="6">
        <v>10103</v>
      </c>
      <c r="B464" s="6">
        <v>12463</v>
      </c>
      <c r="C464" s="29">
        <v>20001</v>
      </c>
      <c r="D464" s="6" t="s">
        <v>790</v>
      </c>
      <c r="E464" s="6">
        <v>12464</v>
      </c>
    </row>
    <row r="465" spans="1:5">
      <c r="A465" s="6">
        <v>10103</v>
      </c>
      <c r="B465" s="6">
        <v>12464</v>
      </c>
      <c r="C465" s="29">
        <v>20001</v>
      </c>
      <c r="D465" s="6" t="s">
        <v>791</v>
      </c>
      <c r="E465" s="6">
        <v>12465</v>
      </c>
    </row>
    <row r="466" spans="1:5">
      <c r="A466" s="6">
        <v>10103</v>
      </c>
      <c r="B466" s="6">
        <v>12465</v>
      </c>
      <c r="C466" s="29" t="s">
        <v>987</v>
      </c>
      <c r="D466" s="6" t="s">
        <v>792</v>
      </c>
      <c r="E466" s="6">
        <v>12466</v>
      </c>
    </row>
    <row r="467" spans="1:5">
      <c r="A467" s="6">
        <v>10103</v>
      </c>
      <c r="B467" s="6">
        <v>12466</v>
      </c>
      <c r="C467" s="29">
        <v>20001</v>
      </c>
      <c r="D467" s="6" t="s">
        <v>793</v>
      </c>
      <c r="E467" s="6">
        <v>12467</v>
      </c>
    </row>
    <row r="468" spans="1:5">
      <c r="A468" s="6">
        <v>10103</v>
      </c>
      <c r="B468" s="6">
        <v>12467</v>
      </c>
      <c r="C468" s="29" t="s">
        <v>987</v>
      </c>
      <c r="D468" s="6" t="s">
        <v>794</v>
      </c>
      <c r="E468" s="6">
        <v>0</v>
      </c>
    </row>
    <row r="469" spans="1:5">
      <c r="A469" s="6">
        <v>10104</v>
      </c>
      <c r="B469" s="6">
        <v>12468</v>
      </c>
      <c r="C469" s="29">
        <v>20001</v>
      </c>
      <c r="D469" s="6" t="s">
        <v>795</v>
      </c>
      <c r="E469" s="6">
        <v>12469</v>
      </c>
    </row>
    <row r="470" spans="1:5">
      <c r="A470" s="6">
        <v>10104</v>
      </c>
      <c r="B470" s="6">
        <v>12469</v>
      </c>
      <c r="C470" s="29" t="s">
        <v>987</v>
      </c>
      <c r="D470" s="6" t="s">
        <v>796</v>
      </c>
      <c r="E470" s="6">
        <v>12470</v>
      </c>
    </row>
    <row r="471" spans="1:5">
      <c r="A471" s="6">
        <v>10104</v>
      </c>
      <c r="B471" s="6">
        <v>12470</v>
      </c>
      <c r="C471" s="29" t="s">
        <v>987</v>
      </c>
      <c r="D471" s="6" t="s">
        <v>797</v>
      </c>
      <c r="E471" s="6">
        <v>0</v>
      </c>
    </row>
    <row r="472" spans="1:5">
      <c r="A472" s="6">
        <v>10105</v>
      </c>
      <c r="B472" s="6">
        <v>12471</v>
      </c>
      <c r="C472" s="29" t="s">
        <v>733</v>
      </c>
      <c r="D472" s="6" t="s">
        <v>798</v>
      </c>
      <c r="E472" s="6">
        <v>12472</v>
      </c>
    </row>
    <row r="473" spans="1:5">
      <c r="A473" s="6">
        <v>10105</v>
      </c>
      <c r="B473" s="6">
        <v>12472</v>
      </c>
      <c r="C473" s="29">
        <v>20001</v>
      </c>
      <c r="D473" s="6" t="s">
        <v>799</v>
      </c>
      <c r="E473" s="6">
        <v>12473</v>
      </c>
    </row>
    <row r="474" spans="1:5">
      <c r="A474" s="6">
        <v>10105</v>
      </c>
      <c r="B474" s="6">
        <v>12473</v>
      </c>
      <c r="C474" s="29" t="s">
        <v>733</v>
      </c>
      <c r="D474" s="6" t="s">
        <v>800</v>
      </c>
      <c r="E474" s="6">
        <v>12474</v>
      </c>
    </row>
    <row r="475" spans="1:5">
      <c r="A475" s="6">
        <v>10105</v>
      </c>
      <c r="B475" s="6">
        <v>12474</v>
      </c>
      <c r="C475" s="29">
        <v>20001</v>
      </c>
      <c r="D475" s="6" t="s">
        <v>801</v>
      </c>
      <c r="E475" s="6">
        <v>0</v>
      </c>
    </row>
    <row r="476" spans="1:5">
      <c r="A476" s="6">
        <v>10106</v>
      </c>
      <c r="B476" s="6">
        <v>12475</v>
      </c>
      <c r="C476" s="29" t="s">
        <v>733</v>
      </c>
      <c r="D476" s="6" t="s">
        <v>802</v>
      </c>
      <c r="E476" s="6">
        <v>12476</v>
      </c>
    </row>
    <row r="477" spans="1:5">
      <c r="A477" s="6">
        <v>10106</v>
      </c>
      <c r="B477" s="6">
        <v>12476</v>
      </c>
      <c r="C477" s="29">
        <v>20001</v>
      </c>
      <c r="D477" s="6" t="s">
        <v>803</v>
      </c>
      <c r="E477" s="6">
        <v>0</v>
      </c>
    </row>
    <row r="478" spans="1:5">
      <c r="A478" s="6">
        <v>10107</v>
      </c>
      <c r="B478" s="6">
        <v>12477</v>
      </c>
      <c r="C478" s="29">
        <v>20001</v>
      </c>
      <c r="D478" s="6" t="s">
        <v>804</v>
      </c>
      <c r="E478" s="6">
        <v>12478</v>
      </c>
    </row>
    <row r="479" spans="1:5">
      <c r="A479" s="6">
        <v>10107</v>
      </c>
      <c r="B479" s="6">
        <v>12478</v>
      </c>
      <c r="C479" s="29" t="s">
        <v>733</v>
      </c>
      <c r="D479" s="6" t="s">
        <v>805</v>
      </c>
      <c r="E479" s="6">
        <v>12479</v>
      </c>
    </row>
    <row r="480" spans="1:5">
      <c r="A480" s="6">
        <v>10107</v>
      </c>
      <c r="B480" s="6">
        <v>12479</v>
      </c>
      <c r="C480" s="29">
        <v>20001</v>
      </c>
      <c r="D480" s="6" t="s">
        <v>806</v>
      </c>
      <c r="E480" s="6">
        <v>12480</v>
      </c>
    </row>
    <row r="481" spans="1:5">
      <c r="A481" s="6">
        <v>10107</v>
      </c>
      <c r="B481" s="6">
        <v>12480</v>
      </c>
      <c r="C481" s="29" t="s">
        <v>733</v>
      </c>
      <c r="D481" s="6" t="s">
        <v>807</v>
      </c>
      <c r="E481" s="6">
        <v>12481</v>
      </c>
    </row>
    <row r="482" spans="1:5">
      <c r="A482" s="6">
        <v>10107</v>
      </c>
      <c r="B482" s="6">
        <v>12481</v>
      </c>
      <c r="C482" s="29">
        <v>20001</v>
      </c>
      <c r="D482" s="6" t="s">
        <v>808</v>
      </c>
      <c r="E482" s="6">
        <v>0</v>
      </c>
    </row>
    <row r="483" spans="1:5">
      <c r="A483" s="6">
        <v>10108</v>
      </c>
      <c r="B483" s="6">
        <v>12482</v>
      </c>
      <c r="C483" s="29">
        <v>20001</v>
      </c>
      <c r="D483" s="6" t="s">
        <v>809</v>
      </c>
      <c r="E483" s="6">
        <v>12483</v>
      </c>
    </row>
    <row r="484" spans="1:5">
      <c r="A484" s="6">
        <v>10108</v>
      </c>
      <c r="B484" s="6">
        <v>12483</v>
      </c>
      <c r="C484" s="29" t="s">
        <v>988</v>
      </c>
      <c r="D484" s="6" t="s">
        <v>810</v>
      </c>
      <c r="E484" s="6">
        <v>0</v>
      </c>
    </row>
    <row r="485" spans="1:5">
      <c r="A485" s="6">
        <v>10109</v>
      </c>
      <c r="B485" s="6">
        <v>12484</v>
      </c>
      <c r="C485" s="29" t="s">
        <v>732</v>
      </c>
      <c r="D485" s="6" t="s">
        <v>811</v>
      </c>
      <c r="E485" s="6">
        <v>12485</v>
      </c>
    </row>
    <row r="486" spans="1:5">
      <c r="A486" s="6">
        <v>10109</v>
      </c>
      <c r="B486" s="6">
        <v>12485</v>
      </c>
      <c r="C486" s="29">
        <v>20001</v>
      </c>
      <c r="D486" s="6" t="s">
        <v>812</v>
      </c>
      <c r="E486" s="6">
        <v>12486</v>
      </c>
    </row>
    <row r="487" spans="1:5">
      <c r="A487" s="6">
        <v>10109</v>
      </c>
      <c r="B487" s="6">
        <v>12486</v>
      </c>
      <c r="C487" s="29" t="s">
        <v>989</v>
      </c>
      <c r="D487" s="6" t="s">
        <v>813</v>
      </c>
      <c r="E487" s="6">
        <v>12487</v>
      </c>
    </row>
    <row r="488" spans="1:5">
      <c r="A488" s="6">
        <v>10109</v>
      </c>
      <c r="B488" s="6">
        <v>12487</v>
      </c>
      <c r="C488" s="29">
        <v>20001</v>
      </c>
      <c r="D488" s="6" t="s">
        <v>814</v>
      </c>
      <c r="E488" s="6">
        <v>12488</v>
      </c>
    </row>
    <row r="489" spans="1:5">
      <c r="A489" s="6">
        <v>10109</v>
      </c>
      <c r="B489" s="6">
        <v>12488</v>
      </c>
      <c r="C489" s="29" t="s">
        <v>989</v>
      </c>
      <c r="D489" s="6" t="s">
        <v>815</v>
      </c>
      <c r="E489" s="6">
        <v>0</v>
      </c>
    </row>
    <row r="490" spans="1:5">
      <c r="A490" s="6">
        <v>10110</v>
      </c>
      <c r="B490" s="6">
        <v>12489</v>
      </c>
      <c r="C490" s="29" t="s">
        <v>989</v>
      </c>
      <c r="D490" s="6" t="s">
        <v>816</v>
      </c>
      <c r="E490" s="6">
        <v>12490</v>
      </c>
    </row>
    <row r="491" spans="1:5">
      <c r="A491" s="6">
        <v>10110</v>
      </c>
      <c r="B491" s="6">
        <v>12490</v>
      </c>
      <c r="C491" s="29">
        <v>20001</v>
      </c>
      <c r="D491" s="6" t="s">
        <v>817</v>
      </c>
      <c r="E491" s="6">
        <v>12491</v>
      </c>
    </row>
    <row r="492" spans="1:5">
      <c r="A492" s="6">
        <v>10110</v>
      </c>
      <c r="B492" s="6">
        <v>12491</v>
      </c>
      <c r="C492" s="29" t="s">
        <v>989</v>
      </c>
      <c r="D492" s="6" t="s">
        <v>818</v>
      </c>
      <c r="E492" s="6">
        <v>12492</v>
      </c>
    </row>
    <row r="493" spans="1:5">
      <c r="A493" s="6">
        <v>10110</v>
      </c>
      <c r="B493" s="6">
        <v>12492</v>
      </c>
      <c r="C493" s="29">
        <v>20001</v>
      </c>
      <c r="D493" s="6" t="s">
        <v>819</v>
      </c>
      <c r="E493" s="6">
        <v>0</v>
      </c>
    </row>
    <row r="494" spans="1:5">
      <c r="A494" s="6">
        <v>10111</v>
      </c>
      <c r="B494" s="6">
        <v>12493</v>
      </c>
      <c r="C494" s="29" t="s">
        <v>989</v>
      </c>
      <c r="D494" s="6" t="s">
        <v>820</v>
      </c>
      <c r="E494" s="6">
        <v>12494</v>
      </c>
    </row>
    <row r="495" spans="1:5">
      <c r="A495" s="6">
        <v>10111</v>
      </c>
      <c r="B495" s="6">
        <v>12494</v>
      </c>
      <c r="C495" s="29">
        <v>20001</v>
      </c>
      <c r="D495" s="6" t="s">
        <v>821</v>
      </c>
      <c r="E495" s="6">
        <v>12495</v>
      </c>
    </row>
    <row r="496" spans="1:5">
      <c r="A496" s="6">
        <v>10111</v>
      </c>
      <c r="B496" s="6">
        <v>12495</v>
      </c>
      <c r="C496" s="29">
        <v>20001</v>
      </c>
      <c r="D496" s="6" t="s">
        <v>822</v>
      </c>
      <c r="E496" s="6">
        <v>12496</v>
      </c>
    </row>
    <row r="497" spans="1:5">
      <c r="A497" s="6">
        <v>10111</v>
      </c>
      <c r="B497" s="6">
        <v>12496</v>
      </c>
      <c r="C497" s="29" t="s">
        <v>989</v>
      </c>
      <c r="D497" s="6" t="s">
        <v>823</v>
      </c>
      <c r="E497" s="6">
        <v>0</v>
      </c>
    </row>
    <row r="498" spans="1:5">
      <c r="A498" s="6">
        <v>10112</v>
      </c>
      <c r="B498" s="6">
        <v>12497</v>
      </c>
      <c r="C498" s="29" t="s">
        <v>989</v>
      </c>
      <c r="D498" s="6" t="s">
        <v>824</v>
      </c>
      <c r="E498" s="6">
        <v>12498</v>
      </c>
    </row>
    <row r="499" spans="1:5">
      <c r="A499" s="6">
        <v>10112</v>
      </c>
      <c r="B499" s="6">
        <v>12498</v>
      </c>
      <c r="C499" s="29">
        <v>20001</v>
      </c>
      <c r="D499" s="6" t="s">
        <v>940</v>
      </c>
      <c r="E499" s="6">
        <v>12499</v>
      </c>
    </row>
    <row r="500" spans="1:5">
      <c r="A500" s="6">
        <v>10112</v>
      </c>
      <c r="B500" s="6">
        <v>12499</v>
      </c>
      <c r="C500" s="29" t="s">
        <v>989</v>
      </c>
      <c r="D500" s="6" t="s">
        <v>825</v>
      </c>
      <c r="E500" s="6">
        <v>0</v>
      </c>
    </row>
    <row r="501" spans="1:5">
      <c r="A501" s="11">
        <v>10113</v>
      </c>
      <c r="B501" s="6">
        <v>12500</v>
      </c>
      <c r="C501" s="29" t="s">
        <v>989</v>
      </c>
      <c r="D501" s="6" t="s">
        <v>826</v>
      </c>
      <c r="E501" s="6">
        <v>12501</v>
      </c>
    </row>
    <row r="502" spans="1:5">
      <c r="A502" s="11">
        <v>10113</v>
      </c>
      <c r="B502" s="6">
        <v>12501</v>
      </c>
      <c r="C502" s="29">
        <v>20001</v>
      </c>
      <c r="D502" s="6" t="s">
        <v>827</v>
      </c>
      <c r="E502" s="6">
        <v>12502</v>
      </c>
    </row>
    <row r="503" spans="1:5">
      <c r="A503" s="11">
        <v>10113</v>
      </c>
      <c r="B503" s="6">
        <v>12502</v>
      </c>
      <c r="C503" s="29" t="s">
        <v>990</v>
      </c>
      <c r="D503" s="6" t="s">
        <v>828</v>
      </c>
      <c r="E503" s="6">
        <v>12503</v>
      </c>
    </row>
    <row r="504" spans="1:5">
      <c r="A504" s="11">
        <v>10113</v>
      </c>
      <c r="B504" s="6">
        <v>12503</v>
      </c>
      <c r="C504" s="29">
        <v>20001</v>
      </c>
      <c r="D504" s="6" t="s">
        <v>829</v>
      </c>
      <c r="E504" s="6">
        <v>0</v>
      </c>
    </row>
    <row r="505" spans="1:5">
      <c r="A505" s="11">
        <v>10114</v>
      </c>
      <c r="B505" s="6">
        <v>12504</v>
      </c>
      <c r="C505" s="29" t="s">
        <v>990</v>
      </c>
      <c r="D505" s="6" t="s">
        <v>830</v>
      </c>
      <c r="E505" s="6">
        <v>12505</v>
      </c>
    </row>
    <row r="506" spans="1:5">
      <c r="A506" s="11">
        <v>10114</v>
      </c>
      <c r="B506" s="6">
        <v>12505</v>
      </c>
      <c r="C506" s="29">
        <v>20001</v>
      </c>
      <c r="D506" s="6" t="s">
        <v>831</v>
      </c>
      <c r="E506" s="6">
        <v>0</v>
      </c>
    </row>
    <row r="507" spans="1:5">
      <c r="A507" s="11">
        <v>10115</v>
      </c>
      <c r="B507" s="6">
        <v>12506</v>
      </c>
      <c r="C507" s="29" t="s">
        <v>989</v>
      </c>
      <c r="D507" s="6" t="s">
        <v>832</v>
      </c>
      <c r="E507" s="6">
        <v>12507</v>
      </c>
    </row>
    <row r="508" spans="1:5">
      <c r="A508" s="11">
        <v>10115</v>
      </c>
      <c r="B508" s="6">
        <v>12507</v>
      </c>
      <c r="C508" s="29" t="s">
        <v>991</v>
      </c>
      <c r="D508" s="6" t="s">
        <v>833</v>
      </c>
      <c r="E508" s="6">
        <v>12508</v>
      </c>
    </row>
    <row r="509" spans="1:5">
      <c r="A509" s="11">
        <v>10115</v>
      </c>
      <c r="B509" s="6">
        <v>12508</v>
      </c>
      <c r="C509" s="29" t="s">
        <v>989</v>
      </c>
      <c r="D509" s="6" t="s">
        <v>834</v>
      </c>
      <c r="E509" s="6">
        <v>12509</v>
      </c>
    </row>
    <row r="510" spans="1:5">
      <c r="A510" s="11">
        <v>10115</v>
      </c>
      <c r="B510" s="6">
        <v>12509</v>
      </c>
      <c r="C510" s="29" t="s">
        <v>991</v>
      </c>
      <c r="D510" s="6" t="s">
        <v>835</v>
      </c>
      <c r="E510" s="6">
        <v>12510</v>
      </c>
    </row>
    <row r="511" spans="1:5">
      <c r="A511" s="11">
        <v>10115</v>
      </c>
      <c r="B511" s="6">
        <v>12510</v>
      </c>
      <c r="C511" s="29">
        <v>20001</v>
      </c>
      <c r="D511" s="6" t="s">
        <v>836</v>
      </c>
      <c r="E511" s="6">
        <v>0</v>
      </c>
    </row>
    <row r="512" spans="1:5">
      <c r="A512" s="11">
        <v>10116</v>
      </c>
      <c r="B512" s="6">
        <v>12511</v>
      </c>
      <c r="C512" s="29" t="s">
        <v>991</v>
      </c>
      <c r="D512" s="6" t="s">
        <v>837</v>
      </c>
      <c r="E512" s="6">
        <v>12512</v>
      </c>
    </row>
    <row r="513" spans="1:5">
      <c r="A513" s="11">
        <v>10116</v>
      </c>
      <c r="B513" s="6">
        <v>12512</v>
      </c>
      <c r="C513" s="29" t="s">
        <v>989</v>
      </c>
      <c r="D513" s="6" t="s">
        <v>838</v>
      </c>
      <c r="E513" s="6">
        <v>0</v>
      </c>
    </row>
    <row r="514" spans="1:5">
      <c r="A514" s="11">
        <v>10117</v>
      </c>
      <c r="B514" s="6">
        <v>12513</v>
      </c>
      <c r="C514" s="29" t="s">
        <v>992</v>
      </c>
      <c r="D514" s="6" t="s">
        <v>839</v>
      </c>
      <c r="E514" s="6">
        <v>12514</v>
      </c>
    </row>
    <row r="515" spans="1:5">
      <c r="A515" s="11">
        <v>10117</v>
      </c>
      <c r="B515" s="6">
        <v>12514</v>
      </c>
      <c r="C515" s="29" t="s">
        <v>991</v>
      </c>
      <c r="D515" s="6" t="s">
        <v>840</v>
      </c>
      <c r="E515" s="6">
        <v>12515</v>
      </c>
    </row>
    <row r="516" spans="1:5">
      <c r="A516" s="11">
        <v>10117</v>
      </c>
      <c r="B516" s="6">
        <v>12515</v>
      </c>
      <c r="C516" s="29" t="s">
        <v>992</v>
      </c>
      <c r="D516" s="6" t="s">
        <v>841</v>
      </c>
      <c r="E516" s="6">
        <v>12516</v>
      </c>
    </row>
    <row r="517" spans="1:5">
      <c r="A517" s="11">
        <v>10117</v>
      </c>
      <c r="B517" s="6">
        <v>12516</v>
      </c>
      <c r="C517" s="29" t="s">
        <v>992</v>
      </c>
      <c r="D517" s="6" t="s">
        <v>842</v>
      </c>
      <c r="E517" s="6">
        <v>12517</v>
      </c>
    </row>
    <row r="518" spans="1:5">
      <c r="A518" s="11">
        <v>10117</v>
      </c>
      <c r="B518" s="6">
        <v>12517</v>
      </c>
      <c r="C518" s="29">
        <v>20001</v>
      </c>
      <c r="D518" s="6" t="s">
        <v>843</v>
      </c>
      <c r="E518" s="6">
        <v>0</v>
      </c>
    </row>
    <row r="519" spans="1:5">
      <c r="A519" s="11">
        <v>10118</v>
      </c>
      <c r="B519" s="6">
        <v>12518</v>
      </c>
      <c r="C519" s="29">
        <v>20001</v>
      </c>
      <c r="D519" s="6" t="s">
        <v>844</v>
      </c>
      <c r="E519" s="6">
        <v>12519</v>
      </c>
    </row>
    <row r="520" spans="1:5">
      <c r="A520" s="11">
        <v>10118</v>
      </c>
      <c r="B520" s="6">
        <v>12519</v>
      </c>
      <c r="C520" s="29" t="s">
        <v>992</v>
      </c>
      <c r="D520" s="6" t="s">
        <v>845</v>
      </c>
      <c r="E520" s="6">
        <v>12520</v>
      </c>
    </row>
    <row r="521" spans="1:5">
      <c r="A521" s="11">
        <v>10118</v>
      </c>
      <c r="B521" s="6">
        <v>12520</v>
      </c>
      <c r="C521" s="29" t="s">
        <v>991</v>
      </c>
      <c r="D521" s="6" t="s">
        <v>846</v>
      </c>
      <c r="E521" s="6">
        <v>12521</v>
      </c>
    </row>
    <row r="522" spans="1:5">
      <c r="A522" s="11">
        <v>10118</v>
      </c>
      <c r="B522" s="6">
        <v>12521</v>
      </c>
      <c r="C522" s="29" t="s">
        <v>991</v>
      </c>
      <c r="D522" s="6" t="s">
        <v>847</v>
      </c>
      <c r="E522" s="6">
        <v>12522</v>
      </c>
    </row>
    <row r="523" spans="1:5">
      <c r="A523" s="11">
        <v>10118</v>
      </c>
      <c r="B523" s="6">
        <v>12522</v>
      </c>
      <c r="C523" s="29">
        <v>20001</v>
      </c>
      <c r="D523" s="6" t="s">
        <v>848</v>
      </c>
      <c r="E523" s="6">
        <v>0</v>
      </c>
    </row>
    <row r="524" spans="1:5">
      <c r="A524" s="11">
        <v>10119</v>
      </c>
      <c r="B524" s="6">
        <v>12523</v>
      </c>
      <c r="C524" s="29" t="s">
        <v>993</v>
      </c>
      <c r="D524" s="6" t="s">
        <v>849</v>
      </c>
      <c r="E524" s="6">
        <v>12524</v>
      </c>
    </row>
    <row r="525" spans="1:5">
      <c r="A525" s="11">
        <v>10119</v>
      </c>
      <c r="B525" s="6">
        <v>12524</v>
      </c>
      <c r="C525" s="29" t="s">
        <v>989</v>
      </c>
      <c r="D525" s="6" t="s">
        <v>942</v>
      </c>
      <c r="E525" s="6">
        <v>12525</v>
      </c>
    </row>
    <row r="526" spans="1:5">
      <c r="A526" s="11">
        <v>10119</v>
      </c>
      <c r="B526" s="6">
        <v>12525</v>
      </c>
      <c r="C526" s="29" t="s">
        <v>993</v>
      </c>
      <c r="D526" s="6" t="s">
        <v>850</v>
      </c>
      <c r="E526" s="6">
        <v>12526</v>
      </c>
    </row>
    <row r="527" spans="1:5">
      <c r="A527" s="11">
        <v>10119</v>
      </c>
      <c r="B527" s="6">
        <v>12526</v>
      </c>
      <c r="C527" s="29">
        <v>20001</v>
      </c>
      <c r="D527" s="6" t="s">
        <v>851</v>
      </c>
      <c r="E527" s="6">
        <v>0</v>
      </c>
    </row>
    <row r="528" spans="1:5">
      <c r="A528" s="11">
        <v>10120</v>
      </c>
      <c r="B528" s="6">
        <v>12527</v>
      </c>
      <c r="C528" s="28" t="s">
        <v>993</v>
      </c>
      <c r="D528" s="28" t="s">
        <v>943</v>
      </c>
      <c r="E528" s="6">
        <v>0</v>
      </c>
    </row>
    <row r="529" spans="1:5">
      <c r="A529" s="11">
        <v>10121</v>
      </c>
      <c r="B529" s="6">
        <v>12528</v>
      </c>
      <c r="C529" s="29" t="s">
        <v>994</v>
      </c>
      <c r="D529" s="6" t="s">
        <v>852</v>
      </c>
      <c r="E529" s="6">
        <v>12529</v>
      </c>
    </row>
    <row r="530" spans="1:5">
      <c r="A530" s="11">
        <v>10121</v>
      </c>
      <c r="B530" s="6">
        <v>12529</v>
      </c>
      <c r="C530" s="29">
        <v>20001</v>
      </c>
      <c r="D530" s="6" t="s">
        <v>853</v>
      </c>
      <c r="E530" s="6">
        <v>12530</v>
      </c>
    </row>
    <row r="531" spans="1:5">
      <c r="A531" s="11">
        <v>10121</v>
      </c>
      <c r="B531" s="6">
        <v>12530</v>
      </c>
      <c r="C531" s="29" t="s">
        <v>989</v>
      </c>
      <c r="D531" s="6" t="s">
        <v>854</v>
      </c>
      <c r="E531" s="6">
        <v>12531</v>
      </c>
    </row>
    <row r="532" spans="1:5">
      <c r="A532" s="11">
        <v>10121</v>
      </c>
      <c r="B532" s="6">
        <v>12531</v>
      </c>
      <c r="C532" s="29">
        <v>20001</v>
      </c>
      <c r="D532" s="6" t="s">
        <v>855</v>
      </c>
      <c r="E532" s="6">
        <v>12532</v>
      </c>
    </row>
    <row r="533" spans="1:5">
      <c r="A533" s="11">
        <v>10121</v>
      </c>
      <c r="B533" s="6">
        <v>12532</v>
      </c>
      <c r="C533" s="29" t="s">
        <v>994</v>
      </c>
      <c r="D533" s="6" t="s">
        <v>856</v>
      </c>
      <c r="E533" s="6">
        <v>12533</v>
      </c>
    </row>
    <row r="534" spans="1:5">
      <c r="A534" s="11">
        <v>10121</v>
      </c>
      <c r="B534" s="6">
        <v>12533</v>
      </c>
      <c r="C534" s="29">
        <v>20001</v>
      </c>
      <c r="D534" s="6" t="s">
        <v>857</v>
      </c>
      <c r="E534" s="6">
        <v>0</v>
      </c>
    </row>
    <row r="535" spans="1:5">
      <c r="A535" s="11">
        <v>10122</v>
      </c>
      <c r="B535" s="6">
        <v>12534</v>
      </c>
      <c r="C535" s="29" t="s">
        <v>995</v>
      </c>
      <c r="D535" s="6" t="s">
        <v>858</v>
      </c>
      <c r="E535" s="6">
        <v>12535</v>
      </c>
    </row>
    <row r="536" spans="1:5">
      <c r="A536" s="11">
        <v>10122</v>
      </c>
      <c r="B536" s="6">
        <v>12535</v>
      </c>
      <c r="C536" s="29">
        <v>20001</v>
      </c>
      <c r="D536" s="6" t="s">
        <v>859</v>
      </c>
      <c r="E536" s="6">
        <v>0</v>
      </c>
    </row>
    <row r="537" spans="1:5">
      <c r="A537" s="11">
        <v>10123</v>
      </c>
      <c r="B537" s="6">
        <v>12536</v>
      </c>
      <c r="C537" s="29" t="s">
        <v>759</v>
      </c>
      <c r="D537" s="6" t="s">
        <v>860</v>
      </c>
      <c r="E537" s="6">
        <v>12537</v>
      </c>
    </row>
    <row r="538" spans="1:5">
      <c r="A538" s="11">
        <v>10123</v>
      </c>
      <c r="B538" s="6">
        <v>12537</v>
      </c>
      <c r="C538" s="29" t="s">
        <v>994</v>
      </c>
      <c r="D538" s="6" t="s">
        <v>861</v>
      </c>
      <c r="E538" s="6">
        <v>12538</v>
      </c>
    </row>
    <row r="539" spans="1:5">
      <c r="A539" s="11">
        <v>10123</v>
      </c>
      <c r="B539" s="6">
        <v>12538</v>
      </c>
      <c r="C539" s="29" t="s">
        <v>759</v>
      </c>
      <c r="D539" s="6" t="s">
        <v>862</v>
      </c>
      <c r="E539" s="6">
        <v>12539</v>
      </c>
    </row>
    <row r="540" spans="1:5">
      <c r="A540" s="11">
        <v>10123</v>
      </c>
      <c r="B540" s="6">
        <v>12539</v>
      </c>
      <c r="C540" s="29">
        <v>20001</v>
      </c>
      <c r="D540" s="6" t="s">
        <v>863</v>
      </c>
      <c r="E540" s="6">
        <v>12540</v>
      </c>
    </row>
    <row r="541" spans="1:5">
      <c r="A541" s="11">
        <v>10123</v>
      </c>
      <c r="B541" s="6">
        <v>12540</v>
      </c>
      <c r="C541" s="29" t="s">
        <v>759</v>
      </c>
      <c r="D541" s="6" t="s">
        <v>864</v>
      </c>
      <c r="E541" s="6">
        <v>0</v>
      </c>
    </row>
    <row r="542" spans="1:5">
      <c r="A542" s="11">
        <v>10124</v>
      </c>
      <c r="B542" s="6">
        <v>12541</v>
      </c>
      <c r="C542" s="29">
        <v>20001</v>
      </c>
      <c r="D542" s="6" t="s">
        <v>865</v>
      </c>
      <c r="E542" s="6">
        <v>12542</v>
      </c>
    </row>
    <row r="543" spans="1:5">
      <c r="A543" s="11">
        <v>10124</v>
      </c>
      <c r="B543" s="6">
        <v>12542</v>
      </c>
      <c r="C543" s="29" t="s">
        <v>989</v>
      </c>
      <c r="D543" s="6" t="s">
        <v>866</v>
      </c>
      <c r="E543" s="6">
        <v>0</v>
      </c>
    </row>
    <row r="544" spans="1:5">
      <c r="A544" s="11">
        <v>10125</v>
      </c>
      <c r="B544" s="6">
        <v>12543</v>
      </c>
      <c r="C544" s="29">
        <v>20001</v>
      </c>
      <c r="D544" s="6" t="s">
        <v>867</v>
      </c>
      <c r="E544" s="6">
        <v>12544</v>
      </c>
    </row>
    <row r="545" spans="1:5">
      <c r="A545" s="11">
        <v>10125</v>
      </c>
      <c r="B545" s="6">
        <v>12544</v>
      </c>
      <c r="C545" s="29" t="s">
        <v>759</v>
      </c>
      <c r="D545" s="6" t="s">
        <v>868</v>
      </c>
      <c r="E545" s="6">
        <v>12545</v>
      </c>
    </row>
    <row r="546" spans="1:5">
      <c r="A546" s="11">
        <v>10125</v>
      </c>
      <c r="B546" s="6">
        <v>12545</v>
      </c>
      <c r="C546" s="29">
        <v>20001</v>
      </c>
      <c r="D546" s="6" t="s">
        <v>869</v>
      </c>
      <c r="E546" s="6">
        <v>12546</v>
      </c>
    </row>
    <row r="547" spans="1:5">
      <c r="A547" s="11">
        <v>10125</v>
      </c>
      <c r="B547" s="6">
        <v>12546</v>
      </c>
      <c r="C547" s="29" t="s">
        <v>759</v>
      </c>
      <c r="D547" s="6" t="s">
        <v>870</v>
      </c>
      <c r="E547" s="6">
        <v>0</v>
      </c>
    </row>
    <row r="548" spans="1:5">
      <c r="A548" s="11">
        <v>10126</v>
      </c>
      <c r="B548" s="6">
        <v>12547</v>
      </c>
      <c r="C548" s="29">
        <v>20001</v>
      </c>
      <c r="D548" s="6" t="s">
        <v>871</v>
      </c>
      <c r="E548" s="6">
        <v>12548</v>
      </c>
    </row>
    <row r="549" spans="1:5">
      <c r="A549" s="11">
        <v>10126</v>
      </c>
      <c r="B549" s="6">
        <v>12548</v>
      </c>
      <c r="C549" s="29" t="s">
        <v>989</v>
      </c>
      <c r="D549" s="6" t="s">
        <v>872</v>
      </c>
      <c r="E549" s="6">
        <v>12549</v>
      </c>
    </row>
    <row r="550" spans="1:5">
      <c r="A550" s="11">
        <v>10126</v>
      </c>
      <c r="B550" s="6">
        <v>12549</v>
      </c>
      <c r="C550" s="29">
        <v>20001</v>
      </c>
      <c r="D550" s="6" t="s">
        <v>873</v>
      </c>
      <c r="E550" s="6">
        <v>12550</v>
      </c>
    </row>
    <row r="551" spans="1:5">
      <c r="A551" s="11">
        <v>10126</v>
      </c>
      <c r="B551" s="6">
        <v>12550</v>
      </c>
      <c r="C551" s="29" t="s">
        <v>989</v>
      </c>
      <c r="D551" s="6" t="s">
        <v>874</v>
      </c>
      <c r="E551" s="6">
        <v>0</v>
      </c>
    </row>
    <row r="552" spans="1:5">
      <c r="A552" s="11">
        <v>10127</v>
      </c>
      <c r="B552" s="6">
        <v>12551</v>
      </c>
      <c r="C552" s="29" t="s">
        <v>989</v>
      </c>
      <c r="D552" s="6" t="s">
        <v>875</v>
      </c>
      <c r="E552" s="6">
        <v>12552</v>
      </c>
    </row>
    <row r="553" spans="1:5">
      <c r="A553" s="11">
        <v>10127</v>
      </c>
      <c r="B553" s="6">
        <v>12552</v>
      </c>
      <c r="C553" s="29" t="s">
        <v>996</v>
      </c>
      <c r="D553" s="6" t="s">
        <v>876</v>
      </c>
      <c r="E553" s="6">
        <v>12553</v>
      </c>
    </row>
    <row r="554" spans="1:5">
      <c r="A554" s="11">
        <v>10127</v>
      </c>
      <c r="B554" s="6">
        <v>12553</v>
      </c>
      <c r="C554" s="29">
        <v>20001</v>
      </c>
      <c r="D554" s="6" t="s">
        <v>877</v>
      </c>
      <c r="E554" s="6">
        <v>12554</v>
      </c>
    </row>
    <row r="555" spans="1:5">
      <c r="A555" s="11">
        <v>10127</v>
      </c>
      <c r="B555" s="6">
        <v>12554</v>
      </c>
      <c r="C555" s="29" t="s">
        <v>989</v>
      </c>
      <c r="D555" s="6" t="s">
        <v>878</v>
      </c>
      <c r="E555" s="6">
        <v>12555</v>
      </c>
    </row>
    <row r="556" spans="1:5">
      <c r="A556" s="11">
        <v>10127</v>
      </c>
      <c r="B556" s="6">
        <v>12555</v>
      </c>
      <c r="C556" s="29">
        <v>20001</v>
      </c>
      <c r="D556" s="6" t="s">
        <v>879</v>
      </c>
      <c r="E556" s="6">
        <v>12556</v>
      </c>
    </row>
    <row r="557" spans="1:5">
      <c r="A557" s="11">
        <v>10127</v>
      </c>
      <c r="B557" s="6">
        <v>12556</v>
      </c>
      <c r="C557" s="29" t="s">
        <v>989</v>
      </c>
      <c r="D557" s="6" t="s">
        <v>880</v>
      </c>
      <c r="E557" s="6">
        <v>12557</v>
      </c>
    </row>
    <row r="558" spans="1:5">
      <c r="A558" s="11">
        <v>10127</v>
      </c>
      <c r="B558" s="6">
        <v>12557</v>
      </c>
      <c r="C558" s="29">
        <v>20001</v>
      </c>
      <c r="D558" s="6" t="s">
        <v>881</v>
      </c>
      <c r="E558" s="6">
        <v>0</v>
      </c>
    </row>
    <row r="559" spans="1:5">
      <c r="A559" s="11">
        <v>10128</v>
      </c>
      <c r="B559" s="6">
        <v>12558</v>
      </c>
      <c r="C559" s="29" t="s">
        <v>996</v>
      </c>
      <c r="D559" s="6" t="s">
        <v>882</v>
      </c>
      <c r="E559" s="6">
        <v>12559</v>
      </c>
    </row>
    <row r="560" spans="1:5">
      <c r="A560" s="11">
        <v>10128</v>
      </c>
      <c r="B560" s="6">
        <v>12559</v>
      </c>
      <c r="C560" s="29">
        <v>20001</v>
      </c>
      <c r="D560" s="6" t="s">
        <v>883</v>
      </c>
      <c r="E560" s="6">
        <v>12560</v>
      </c>
    </row>
    <row r="561" spans="1:5">
      <c r="A561" s="11">
        <v>10128</v>
      </c>
      <c r="B561" s="6">
        <v>12560</v>
      </c>
      <c r="C561" s="29" t="s">
        <v>989</v>
      </c>
      <c r="D561" s="6" t="s">
        <v>884</v>
      </c>
      <c r="E561" s="6">
        <v>0</v>
      </c>
    </row>
    <row r="562" spans="1:5">
      <c r="A562" s="11">
        <v>10129</v>
      </c>
      <c r="B562" s="6">
        <v>12561</v>
      </c>
      <c r="C562" s="29" t="s">
        <v>774</v>
      </c>
      <c r="D562" s="6" t="s">
        <v>885</v>
      </c>
      <c r="E562" s="6">
        <v>12562</v>
      </c>
    </row>
    <row r="563" spans="1:5">
      <c r="A563" s="11">
        <v>10129</v>
      </c>
      <c r="B563" s="6">
        <v>12562</v>
      </c>
      <c r="C563" s="29" t="s">
        <v>997</v>
      </c>
      <c r="D563" s="6" t="s">
        <v>886</v>
      </c>
      <c r="E563" s="6">
        <v>12563</v>
      </c>
    </row>
    <row r="564" spans="1:5">
      <c r="A564" s="11">
        <v>10129</v>
      </c>
      <c r="B564" s="6">
        <v>12563</v>
      </c>
      <c r="C564" s="29" t="s">
        <v>774</v>
      </c>
      <c r="D564" s="6" t="s">
        <v>887</v>
      </c>
      <c r="E564" s="6">
        <v>12564</v>
      </c>
    </row>
    <row r="565" spans="1:5">
      <c r="A565" s="11">
        <v>10129</v>
      </c>
      <c r="B565" s="6">
        <v>12564</v>
      </c>
      <c r="C565" s="29" t="s">
        <v>997</v>
      </c>
      <c r="D565" s="6" t="s">
        <v>888</v>
      </c>
      <c r="E565" s="6">
        <v>12565</v>
      </c>
    </row>
    <row r="566" spans="1:5">
      <c r="A566" s="11">
        <v>10129</v>
      </c>
      <c r="B566" s="6">
        <v>12565</v>
      </c>
      <c r="C566" s="29" t="s">
        <v>774</v>
      </c>
      <c r="D566" s="6" t="s">
        <v>889</v>
      </c>
      <c r="E566" s="6">
        <v>12566</v>
      </c>
    </row>
    <row r="567" spans="1:5">
      <c r="A567" s="11">
        <v>10129</v>
      </c>
      <c r="B567" s="6">
        <v>12566</v>
      </c>
      <c r="C567" s="29" t="s">
        <v>997</v>
      </c>
      <c r="D567" s="6" t="s">
        <v>890</v>
      </c>
      <c r="E567" s="6">
        <v>0</v>
      </c>
    </row>
    <row r="568" spans="1:5">
      <c r="A568" s="11">
        <v>10130</v>
      </c>
      <c r="B568" s="6">
        <v>12567</v>
      </c>
      <c r="C568" s="29">
        <v>20001</v>
      </c>
      <c r="D568" s="6" t="s">
        <v>891</v>
      </c>
      <c r="E568" s="6">
        <v>12568</v>
      </c>
    </row>
    <row r="569" spans="1:5">
      <c r="A569" s="11">
        <v>10130</v>
      </c>
      <c r="B569" s="6">
        <v>12568</v>
      </c>
      <c r="C569" s="29" t="s">
        <v>989</v>
      </c>
      <c r="D569" s="6" t="s">
        <v>892</v>
      </c>
      <c r="E569" s="6">
        <v>0</v>
      </c>
    </row>
    <row r="570" spans="1:5">
      <c r="A570" s="11">
        <v>10131</v>
      </c>
      <c r="B570" s="6">
        <v>12569</v>
      </c>
      <c r="C570" s="29" t="s">
        <v>760</v>
      </c>
      <c r="D570" s="6" t="s">
        <v>893</v>
      </c>
      <c r="E570" s="6">
        <v>12570</v>
      </c>
    </row>
    <row r="571" spans="1:5">
      <c r="A571" s="11">
        <v>10131</v>
      </c>
      <c r="B571" s="6">
        <v>12570</v>
      </c>
      <c r="C571" s="29">
        <v>20001</v>
      </c>
      <c r="D571" s="6" t="s">
        <v>894</v>
      </c>
      <c r="E571" s="6">
        <v>12571</v>
      </c>
    </row>
    <row r="572" spans="1:5">
      <c r="A572" s="11">
        <v>10131</v>
      </c>
      <c r="B572" s="6">
        <v>12571</v>
      </c>
      <c r="C572" s="29" t="s">
        <v>998</v>
      </c>
      <c r="D572" s="6" t="s">
        <v>895</v>
      </c>
      <c r="E572" s="6">
        <v>0</v>
      </c>
    </row>
    <row r="573" spans="1:5">
      <c r="A573" s="11">
        <v>10132</v>
      </c>
      <c r="B573" s="6">
        <v>12572</v>
      </c>
      <c r="C573" s="29">
        <v>20001</v>
      </c>
      <c r="D573" s="6" t="s">
        <v>896</v>
      </c>
      <c r="E573" s="6">
        <v>0</v>
      </c>
    </row>
    <row r="574" spans="1:5">
      <c r="A574" s="11">
        <v>10133</v>
      </c>
      <c r="B574" s="6">
        <v>12573</v>
      </c>
      <c r="C574" s="29" t="s">
        <v>998</v>
      </c>
      <c r="D574" s="6" t="s">
        <v>897</v>
      </c>
      <c r="E574" s="6">
        <v>12574</v>
      </c>
    </row>
    <row r="575" spans="1:5">
      <c r="A575" s="11">
        <v>10133</v>
      </c>
      <c r="B575" s="6">
        <v>12574</v>
      </c>
      <c r="C575" s="29">
        <v>20001</v>
      </c>
      <c r="D575" s="6" t="s">
        <v>898</v>
      </c>
      <c r="E575" s="6">
        <v>12575</v>
      </c>
    </row>
    <row r="576" spans="1:5">
      <c r="A576" s="11">
        <v>10133</v>
      </c>
      <c r="B576" s="6">
        <v>12575</v>
      </c>
      <c r="C576" s="29" t="s">
        <v>998</v>
      </c>
      <c r="D576" s="6" t="s">
        <v>899</v>
      </c>
      <c r="E576" s="6">
        <v>12576</v>
      </c>
    </row>
    <row r="577" spans="1:5">
      <c r="A577" s="11">
        <v>10133</v>
      </c>
      <c r="B577" s="6">
        <v>12576</v>
      </c>
      <c r="C577" s="29">
        <v>20001</v>
      </c>
      <c r="D577" s="6" t="s">
        <v>900</v>
      </c>
      <c r="E577" s="6">
        <v>12577</v>
      </c>
    </row>
    <row r="578" spans="1:5">
      <c r="A578" s="11">
        <v>10133</v>
      </c>
      <c r="B578" s="6">
        <v>12577</v>
      </c>
      <c r="C578" s="29" t="s">
        <v>998</v>
      </c>
      <c r="D578" s="6" t="s">
        <v>901</v>
      </c>
      <c r="E578" s="6">
        <v>0</v>
      </c>
    </row>
    <row r="579" spans="1:5">
      <c r="A579" s="11">
        <v>10134</v>
      </c>
      <c r="B579" s="6">
        <v>12578</v>
      </c>
      <c r="C579" s="10" t="s">
        <v>998</v>
      </c>
      <c r="D579" s="20" t="s">
        <v>902</v>
      </c>
      <c r="E579" s="6">
        <v>12579</v>
      </c>
    </row>
    <row r="580" spans="1:5">
      <c r="A580" s="11">
        <v>10134</v>
      </c>
      <c r="B580" s="6">
        <v>12579</v>
      </c>
      <c r="C580" s="10" t="s">
        <v>733</v>
      </c>
      <c r="D580" s="20" t="s">
        <v>903</v>
      </c>
      <c r="E580" s="6">
        <v>0</v>
      </c>
    </row>
    <row r="581" spans="1:5">
      <c r="A581" s="11">
        <v>10135</v>
      </c>
      <c r="B581" s="6">
        <v>12580</v>
      </c>
      <c r="C581" s="10" t="s">
        <v>997</v>
      </c>
      <c r="D581" s="20" t="s">
        <v>904</v>
      </c>
      <c r="E581" s="6">
        <v>12581</v>
      </c>
    </row>
    <row r="582" spans="1:5" ht="27">
      <c r="A582" s="11">
        <v>10135</v>
      </c>
      <c r="B582" s="6">
        <v>12581</v>
      </c>
      <c r="C582" s="10">
        <v>20001</v>
      </c>
      <c r="D582" s="20" t="s">
        <v>905</v>
      </c>
      <c r="E582" s="6">
        <v>12582</v>
      </c>
    </row>
    <row r="583" spans="1:5">
      <c r="A583" s="11">
        <v>10135</v>
      </c>
      <c r="B583" s="6">
        <v>12582</v>
      </c>
      <c r="C583" s="10" t="s">
        <v>760</v>
      </c>
      <c r="D583" s="20" t="s">
        <v>906</v>
      </c>
      <c r="E583" s="6">
        <v>12583</v>
      </c>
    </row>
    <row r="584" spans="1:5">
      <c r="A584" s="11">
        <v>10135</v>
      </c>
      <c r="B584" s="6">
        <v>12583</v>
      </c>
      <c r="C584" s="10">
        <v>20001</v>
      </c>
      <c r="D584" s="20" t="s">
        <v>907</v>
      </c>
      <c r="E584" s="6">
        <v>12584</v>
      </c>
    </row>
    <row r="585" spans="1:5">
      <c r="A585" s="11">
        <v>10135</v>
      </c>
      <c r="B585" s="6">
        <v>12584</v>
      </c>
      <c r="C585" s="10" t="s">
        <v>760</v>
      </c>
      <c r="D585" s="20" t="s">
        <v>908</v>
      </c>
      <c r="E585" s="6">
        <v>0</v>
      </c>
    </row>
    <row r="586" spans="1:5">
      <c r="A586" s="11">
        <v>10136</v>
      </c>
      <c r="B586" s="6">
        <v>12585</v>
      </c>
      <c r="C586" s="10" t="s">
        <v>997</v>
      </c>
      <c r="D586" s="20" t="s">
        <v>909</v>
      </c>
      <c r="E586" s="6">
        <v>12586</v>
      </c>
    </row>
    <row r="587" spans="1:5" ht="27">
      <c r="A587" s="11">
        <v>10136</v>
      </c>
      <c r="B587" s="6">
        <v>12586</v>
      </c>
      <c r="C587" s="10" t="s">
        <v>760</v>
      </c>
      <c r="D587" s="20" t="s">
        <v>910</v>
      </c>
      <c r="E587" s="6">
        <v>12587</v>
      </c>
    </row>
    <row r="588" spans="1:5" ht="27">
      <c r="A588" s="11">
        <v>10136</v>
      </c>
      <c r="B588" s="6">
        <v>12587</v>
      </c>
      <c r="C588" s="10">
        <v>20001</v>
      </c>
      <c r="D588" s="20" t="s">
        <v>911</v>
      </c>
      <c r="E588" s="6">
        <v>12588</v>
      </c>
    </row>
    <row r="589" spans="1:5">
      <c r="A589" s="11">
        <v>10136</v>
      </c>
      <c r="B589" s="6">
        <v>12588</v>
      </c>
      <c r="C589" s="10" t="s">
        <v>760</v>
      </c>
      <c r="D589" s="20" t="s">
        <v>912</v>
      </c>
      <c r="E589" s="6">
        <v>0</v>
      </c>
    </row>
    <row r="590" spans="1:5">
      <c r="A590" s="11">
        <v>10137</v>
      </c>
      <c r="B590" s="6">
        <v>12589</v>
      </c>
      <c r="C590" s="10" t="s">
        <v>997</v>
      </c>
      <c r="D590" s="20" t="s">
        <v>913</v>
      </c>
      <c r="E590" s="6">
        <v>12590</v>
      </c>
    </row>
    <row r="591" spans="1:5">
      <c r="A591" s="11">
        <v>10137</v>
      </c>
      <c r="B591" s="6">
        <v>12590</v>
      </c>
      <c r="C591" s="10">
        <v>20001</v>
      </c>
      <c r="D591" s="20" t="s">
        <v>914</v>
      </c>
      <c r="E591" s="6">
        <v>12591</v>
      </c>
    </row>
    <row r="592" spans="1:5">
      <c r="A592" s="11">
        <v>10137</v>
      </c>
      <c r="B592" s="6">
        <v>12591</v>
      </c>
      <c r="C592" s="10" t="s">
        <v>989</v>
      </c>
      <c r="D592" s="20" t="s">
        <v>915</v>
      </c>
      <c r="E592" s="6">
        <v>12592</v>
      </c>
    </row>
    <row r="593" spans="1:5">
      <c r="A593" s="11">
        <v>10137</v>
      </c>
      <c r="B593" s="6">
        <v>12592</v>
      </c>
      <c r="C593" s="10">
        <v>20001</v>
      </c>
      <c r="D593" s="20" t="s">
        <v>916</v>
      </c>
      <c r="E593" s="6">
        <v>12593</v>
      </c>
    </row>
    <row r="594" spans="1:5">
      <c r="A594" s="11">
        <v>10137</v>
      </c>
      <c r="B594" s="6">
        <v>12593</v>
      </c>
      <c r="C594" s="10" t="s">
        <v>997</v>
      </c>
      <c r="D594" s="20" t="s">
        <v>917</v>
      </c>
      <c r="E594" s="6">
        <v>0</v>
      </c>
    </row>
    <row r="595" spans="1:5">
      <c r="A595" s="11">
        <v>10138</v>
      </c>
      <c r="B595" s="6">
        <v>12594</v>
      </c>
      <c r="C595" s="10">
        <v>20001</v>
      </c>
      <c r="D595" s="20" t="s">
        <v>918</v>
      </c>
      <c r="E595" s="6">
        <v>12595</v>
      </c>
    </row>
    <row r="596" spans="1:5">
      <c r="A596" s="11">
        <v>10138</v>
      </c>
      <c r="B596" s="6">
        <v>12595</v>
      </c>
      <c r="C596" s="10" t="s">
        <v>989</v>
      </c>
      <c r="D596" s="20" t="s">
        <v>919</v>
      </c>
      <c r="E596" s="6">
        <v>0</v>
      </c>
    </row>
    <row r="597" spans="1:5">
      <c r="A597" s="11">
        <v>10139</v>
      </c>
      <c r="B597" s="6">
        <v>12596</v>
      </c>
      <c r="C597" s="10">
        <v>20001</v>
      </c>
      <c r="D597" s="20" t="s">
        <v>920</v>
      </c>
      <c r="E597" s="6">
        <v>12597</v>
      </c>
    </row>
    <row r="598" spans="1:5">
      <c r="A598" s="11">
        <v>10139</v>
      </c>
      <c r="B598" s="6">
        <v>12597</v>
      </c>
      <c r="C598" s="10" t="s">
        <v>733</v>
      </c>
      <c r="D598" s="20" t="s">
        <v>921</v>
      </c>
      <c r="E598" s="6">
        <v>12598</v>
      </c>
    </row>
    <row r="599" spans="1:5">
      <c r="A599" s="11">
        <v>10139</v>
      </c>
      <c r="B599" s="6">
        <v>12598</v>
      </c>
      <c r="C599" s="10">
        <v>20001</v>
      </c>
      <c r="D599" s="20" t="s">
        <v>922</v>
      </c>
      <c r="E599" s="6">
        <v>12599</v>
      </c>
    </row>
    <row r="600" spans="1:5">
      <c r="A600" s="11">
        <v>10139</v>
      </c>
      <c r="B600" s="6">
        <v>12599</v>
      </c>
      <c r="C600" s="10" t="s">
        <v>733</v>
      </c>
      <c r="D600" s="20" t="s">
        <v>923</v>
      </c>
      <c r="E600" s="6">
        <v>12600</v>
      </c>
    </row>
    <row r="601" spans="1:5">
      <c r="A601" s="11">
        <v>10139</v>
      </c>
      <c r="B601" s="6">
        <v>12600</v>
      </c>
      <c r="C601" s="10">
        <v>20001</v>
      </c>
      <c r="D601" s="20" t="s">
        <v>924</v>
      </c>
      <c r="E601" s="6">
        <v>12601</v>
      </c>
    </row>
    <row r="602" spans="1:5">
      <c r="A602" s="11">
        <v>10139</v>
      </c>
      <c r="B602" s="6">
        <v>12601</v>
      </c>
      <c r="C602" s="10" t="s">
        <v>989</v>
      </c>
      <c r="D602" s="10" t="s">
        <v>925</v>
      </c>
      <c r="E602" s="6">
        <v>0</v>
      </c>
    </row>
    <row r="603" spans="1:5">
      <c r="A603" s="11">
        <v>10140</v>
      </c>
      <c r="B603" s="6">
        <v>12602</v>
      </c>
      <c r="C603" s="10">
        <v>20001</v>
      </c>
      <c r="D603" s="20" t="s">
        <v>926</v>
      </c>
      <c r="E603" s="6">
        <v>12603</v>
      </c>
    </row>
    <row r="604" spans="1:5">
      <c r="A604" s="11">
        <v>10140</v>
      </c>
      <c r="B604" s="6">
        <v>12603</v>
      </c>
      <c r="C604" s="10" t="s">
        <v>989</v>
      </c>
      <c r="D604" s="10" t="s">
        <v>927</v>
      </c>
      <c r="E604" s="6">
        <v>0</v>
      </c>
    </row>
    <row r="605" spans="1:5">
      <c r="A605" s="11">
        <v>10141</v>
      </c>
      <c r="B605" s="6">
        <v>12604</v>
      </c>
      <c r="C605" s="10" t="s">
        <v>991</v>
      </c>
      <c r="D605" s="20" t="s">
        <v>928</v>
      </c>
      <c r="E605" s="6">
        <v>12605</v>
      </c>
    </row>
    <row r="606" spans="1:5">
      <c r="A606" s="11">
        <v>10141</v>
      </c>
      <c r="B606" s="6">
        <v>12605</v>
      </c>
      <c r="C606" s="10" t="s">
        <v>989</v>
      </c>
      <c r="D606" s="20" t="s">
        <v>929</v>
      </c>
      <c r="E606" s="6">
        <v>12606</v>
      </c>
    </row>
    <row r="607" spans="1:5">
      <c r="A607" s="11">
        <v>10141</v>
      </c>
      <c r="B607" s="6">
        <v>12606</v>
      </c>
      <c r="C607" s="10">
        <v>20001</v>
      </c>
      <c r="D607" s="20" t="s">
        <v>930</v>
      </c>
      <c r="E607" s="6">
        <v>12607</v>
      </c>
    </row>
    <row r="608" spans="1:5">
      <c r="A608" s="11">
        <v>10141</v>
      </c>
      <c r="B608" s="6">
        <v>12607</v>
      </c>
      <c r="C608" s="10" t="s">
        <v>989</v>
      </c>
      <c r="D608" s="20" t="s">
        <v>931</v>
      </c>
      <c r="E608" s="6">
        <v>12608</v>
      </c>
    </row>
    <row r="609" spans="1:5">
      <c r="A609" s="11">
        <v>10141</v>
      </c>
      <c r="B609" s="6">
        <v>12608</v>
      </c>
      <c r="C609" s="10">
        <v>20001</v>
      </c>
      <c r="D609" s="20" t="s">
        <v>932</v>
      </c>
      <c r="E609" s="6">
        <v>12609</v>
      </c>
    </row>
    <row r="610" spans="1:5">
      <c r="A610" s="11">
        <v>10141</v>
      </c>
      <c r="B610" s="6">
        <v>12609</v>
      </c>
      <c r="C610" s="10" t="s">
        <v>989</v>
      </c>
      <c r="D610" s="20" t="s">
        <v>933</v>
      </c>
      <c r="E610" s="6">
        <v>12610</v>
      </c>
    </row>
    <row r="611" spans="1:5">
      <c r="A611" s="11">
        <v>10141</v>
      </c>
      <c r="B611" s="6">
        <v>12610</v>
      </c>
      <c r="C611" s="10">
        <v>20001</v>
      </c>
      <c r="D611" s="20" t="s">
        <v>934</v>
      </c>
      <c r="E611" s="6">
        <v>12611</v>
      </c>
    </row>
    <row r="612" spans="1:5">
      <c r="A612" s="11">
        <v>10141</v>
      </c>
      <c r="B612" s="6">
        <v>12611</v>
      </c>
      <c r="C612" s="10" t="s">
        <v>989</v>
      </c>
      <c r="D612" s="20" t="s">
        <v>935</v>
      </c>
      <c r="E612" s="6">
        <v>0</v>
      </c>
    </row>
    <row r="613" spans="1:5">
      <c r="A613" s="11">
        <v>10142</v>
      </c>
      <c r="B613" s="6">
        <v>12612</v>
      </c>
      <c r="C613" s="10" t="s">
        <v>991</v>
      </c>
      <c r="D613" s="20" t="s">
        <v>936</v>
      </c>
      <c r="E613" s="6">
        <v>12613</v>
      </c>
    </row>
    <row r="614" spans="1:5" ht="27">
      <c r="A614" s="11">
        <v>10142</v>
      </c>
      <c r="B614" s="6">
        <v>12613</v>
      </c>
      <c r="C614" s="10" t="s">
        <v>989</v>
      </c>
      <c r="D614" s="20" t="s">
        <v>937</v>
      </c>
      <c r="E614" s="6">
        <v>12614</v>
      </c>
    </row>
    <row r="615" spans="1:5">
      <c r="A615" s="11">
        <v>10142</v>
      </c>
      <c r="B615" s="6">
        <v>12614</v>
      </c>
      <c r="C615" s="10" t="s">
        <v>991</v>
      </c>
      <c r="D615" s="20" t="s">
        <v>938</v>
      </c>
      <c r="E615" s="6">
        <v>12615</v>
      </c>
    </row>
    <row r="616" spans="1:5">
      <c r="A616" s="11">
        <v>10142</v>
      </c>
      <c r="B616" s="6">
        <v>12615</v>
      </c>
      <c r="C616" s="10">
        <v>20001</v>
      </c>
      <c r="D616" s="20" t="s">
        <v>939</v>
      </c>
      <c r="E616" s="6">
        <v>0</v>
      </c>
    </row>
    <row r="617" spans="1:5">
      <c r="A617" s="11"/>
      <c r="B617" s="6"/>
      <c r="C617" s="10"/>
      <c r="D617" s="10"/>
      <c r="E617" s="6"/>
    </row>
    <row r="618" spans="1:5">
      <c r="A618" s="11"/>
      <c r="B618" s="6"/>
      <c r="C618" s="10"/>
      <c r="E618" s="6"/>
    </row>
    <row r="619" spans="1:5">
      <c r="A619" s="11"/>
      <c r="B619" s="6"/>
      <c r="C619" s="10"/>
      <c r="D619" s="10"/>
      <c r="E619" s="6"/>
    </row>
    <row r="620" spans="1:5">
      <c r="A620" s="11"/>
      <c r="B620" s="6"/>
      <c r="C620" s="10"/>
      <c r="E620" s="6"/>
    </row>
    <row r="621" spans="1:5">
      <c r="A621" s="11"/>
      <c r="B621" s="6"/>
      <c r="C621" s="10"/>
      <c r="D621" s="10"/>
      <c r="E621" s="6"/>
    </row>
    <row r="622" spans="1:5">
      <c r="A622" s="11"/>
      <c r="B622" s="6"/>
      <c r="C622" s="10"/>
      <c r="E622" s="6"/>
    </row>
    <row r="623" spans="1:5">
      <c r="A623" s="11"/>
      <c r="B623" s="6"/>
      <c r="C623" s="10"/>
      <c r="D623" s="10"/>
      <c r="E623" s="6"/>
    </row>
    <row r="624" spans="1:5">
      <c r="A624" s="11"/>
      <c r="B624" s="6"/>
      <c r="C624" s="10"/>
      <c r="E624" s="6"/>
    </row>
    <row r="625" spans="1:5">
      <c r="A625" s="11"/>
      <c r="B625" s="6"/>
      <c r="C625" s="10"/>
      <c r="E625" s="6"/>
    </row>
    <row r="626" spans="1:5">
      <c r="A626" s="11"/>
      <c r="B626" s="6"/>
      <c r="C626" s="10"/>
      <c r="E626" s="6"/>
    </row>
    <row r="627" spans="1:5">
      <c r="A627" s="11"/>
      <c r="B627" s="6"/>
      <c r="C627" s="10"/>
      <c r="E627" s="6"/>
    </row>
    <row r="628" spans="1:5">
      <c r="A628" s="11"/>
      <c r="B628" s="6"/>
      <c r="C628" s="10"/>
      <c r="E628" s="6"/>
    </row>
    <row r="629" spans="1:5">
      <c r="A629" s="11"/>
      <c r="B629" s="6"/>
      <c r="C629" s="10"/>
      <c r="E629" s="6"/>
    </row>
    <row r="630" spans="1:5">
      <c r="A630" s="11"/>
      <c r="B630" s="6"/>
      <c r="C630" s="10"/>
      <c r="E630" s="6"/>
    </row>
    <row r="631" spans="1:5">
      <c r="A631" s="11"/>
      <c r="B631" s="6"/>
      <c r="C631" s="10"/>
      <c r="E631" s="6"/>
    </row>
    <row r="632" spans="1:5">
      <c r="A632" s="11"/>
      <c r="B632" s="6"/>
      <c r="C632" s="10"/>
      <c r="E632" s="6"/>
    </row>
    <row r="633" spans="1:5">
      <c r="A633" s="11"/>
      <c r="B633" s="6"/>
      <c r="C633" s="10"/>
      <c r="E633" s="6"/>
    </row>
    <row r="634" spans="1:5">
      <c r="A634" s="11"/>
      <c r="B634" s="6"/>
      <c r="C634" s="10"/>
      <c r="E634" s="6"/>
    </row>
    <row r="635" spans="1:5">
      <c r="A635" s="11"/>
      <c r="B635" s="6"/>
      <c r="C635" s="10"/>
      <c r="E635" s="6"/>
    </row>
    <row r="636" spans="1:5">
      <c r="A636" s="11"/>
      <c r="B636" s="6"/>
      <c r="C636" s="10"/>
      <c r="D636" s="10"/>
      <c r="E636" s="6"/>
    </row>
    <row r="637" spans="1:5">
      <c r="A637" s="11"/>
      <c r="B637" s="6"/>
      <c r="C637" s="10"/>
      <c r="E637" s="6"/>
    </row>
    <row r="638" spans="1:5">
      <c r="A638" s="11"/>
      <c r="B638" s="6"/>
      <c r="C638" s="10"/>
      <c r="D638" s="10"/>
      <c r="E638" s="6"/>
    </row>
    <row r="639" spans="1:5">
      <c r="A639" s="11"/>
      <c r="B639" s="6"/>
      <c r="C639" s="10"/>
      <c r="E639" s="6"/>
    </row>
    <row r="640" spans="1:5">
      <c r="A640" s="11"/>
      <c r="B640" s="6"/>
      <c r="C640" s="10"/>
      <c r="E640" s="6"/>
    </row>
    <row r="641" spans="1:5">
      <c r="A641" s="11"/>
      <c r="B641" s="6"/>
      <c r="C641" s="10"/>
      <c r="E641" s="6"/>
    </row>
    <row r="642" spans="1:5">
      <c r="A642" s="11"/>
      <c r="B642" s="6"/>
      <c r="C642" s="10"/>
      <c r="E642" s="6"/>
    </row>
    <row r="643" spans="1:5">
      <c r="A643" s="11"/>
      <c r="B643" s="6"/>
      <c r="C643" s="10"/>
      <c r="E643" s="6"/>
    </row>
    <row r="644" spans="1:5">
      <c r="A644" s="11"/>
      <c r="B644" s="6"/>
      <c r="C644" s="10"/>
      <c r="D644" s="10"/>
      <c r="E644" s="6"/>
    </row>
    <row r="645" spans="1:5">
      <c r="A645" s="11"/>
      <c r="B645" s="6"/>
      <c r="C645" s="10"/>
      <c r="E645" s="6"/>
    </row>
    <row r="646" spans="1:5">
      <c r="A646" s="11"/>
      <c r="B646" s="6"/>
      <c r="C646" s="10"/>
      <c r="D646" s="10"/>
      <c r="E646" s="6"/>
    </row>
    <row r="647" spans="1:5">
      <c r="A647" s="11"/>
      <c r="B647" s="6"/>
      <c r="C647" s="10"/>
      <c r="D647" s="10"/>
      <c r="E647" s="6"/>
    </row>
    <row r="648" spans="1:5">
      <c r="A648" s="11"/>
      <c r="B648" s="6"/>
      <c r="C648" s="10"/>
      <c r="E648" s="6"/>
    </row>
    <row r="649" spans="1:5">
      <c r="A649" s="11"/>
      <c r="B649" s="6"/>
      <c r="C649" s="10"/>
      <c r="D649" s="10"/>
      <c r="E649" s="6"/>
    </row>
    <row r="650" spans="1:5">
      <c r="A650" s="11"/>
      <c r="B650" s="6"/>
      <c r="C650" s="10"/>
      <c r="E650" s="6"/>
    </row>
    <row r="651" spans="1:5">
      <c r="A651" s="11"/>
      <c r="B651" s="6"/>
      <c r="C651" s="10"/>
      <c r="D651" s="10"/>
      <c r="E651" s="6"/>
    </row>
    <row r="652" spans="1:5">
      <c r="A652" s="11"/>
      <c r="B652" s="6"/>
      <c r="C652" s="10"/>
      <c r="E652" s="6"/>
    </row>
    <row r="653" spans="1:5">
      <c r="A653" s="11"/>
      <c r="B653" s="6"/>
      <c r="C653" s="10"/>
      <c r="E653" s="6"/>
    </row>
    <row r="654" spans="1:5">
      <c r="A654" s="11"/>
      <c r="B654" s="6"/>
      <c r="C654" s="10"/>
      <c r="E654" s="6"/>
    </row>
    <row r="655" spans="1:5">
      <c r="A655" s="11"/>
      <c r="B655" s="6"/>
      <c r="C655" s="10"/>
      <c r="E655" s="6"/>
    </row>
    <row r="656" spans="1:5">
      <c r="A656" s="11"/>
      <c r="B656" s="6"/>
      <c r="C656" s="10"/>
      <c r="E656" s="6"/>
    </row>
    <row r="657" spans="1:5">
      <c r="A657" s="11"/>
      <c r="B657" s="6"/>
      <c r="C657" s="10"/>
      <c r="E657" s="6"/>
    </row>
    <row r="658" spans="1:5">
      <c r="A658" s="11"/>
      <c r="B658" s="6"/>
      <c r="C658" s="10"/>
      <c r="E658" s="6"/>
    </row>
    <row r="659" spans="1:5">
      <c r="A659" s="11"/>
      <c r="B659" s="6"/>
      <c r="C659" s="10"/>
      <c r="E659" s="6"/>
    </row>
    <row r="660" spans="1:5">
      <c r="A660" s="11"/>
      <c r="B660" s="6"/>
      <c r="C660" s="10"/>
      <c r="E660" s="6"/>
    </row>
    <row r="661" spans="1:5">
      <c r="A661" s="11"/>
      <c r="B661" s="6"/>
      <c r="C661" s="10"/>
      <c r="E661" s="6"/>
    </row>
    <row r="662" spans="1:5">
      <c r="A662" s="11"/>
      <c r="B662" s="6"/>
      <c r="C662" s="10"/>
      <c r="E662" s="6"/>
    </row>
    <row r="663" spans="1:5">
      <c r="A663" s="11"/>
      <c r="B663" s="6"/>
      <c r="C663" s="10"/>
      <c r="E663" s="6"/>
    </row>
    <row r="664" spans="1:5">
      <c r="A664" s="11"/>
      <c r="B664" s="6"/>
      <c r="C664" s="10"/>
      <c r="E664" s="6"/>
    </row>
    <row r="665" spans="1:5">
      <c r="A665" s="11"/>
      <c r="B665" s="5"/>
    </row>
    <row r="666" spans="1:5">
      <c r="A666" s="11"/>
      <c r="B666" s="5"/>
    </row>
    <row r="667" spans="1:5">
      <c r="A667" s="11"/>
      <c r="B667" s="5"/>
    </row>
    <row r="668" spans="1:5">
      <c r="A668" s="11"/>
      <c r="B668" s="5"/>
    </row>
    <row r="669" spans="1:5">
      <c r="A669" s="11"/>
      <c r="B669" s="5"/>
    </row>
    <row r="670" spans="1:5">
      <c r="A670" s="11"/>
      <c r="B670" s="5"/>
    </row>
    <row r="671" spans="1:5">
      <c r="A671" s="11"/>
      <c r="B671" s="5"/>
    </row>
    <row r="672" spans="1:5">
      <c r="A672" s="11"/>
      <c r="B672" s="5"/>
    </row>
    <row r="673" spans="1:2">
      <c r="A673" s="11"/>
      <c r="B673" s="5"/>
    </row>
    <row r="674" spans="1:2">
      <c r="A674" s="11"/>
      <c r="B674" s="5"/>
    </row>
    <row r="675" spans="1:2">
      <c r="A675" s="11"/>
      <c r="B675" s="5"/>
    </row>
    <row r="676" spans="1:2">
      <c r="A676" s="11"/>
      <c r="B676" s="5"/>
    </row>
    <row r="677" spans="1:2">
      <c r="A677" s="11"/>
      <c r="B677" s="5"/>
    </row>
    <row r="678" spans="1:2">
      <c r="A678" s="11"/>
      <c r="B678" s="5"/>
    </row>
    <row r="679" spans="1:2">
      <c r="A679" s="11"/>
      <c r="B679" s="5"/>
    </row>
    <row r="680" spans="1:2">
      <c r="A680" s="11"/>
      <c r="B680" s="5"/>
    </row>
    <row r="681" spans="1:2">
      <c r="A681" s="11"/>
      <c r="B681" s="5"/>
    </row>
    <row r="682" spans="1:2">
      <c r="A682" s="11"/>
      <c r="B682" s="5"/>
    </row>
    <row r="683" spans="1:2">
      <c r="A683" s="11"/>
      <c r="B683" s="5"/>
    </row>
    <row r="684" spans="1:2">
      <c r="A684" s="11"/>
      <c r="B684" s="5"/>
    </row>
    <row r="685" spans="1:2">
      <c r="A685" s="11"/>
      <c r="B685" s="5"/>
    </row>
    <row r="686" spans="1:2">
      <c r="A686" s="11"/>
      <c r="B686" s="5"/>
    </row>
    <row r="687" spans="1:2">
      <c r="A687" s="11"/>
      <c r="B687" s="5"/>
    </row>
    <row r="688" spans="1:2">
      <c r="A688" s="11"/>
      <c r="B688" s="5"/>
    </row>
    <row r="689" spans="1:2">
      <c r="A689" s="11"/>
      <c r="B689" s="5"/>
    </row>
    <row r="690" spans="1:2">
      <c r="A690" s="11"/>
      <c r="B690" s="5"/>
    </row>
    <row r="691" spans="1:2">
      <c r="A691" s="11"/>
      <c r="B691" s="5"/>
    </row>
    <row r="692" spans="1:2">
      <c r="A692" s="11"/>
      <c r="B692" s="5"/>
    </row>
    <row r="693" spans="1:2">
      <c r="A693" s="11"/>
      <c r="B693" s="5"/>
    </row>
    <row r="694" spans="1:2">
      <c r="A694" s="11"/>
      <c r="B694" s="5"/>
    </row>
    <row r="695" spans="1:2">
      <c r="A695" s="11"/>
      <c r="B695" s="5"/>
    </row>
    <row r="696" spans="1:2">
      <c r="A696" s="11"/>
      <c r="B696" s="5"/>
    </row>
    <row r="697" spans="1:2">
      <c r="A697" s="11"/>
      <c r="B697" s="5"/>
    </row>
    <row r="698" spans="1:2">
      <c r="A698" s="11"/>
      <c r="B698" s="5"/>
    </row>
    <row r="699" spans="1:2">
      <c r="A699" s="11"/>
      <c r="B699" s="5"/>
    </row>
    <row r="700" spans="1:2">
      <c r="A700" s="11"/>
      <c r="B700" s="5"/>
    </row>
    <row r="701" spans="1:2">
      <c r="A701" s="11"/>
      <c r="B701" s="5"/>
    </row>
    <row r="702" spans="1:2">
      <c r="A702" s="11"/>
      <c r="B702" s="5"/>
    </row>
    <row r="703" spans="1:2">
      <c r="A703" s="11"/>
      <c r="B703" s="5"/>
    </row>
    <row r="704" spans="1:2">
      <c r="A704" s="11"/>
      <c r="B704" s="5"/>
    </row>
    <row r="705" spans="1:2">
      <c r="A705" s="11"/>
      <c r="B705" s="5"/>
    </row>
    <row r="706" spans="1:2">
      <c r="A706" s="11"/>
      <c r="B706" s="5"/>
    </row>
    <row r="707" spans="1:2">
      <c r="A707" s="11"/>
      <c r="B707" s="5"/>
    </row>
    <row r="708" spans="1:2">
      <c r="A708" s="11"/>
      <c r="B708" s="5"/>
    </row>
    <row r="709" spans="1:2">
      <c r="A709" s="11"/>
      <c r="B709" s="5"/>
    </row>
    <row r="710" spans="1:2">
      <c r="A710" s="11"/>
      <c r="B710" s="5"/>
    </row>
    <row r="711" spans="1:2">
      <c r="A711" s="11"/>
      <c r="B711" s="5"/>
    </row>
    <row r="712" spans="1:2">
      <c r="A712" s="11"/>
      <c r="B712" s="5"/>
    </row>
    <row r="713" spans="1:2">
      <c r="A713" s="11"/>
      <c r="B713" s="5"/>
    </row>
    <row r="714" spans="1:2">
      <c r="A714" s="11"/>
      <c r="B714" s="5"/>
    </row>
    <row r="715" spans="1:2">
      <c r="A715" s="11"/>
      <c r="B715" s="5"/>
    </row>
    <row r="716" spans="1:2">
      <c r="A716" s="11"/>
      <c r="B716" s="5"/>
    </row>
    <row r="717" spans="1:2">
      <c r="A717" s="11"/>
      <c r="B717" s="11"/>
    </row>
    <row r="718" spans="1:2">
      <c r="A718" s="11"/>
      <c r="B718" s="11"/>
    </row>
    <row r="719" spans="1:2">
      <c r="A719" s="11"/>
      <c r="B719" s="11"/>
    </row>
    <row r="720" spans="1:2">
      <c r="A720" s="11"/>
      <c r="B720" s="11"/>
    </row>
    <row r="721" spans="1:2">
      <c r="A721" s="11"/>
      <c r="B721" s="11"/>
    </row>
    <row r="722" spans="1:2">
      <c r="A722" s="11"/>
      <c r="B722" s="11"/>
    </row>
    <row r="723" spans="1:2">
      <c r="A723" s="11"/>
      <c r="B723" s="11"/>
    </row>
    <row r="724" spans="1:2">
      <c r="A724" s="11"/>
      <c r="B724" s="11"/>
    </row>
    <row r="725" spans="1:2">
      <c r="A725" s="11"/>
      <c r="B725" s="11"/>
    </row>
    <row r="726" spans="1:2">
      <c r="A726" s="11"/>
      <c r="B726" s="11"/>
    </row>
    <row r="727" spans="1:2">
      <c r="A727" s="11"/>
      <c r="B727" s="11"/>
    </row>
    <row r="728" spans="1:2">
      <c r="A728" s="11"/>
      <c r="B728" s="11"/>
    </row>
    <row r="729" spans="1:2">
      <c r="A729" s="11"/>
      <c r="B729" s="11"/>
    </row>
    <row r="730" spans="1:2">
      <c r="A730" s="11"/>
      <c r="B730" s="11"/>
    </row>
    <row r="731" spans="1:2">
      <c r="A731" s="11"/>
      <c r="B731" s="11"/>
    </row>
    <row r="732" spans="1:2">
      <c r="A732" s="11"/>
      <c r="B732" s="11"/>
    </row>
    <row r="733" spans="1:2">
      <c r="A733" s="11"/>
      <c r="B733" s="11"/>
    </row>
    <row r="734" spans="1:2">
      <c r="A734" s="11"/>
      <c r="B734" s="11"/>
    </row>
    <row r="735" spans="1:2">
      <c r="A735" s="11"/>
      <c r="B735" s="11"/>
    </row>
    <row r="736" spans="1:2">
      <c r="A736" s="11"/>
      <c r="B736" s="11"/>
    </row>
    <row r="737" spans="1:2">
      <c r="A737" s="11"/>
      <c r="B737" s="11"/>
    </row>
    <row r="738" spans="1:2">
      <c r="A738" s="11"/>
      <c r="B738" s="11"/>
    </row>
    <row r="739" spans="1:2">
      <c r="A739" s="11"/>
      <c r="B739" s="11"/>
    </row>
    <row r="740" spans="1:2">
      <c r="A740" s="11"/>
      <c r="B740" s="11"/>
    </row>
    <row r="741" spans="1:2">
      <c r="A741" s="11"/>
      <c r="B741" s="11"/>
    </row>
    <row r="742" spans="1:2">
      <c r="A742" s="11"/>
      <c r="B742" s="11"/>
    </row>
    <row r="743" spans="1:2">
      <c r="A743" s="11"/>
      <c r="B743" s="11"/>
    </row>
    <row r="744" spans="1:2">
      <c r="A744" s="11"/>
      <c r="B744" s="11"/>
    </row>
    <row r="745" spans="1:2">
      <c r="A745" s="11"/>
      <c r="B745" s="11"/>
    </row>
    <row r="746" spans="1:2">
      <c r="A746" s="11"/>
      <c r="B746" s="11"/>
    </row>
    <row r="747" spans="1:2">
      <c r="A747" s="11"/>
      <c r="B747" s="11"/>
    </row>
    <row r="748" spans="1:2">
      <c r="A748" s="11"/>
      <c r="B748" s="11"/>
    </row>
    <row r="749" spans="1:2">
      <c r="A749" s="11"/>
      <c r="B749" s="11"/>
    </row>
    <row r="750" spans="1:2">
      <c r="A750" s="11"/>
      <c r="B750" s="11"/>
    </row>
    <row r="751" spans="1:2">
      <c r="A751" s="11"/>
      <c r="B751" s="11"/>
    </row>
    <row r="752" spans="1:2">
      <c r="A752" s="11"/>
      <c r="B752" s="11"/>
    </row>
    <row r="753" spans="1:2">
      <c r="A753" s="11"/>
      <c r="B753" s="11"/>
    </row>
    <row r="754" spans="1:2">
      <c r="A754" s="11"/>
      <c r="B754" s="11"/>
    </row>
    <row r="755" spans="1:2">
      <c r="A755" s="11"/>
      <c r="B755" s="11"/>
    </row>
    <row r="756" spans="1:2">
      <c r="A756" s="11"/>
      <c r="B756" s="11"/>
    </row>
    <row r="757" spans="1:2">
      <c r="A757" s="11"/>
      <c r="B757" s="11"/>
    </row>
    <row r="758" spans="1:2">
      <c r="A758" s="11"/>
      <c r="B758" s="11"/>
    </row>
    <row r="759" spans="1:2">
      <c r="A759" s="11"/>
      <c r="B759" s="11"/>
    </row>
    <row r="760" spans="1:2">
      <c r="A760" s="11"/>
      <c r="B760" s="11"/>
    </row>
    <row r="761" spans="1:2">
      <c r="A761" s="11"/>
      <c r="B761" s="11"/>
    </row>
    <row r="762" spans="1:2">
      <c r="A762" s="11"/>
      <c r="B762" s="11"/>
    </row>
    <row r="763" spans="1:2">
      <c r="A763" s="11"/>
      <c r="B763" s="11"/>
    </row>
    <row r="764" spans="1:2">
      <c r="A764" s="11"/>
      <c r="B764" s="11"/>
    </row>
    <row r="765" spans="1:2">
      <c r="A765" s="11"/>
      <c r="B765" s="11"/>
    </row>
    <row r="766" spans="1:2">
      <c r="A766" s="11"/>
      <c r="B766" s="11"/>
    </row>
    <row r="767" spans="1:2">
      <c r="A767" s="11"/>
      <c r="B767" s="11"/>
    </row>
    <row r="768" spans="1:2">
      <c r="A768" s="11"/>
      <c r="B768" s="11"/>
    </row>
    <row r="769" spans="1:2">
      <c r="A769" s="11"/>
      <c r="B769" s="11"/>
    </row>
    <row r="770" spans="1:2">
      <c r="A770" s="11"/>
      <c r="B770" s="11"/>
    </row>
    <row r="771" spans="1:2">
      <c r="A771" s="11"/>
      <c r="B771" s="11"/>
    </row>
    <row r="772" spans="1:2">
      <c r="A772" s="11"/>
      <c r="B772" s="11"/>
    </row>
    <row r="773" spans="1:2">
      <c r="A773" s="11"/>
      <c r="B773" s="11"/>
    </row>
    <row r="774" spans="1:2">
      <c r="A774" s="11"/>
      <c r="B774" s="11"/>
    </row>
    <row r="775" spans="1:2">
      <c r="A775" s="11"/>
      <c r="B775" s="11"/>
    </row>
    <row r="776" spans="1:2">
      <c r="A776" s="11"/>
      <c r="B776" s="11"/>
    </row>
    <row r="777" spans="1:2">
      <c r="A777" s="11"/>
      <c r="B777" s="11"/>
    </row>
    <row r="778" spans="1:2">
      <c r="A778" s="11"/>
      <c r="B778" s="11"/>
    </row>
    <row r="779" spans="1:2">
      <c r="A779" s="11"/>
      <c r="B779" s="11"/>
    </row>
    <row r="780" spans="1:2">
      <c r="A780" s="11"/>
      <c r="B780" s="11"/>
    </row>
    <row r="781" spans="1:2">
      <c r="A781" s="11"/>
      <c r="B781" s="11"/>
    </row>
    <row r="782" spans="1:2">
      <c r="A782" s="11"/>
      <c r="B782" s="11"/>
    </row>
    <row r="783" spans="1:2">
      <c r="A783" s="11"/>
      <c r="B783" s="11"/>
    </row>
    <row r="784" spans="1:2">
      <c r="A784" s="11"/>
      <c r="B784" s="11"/>
    </row>
    <row r="785" spans="1:2">
      <c r="A785" s="11"/>
      <c r="B785" s="11"/>
    </row>
    <row r="786" spans="1:2">
      <c r="A786" s="11"/>
      <c r="B786" s="11"/>
    </row>
    <row r="787" spans="1:2">
      <c r="A787" s="11"/>
      <c r="B787" s="11"/>
    </row>
    <row r="788" spans="1:2">
      <c r="A788" s="11"/>
      <c r="B788" s="11"/>
    </row>
    <row r="789" spans="1:2">
      <c r="A789" s="11"/>
      <c r="B789" s="11"/>
    </row>
    <row r="790" spans="1:2">
      <c r="A790" s="11"/>
      <c r="B790" s="11"/>
    </row>
    <row r="791" spans="1:2">
      <c r="A791" s="11"/>
      <c r="B791" s="11"/>
    </row>
    <row r="792" spans="1:2">
      <c r="A792" s="11"/>
      <c r="B792" s="11"/>
    </row>
    <row r="793" spans="1:2">
      <c r="A793" s="11"/>
      <c r="B793" s="11"/>
    </row>
    <row r="794" spans="1:2">
      <c r="A794" s="11"/>
      <c r="B794" s="11"/>
    </row>
    <row r="795" spans="1:2">
      <c r="A795" s="11"/>
      <c r="B795" s="11"/>
    </row>
    <row r="796" spans="1:2">
      <c r="A796" s="11"/>
      <c r="B796" s="11"/>
    </row>
    <row r="797" spans="1:2">
      <c r="A797" s="11"/>
      <c r="B797" s="11"/>
    </row>
    <row r="798" spans="1:2">
      <c r="A798" s="11"/>
      <c r="B798" s="11"/>
    </row>
    <row r="799" spans="1:2">
      <c r="A799" s="11"/>
      <c r="B799" s="11"/>
    </row>
    <row r="800" spans="1:2">
      <c r="A800" s="11"/>
      <c r="B800" s="11"/>
    </row>
    <row r="801" spans="1:2">
      <c r="A801" s="11"/>
      <c r="B801" s="11"/>
    </row>
    <row r="802" spans="1:2">
      <c r="A802" s="11"/>
      <c r="B802" s="11"/>
    </row>
    <row r="803" spans="1:2">
      <c r="A803" s="11"/>
      <c r="B803" s="11"/>
    </row>
    <row r="804" spans="1:2">
      <c r="A804" s="11"/>
      <c r="B804" s="11"/>
    </row>
    <row r="805" spans="1:2">
      <c r="A805" s="11"/>
      <c r="B805" s="11"/>
    </row>
    <row r="806" spans="1:2">
      <c r="A806" s="11"/>
      <c r="B806" s="11"/>
    </row>
    <row r="807" spans="1:2">
      <c r="A807" s="11"/>
      <c r="B807" s="11"/>
    </row>
    <row r="808" spans="1:2">
      <c r="A808" s="11"/>
      <c r="B808" s="11"/>
    </row>
    <row r="809" spans="1:2">
      <c r="A809" s="11"/>
      <c r="B809" s="11"/>
    </row>
    <row r="810" spans="1:2">
      <c r="A810" s="11"/>
      <c r="B810" s="11"/>
    </row>
    <row r="811" spans="1:2">
      <c r="A811" s="11"/>
      <c r="B811" s="11"/>
    </row>
    <row r="812" spans="1:2">
      <c r="A812" s="11"/>
      <c r="B812" s="11"/>
    </row>
    <row r="813" spans="1:2">
      <c r="A813" s="11"/>
      <c r="B813" s="11"/>
    </row>
    <row r="814" spans="1:2">
      <c r="A814" s="11"/>
      <c r="B814" s="11"/>
    </row>
    <row r="815" spans="1:2">
      <c r="A815" s="11"/>
      <c r="B815" s="11"/>
    </row>
    <row r="816" spans="1:2">
      <c r="A816" s="11"/>
      <c r="B816" s="11"/>
    </row>
    <row r="817" spans="1:2">
      <c r="A817" s="11"/>
      <c r="B817" s="11"/>
    </row>
    <row r="818" spans="1:2">
      <c r="A818" s="11"/>
      <c r="B818" s="11"/>
    </row>
    <row r="819" spans="1:2">
      <c r="A819" s="11"/>
      <c r="B819" s="11"/>
    </row>
    <row r="820" spans="1:2">
      <c r="A820" s="11"/>
      <c r="B820" s="11"/>
    </row>
    <row r="821" spans="1:2">
      <c r="A821" s="11"/>
      <c r="B821" s="11"/>
    </row>
    <row r="822" spans="1:2">
      <c r="A822" s="11"/>
      <c r="B822" s="11"/>
    </row>
    <row r="823" spans="1:2">
      <c r="A823" s="11"/>
      <c r="B823" s="11"/>
    </row>
    <row r="824" spans="1:2">
      <c r="A824" s="11"/>
      <c r="B824" s="11"/>
    </row>
    <row r="825" spans="1:2">
      <c r="A825" s="11"/>
      <c r="B825" s="11"/>
    </row>
    <row r="826" spans="1:2">
      <c r="A826" s="11"/>
      <c r="B826" s="11"/>
    </row>
    <row r="827" spans="1:2">
      <c r="A827" s="11"/>
      <c r="B827" s="11"/>
    </row>
    <row r="828" spans="1:2">
      <c r="A828" s="11"/>
      <c r="B828" s="11"/>
    </row>
    <row r="829" spans="1:2">
      <c r="A829" s="11"/>
      <c r="B829" s="11"/>
    </row>
    <row r="830" spans="1:2">
      <c r="A830" s="11"/>
      <c r="B830" s="11"/>
    </row>
    <row r="831" spans="1:2">
      <c r="A831" s="11"/>
      <c r="B831" s="11"/>
    </row>
    <row r="832" spans="1:2">
      <c r="A832" s="11"/>
      <c r="B832" s="11"/>
    </row>
    <row r="833" spans="1:2">
      <c r="A833" s="11"/>
      <c r="B833" s="11"/>
    </row>
    <row r="834" spans="1:2">
      <c r="A834" s="11"/>
      <c r="B834" s="11"/>
    </row>
    <row r="835" spans="1:2">
      <c r="A835" s="11"/>
      <c r="B835" s="11"/>
    </row>
    <row r="836" spans="1:2">
      <c r="A836" s="11"/>
      <c r="B836" s="11"/>
    </row>
    <row r="837" spans="1:2">
      <c r="A837" s="11"/>
      <c r="B837" s="11"/>
    </row>
    <row r="838" spans="1:2">
      <c r="A838" s="11"/>
      <c r="B838" s="11"/>
    </row>
    <row r="839" spans="1:2">
      <c r="A839" s="11"/>
      <c r="B839" s="11"/>
    </row>
    <row r="840" spans="1:2">
      <c r="A840" s="11"/>
      <c r="B840" s="11"/>
    </row>
    <row r="841" spans="1:2">
      <c r="A841" s="11"/>
      <c r="B841" s="11"/>
    </row>
    <row r="842" spans="1:2">
      <c r="A842" s="11"/>
      <c r="B842" s="11"/>
    </row>
    <row r="843" spans="1:2">
      <c r="A843" s="11"/>
      <c r="B843" s="11"/>
    </row>
    <row r="844" spans="1:2">
      <c r="A844" s="11"/>
      <c r="B844" s="11"/>
    </row>
    <row r="845" spans="1:2">
      <c r="A845" s="11"/>
      <c r="B845" s="11"/>
    </row>
    <row r="846" spans="1:2">
      <c r="A846" s="11"/>
      <c r="B846" s="11"/>
    </row>
    <row r="847" spans="1:2">
      <c r="A847" s="11"/>
      <c r="B847" s="11"/>
    </row>
    <row r="848" spans="1:2">
      <c r="A848" s="11"/>
      <c r="B848" s="11"/>
    </row>
    <row r="849" spans="1:2">
      <c r="A849" s="11"/>
      <c r="B849" s="11"/>
    </row>
    <row r="850" spans="1:2">
      <c r="A850" s="11"/>
      <c r="B850" s="11"/>
    </row>
    <row r="851" spans="1:2">
      <c r="A851" s="11"/>
      <c r="B851" s="11"/>
    </row>
    <row r="852" spans="1:2">
      <c r="A852" s="11"/>
      <c r="B852" s="11"/>
    </row>
    <row r="853" spans="1:2">
      <c r="A853" s="11"/>
      <c r="B853" s="11"/>
    </row>
    <row r="854" spans="1:2">
      <c r="A854" s="11"/>
      <c r="B854" s="11"/>
    </row>
    <row r="855" spans="1:2">
      <c r="A855" s="11"/>
      <c r="B855" s="11"/>
    </row>
    <row r="856" spans="1:2">
      <c r="A856" s="11"/>
      <c r="B856" s="11"/>
    </row>
    <row r="857" spans="1:2">
      <c r="A857" s="11"/>
      <c r="B857" s="11"/>
    </row>
    <row r="858" spans="1:2">
      <c r="A858" s="11"/>
      <c r="B858" s="11"/>
    </row>
    <row r="859" spans="1:2">
      <c r="A859" s="11"/>
      <c r="B859" s="11"/>
    </row>
    <row r="860" spans="1:2">
      <c r="A860" s="11"/>
      <c r="B860" s="11"/>
    </row>
    <row r="861" spans="1:2">
      <c r="A861" s="11"/>
      <c r="B861" s="11"/>
    </row>
    <row r="862" spans="1:2">
      <c r="A862" s="11"/>
      <c r="B862" s="11"/>
    </row>
    <row r="863" spans="1:2">
      <c r="A863" s="11"/>
      <c r="B863" s="11"/>
    </row>
    <row r="864" spans="1:2">
      <c r="A864" s="11"/>
      <c r="B864" s="11"/>
    </row>
    <row r="865" spans="1:2">
      <c r="A865" s="11"/>
      <c r="B865" s="11"/>
    </row>
    <row r="866" spans="1:2">
      <c r="A866" s="11"/>
      <c r="B866" s="11"/>
    </row>
    <row r="867" spans="1:2">
      <c r="A867" s="11"/>
      <c r="B867" s="11"/>
    </row>
    <row r="868" spans="1:2">
      <c r="A868" s="11"/>
      <c r="B868" s="11"/>
    </row>
    <row r="869" spans="1:2">
      <c r="A869" s="11"/>
      <c r="B869" s="11"/>
    </row>
    <row r="870" spans="1:2">
      <c r="A870" s="11"/>
      <c r="B870" s="11"/>
    </row>
    <row r="871" spans="1:2">
      <c r="A871" s="11"/>
      <c r="B871" s="11"/>
    </row>
    <row r="872" spans="1:2">
      <c r="A872" s="11"/>
      <c r="B872" s="11"/>
    </row>
    <row r="873" spans="1:2">
      <c r="A873" s="11"/>
      <c r="B873" s="11"/>
    </row>
    <row r="874" spans="1:2">
      <c r="A874" s="11"/>
      <c r="B874" s="11"/>
    </row>
    <row r="875" spans="1:2">
      <c r="A875" s="11"/>
      <c r="B875" s="11"/>
    </row>
    <row r="876" spans="1:2">
      <c r="A876" s="11"/>
      <c r="B876" s="11"/>
    </row>
    <row r="877" spans="1:2">
      <c r="A877" s="11"/>
      <c r="B877" s="11"/>
    </row>
    <row r="878" spans="1:2">
      <c r="A878" s="11"/>
      <c r="B878" s="11"/>
    </row>
    <row r="879" spans="1:2">
      <c r="A879" s="11"/>
      <c r="B879" s="11"/>
    </row>
    <row r="880" spans="1:2">
      <c r="A880" s="11"/>
      <c r="B880" s="11"/>
    </row>
    <row r="881" spans="1:2">
      <c r="A881" s="11"/>
      <c r="B881" s="11"/>
    </row>
    <row r="882" spans="1:2">
      <c r="A882" s="11"/>
      <c r="B882" s="11"/>
    </row>
    <row r="883" spans="1:2">
      <c r="A883" s="11"/>
      <c r="B883" s="11"/>
    </row>
    <row r="884" spans="1:2">
      <c r="A884" s="11"/>
      <c r="B884" s="11"/>
    </row>
    <row r="885" spans="1:2">
      <c r="A885" s="11"/>
      <c r="B885" s="11"/>
    </row>
    <row r="886" spans="1:2">
      <c r="A886" s="11"/>
      <c r="B886" s="11"/>
    </row>
    <row r="887" spans="1:2">
      <c r="A887" s="11"/>
      <c r="B887" s="11"/>
    </row>
    <row r="888" spans="1:2">
      <c r="A888" s="11"/>
      <c r="B888" s="11"/>
    </row>
    <row r="889" spans="1:2">
      <c r="A889" s="11"/>
      <c r="B889" s="11"/>
    </row>
    <row r="890" spans="1:2">
      <c r="A890" s="11"/>
      <c r="B890" s="11"/>
    </row>
    <row r="891" spans="1:2">
      <c r="A891" s="11"/>
      <c r="B891" s="11"/>
    </row>
    <row r="892" spans="1:2">
      <c r="A892" s="11"/>
      <c r="B892" s="11"/>
    </row>
    <row r="893" spans="1:2">
      <c r="A893" s="11"/>
      <c r="B893" s="11"/>
    </row>
    <row r="894" spans="1:2">
      <c r="A894" s="11"/>
      <c r="B894" s="11"/>
    </row>
    <row r="895" spans="1:2">
      <c r="A895" s="11"/>
      <c r="B895" s="11"/>
    </row>
    <row r="896" spans="1:2">
      <c r="A896" s="11"/>
      <c r="B896" s="11"/>
    </row>
    <row r="897" spans="1:2">
      <c r="A897" s="11"/>
      <c r="B897" s="11"/>
    </row>
    <row r="898" spans="1:2">
      <c r="A898" s="11"/>
      <c r="B898" s="11"/>
    </row>
    <row r="899" spans="1:2">
      <c r="A899" s="11"/>
      <c r="B899" s="11"/>
    </row>
    <row r="900" spans="1:2">
      <c r="A900" s="11"/>
      <c r="B900" s="11"/>
    </row>
    <row r="901" spans="1:2">
      <c r="A901" s="11"/>
      <c r="B901" s="11"/>
    </row>
    <row r="902" spans="1:2">
      <c r="A902" s="11"/>
      <c r="B902" s="11"/>
    </row>
    <row r="903" spans="1:2">
      <c r="A903" s="11"/>
      <c r="B903" s="11"/>
    </row>
    <row r="904" spans="1:2">
      <c r="A904" s="11"/>
      <c r="B904" s="11"/>
    </row>
    <row r="905" spans="1:2">
      <c r="A905" s="11"/>
      <c r="B905" s="11"/>
    </row>
    <row r="906" spans="1:2">
      <c r="A906" s="11"/>
      <c r="B906" s="11"/>
    </row>
    <row r="907" spans="1:2">
      <c r="A907" s="11"/>
      <c r="B907" s="11"/>
    </row>
    <row r="908" spans="1:2">
      <c r="A908" s="11"/>
      <c r="B908" s="11"/>
    </row>
    <row r="909" spans="1:2">
      <c r="A909" s="11"/>
      <c r="B909" s="11"/>
    </row>
    <row r="910" spans="1:2">
      <c r="A910" s="11"/>
      <c r="B910" s="11"/>
    </row>
    <row r="911" spans="1:2">
      <c r="A911" s="11"/>
      <c r="B911" s="11"/>
    </row>
    <row r="912" spans="1:2">
      <c r="A912" s="11"/>
      <c r="B912" s="11"/>
    </row>
    <row r="913" spans="1:2">
      <c r="A913" s="11"/>
      <c r="B913" s="11"/>
    </row>
    <row r="914" spans="1:2">
      <c r="A914" s="11"/>
      <c r="B914" s="11"/>
    </row>
    <row r="915" spans="1:2">
      <c r="A915" s="11"/>
      <c r="B915" s="11"/>
    </row>
    <row r="916" spans="1:2">
      <c r="A916" s="11"/>
      <c r="B916" s="11"/>
    </row>
    <row r="917" spans="1:2">
      <c r="A917" s="11"/>
      <c r="B917" s="11"/>
    </row>
    <row r="918" spans="1:2">
      <c r="A918" s="11"/>
      <c r="B918" s="11"/>
    </row>
    <row r="919" spans="1:2">
      <c r="A919" s="11"/>
      <c r="B919" s="11"/>
    </row>
    <row r="920" spans="1:2">
      <c r="A920" s="11"/>
      <c r="B920" s="11"/>
    </row>
    <row r="921" spans="1:2">
      <c r="A921" s="11"/>
      <c r="B921" s="11"/>
    </row>
    <row r="922" spans="1:2">
      <c r="A922" s="11"/>
      <c r="B922" s="11"/>
    </row>
    <row r="923" spans="1:2">
      <c r="A923" s="11"/>
      <c r="B923" s="11"/>
    </row>
    <row r="924" spans="1:2">
      <c r="A924" s="11"/>
      <c r="B924" s="11"/>
    </row>
    <row r="925" spans="1:2">
      <c r="A925" s="11"/>
      <c r="B925" s="11"/>
    </row>
    <row r="926" spans="1:2">
      <c r="A926" s="11"/>
      <c r="B926" s="11"/>
    </row>
    <row r="927" spans="1:2">
      <c r="A927" s="11"/>
      <c r="B927" s="11"/>
    </row>
    <row r="928" spans="1:2">
      <c r="A928" s="11"/>
      <c r="B928" s="11"/>
    </row>
    <row r="929" spans="1:2">
      <c r="A929" s="11"/>
      <c r="B929" s="11"/>
    </row>
    <row r="930" spans="1:2">
      <c r="A930" s="11"/>
      <c r="B930" s="11"/>
    </row>
    <row r="931" spans="1:2">
      <c r="A931" s="11"/>
      <c r="B931" s="11"/>
    </row>
    <row r="932" spans="1:2">
      <c r="A932" s="11"/>
      <c r="B932" s="11"/>
    </row>
    <row r="933" spans="1:2">
      <c r="A933" s="11"/>
      <c r="B933" s="11"/>
    </row>
    <row r="934" spans="1:2">
      <c r="A934" s="11"/>
      <c r="B934" s="11"/>
    </row>
    <row r="935" spans="1:2">
      <c r="A935" s="11"/>
      <c r="B935" s="11"/>
    </row>
    <row r="936" spans="1:2">
      <c r="A936" s="11"/>
      <c r="B936" s="11"/>
    </row>
    <row r="937" spans="1:2">
      <c r="A937" s="11"/>
      <c r="B937" s="11"/>
    </row>
    <row r="938" spans="1:2">
      <c r="A938" s="11"/>
      <c r="B938" s="11"/>
    </row>
    <row r="939" spans="1:2">
      <c r="A939" s="11"/>
      <c r="B939" s="11"/>
    </row>
    <row r="940" spans="1:2">
      <c r="A940" s="11"/>
      <c r="B940" s="11"/>
    </row>
    <row r="941" spans="1:2">
      <c r="A941" s="11"/>
      <c r="B941" s="11"/>
    </row>
    <row r="942" spans="1:2">
      <c r="A942" s="11"/>
      <c r="B942" s="11"/>
    </row>
    <row r="943" spans="1:2">
      <c r="A943" s="11"/>
      <c r="B943" s="11"/>
    </row>
    <row r="944" spans="1:2">
      <c r="A944" s="11"/>
      <c r="B944" s="11"/>
    </row>
    <row r="945" spans="1:2">
      <c r="A945" s="11"/>
      <c r="B945" s="11"/>
    </row>
    <row r="946" spans="1:2">
      <c r="A946" s="11"/>
      <c r="B946" s="11"/>
    </row>
    <row r="947" spans="1:2">
      <c r="A947" s="11"/>
      <c r="B947" s="11"/>
    </row>
    <row r="948" spans="1:2">
      <c r="A948" s="11"/>
      <c r="B948" s="11"/>
    </row>
    <row r="949" spans="1:2">
      <c r="A949" s="11"/>
      <c r="B949" s="11"/>
    </row>
    <row r="950" spans="1:2">
      <c r="A950" s="11"/>
      <c r="B950" s="11"/>
    </row>
    <row r="951" spans="1:2">
      <c r="A951" s="11"/>
      <c r="B951" s="11"/>
    </row>
    <row r="952" spans="1:2">
      <c r="A952" s="11"/>
      <c r="B952" s="11"/>
    </row>
    <row r="953" spans="1:2">
      <c r="A953" s="11"/>
      <c r="B953" s="11"/>
    </row>
    <row r="954" spans="1:2">
      <c r="A954" s="11"/>
      <c r="B954" s="11"/>
    </row>
    <row r="955" spans="1:2">
      <c r="A955" s="11"/>
      <c r="B955" s="11"/>
    </row>
    <row r="956" spans="1:2">
      <c r="A956" s="11"/>
      <c r="B956" s="11"/>
    </row>
    <row r="957" spans="1:2">
      <c r="A957" s="11"/>
      <c r="B957" s="11"/>
    </row>
    <row r="958" spans="1:2">
      <c r="A958" s="11"/>
      <c r="B958" s="11"/>
    </row>
    <row r="959" spans="1:2">
      <c r="A959" s="11"/>
      <c r="B959" s="11"/>
    </row>
    <row r="960" spans="1:2">
      <c r="A960" s="11"/>
      <c r="B960" s="11"/>
    </row>
    <row r="961" spans="1:2">
      <c r="A961" s="11"/>
      <c r="B961" s="11"/>
    </row>
    <row r="962" spans="1:2">
      <c r="A962" s="11"/>
      <c r="B962" s="11"/>
    </row>
    <row r="963" spans="1:2">
      <c r="A963" s="11"/>
      <c r="B963" s="11"/>
    </row>
    <row r="964" spans="1:2">
      <c r="A964" s="11"/>
      <c r="B964" s="11"/>
    </row>
    <row r="965" spans="1:2">
      <c r="A965" s="11"/>
      <c r="B965" s="11"/>
    </row>
    <row r="966" spans="1:2">
      <c r="A966" s="11"/>
      <c r="B966" s="11"/>
    </row>
    <row r="967" spans="1:2">
      <c r="A967" s="11"/>
      <c r="B967" s="11"/>
    </row>
    <row r="968" spans="1:2">
      <c r="A968" s="11"/>
      <c r="B968" s="11"/>
    </row>
    <row r="969" spans="1:2">
      <c r="A969" s="11"/>
      <c r="B969" s="11"/>
    </row>
    <row r="970" spans="1:2">
      <c r="A970" s="11"/>
      <c r="B970" s="11"/>
    </row>
    <row r="971" spans="1:2">
      <c r="A971" s="11"/>
      <c r="B971" s="11"/>
    </row>
    <row r="972" spans="1:2">
      <c r="A972" s="11"/>
      <c r="B972" s="11"/>
    </row>
    <row r="973" spans="1:2">
      <c r="A973" s="11"/>
      <c r="B973" s="11"/>
    </row>
    <row r="974" spans="1:2">
      <c r="A974" s="11"/>
      <c r="B974" s="11"/>
    </row>
    <row r="975" spans="1:2">
      <c r="A975" s="11"/>
      <c r="B975" s="11"/>
    </row>
    <row r="976" spans="1:2">
      <c r="A976" s="11"/>
      <c r="B976" s="11"/>
    </row>
    <row r="977" spans="1:2">
      <c r="A977" s="11"/>
      <c r="B977" s="11"/>
    </row>
    <row r="978" spans="1:2">
      <c r="A978" s="11"/>
      <c r="B978" s="11"/>
    </row>
    <row r="979" spans="1:2">
      <c r="A979" s="11"/>
      <c r="B979" s="11"/>
    </row>
    <row r="980" spans="1:2">
      <c r="A980" s="11"/>
      <c r="B980" s="11"/>
    </row>
    <row r="981" spans="1:2">
      <c r="A981" s="11"/>
      <c r="B981" s="11"/>
    </row>
    <row r="982" spans="1:2">
      <c r="A982" s="11"/>
      <c r="B982" s="11"/>
    </row>
    <row r="983" spans="1:2">
      <c r="A983" s="11"/>
      <c r="B983" s="11"/>
    </row>
    <row r="984" spans="1:2">
      <c r="A984" s="11"/>
      <c r="B984" s="11"/>
    </row>
    <row r="985" spans="1:2">
      <c r="A985" s="11"/>
      <c r="B985" s="11"/>
    </row>
    <row r="986" spans="1:2">
      <c r="A986" s="11"/>
      <c r="B986" s="11"/>
    </row>
    <row r="987" spans="1:2">
      <c r="A987" s="11"/>
      <c r="B987" s="11"/>
    </row>
    <row r="988" spans="1:2">
      <c r="A988" s="11"/>
      <c r="B988" s="11"/>
    </row>
    <row r="989" spans="1:2">
      <c r="A989" s="11"/>
      <c r="B989" s="11"/>
    </row>
    <row r="990" spans="1:2">
      <c r="A990" s="11"/>
      <c r="B990" s="11"/>
    </row>
    <row r="991" spans="1:2">
      <c r="A991" s="11"/>
      <c r="B991" s="11"/>
    </row>
    <row r="992" spans="1:2">
      <c r="A992" s="11"/>
      <c r="B992" s="11"/>
    </row>
    <row r="993" spans="1:2">
      <c r="A993" s="11"/>
      <c r="B993" s="11"/>
    </row>
    <row r="994" spans="1:2">
      <c r="A994" s="11"/>
      <c r="B994" s="11"/>
    </row>
    <row r="995" spans="1:2">
      <c r="A995" s="11"/>
      <c r="B995" s="11"/>
    </row>
    <row r="996" spans="1:2">
      <c r="A996" s="11"/>
      <c r="B996" s="11"/>
    </row>
    <row r="997" spans="1:2">
      <c r="A997" s="11"/>
      <c r="B997" s="11"/>
    </row>
    <row r="998" spans="1:2">
      <c r="A998" s="11"/>
      <c r="B998" s="11"/>
    </row>
    <row r="999" spans="1:2">
      <c r="A999" s="11"/>
      <c r="B999" s="11"/>
    </row>
    <row r="1000" spans="1:2">
      <c r="A1000" s="11"/>
      <c r="B1000" s="11"/>
    </row>
    <row r="1001" spans="1:2">
      <c r="A1001" s="11"/>
      <c r="B1001" s="11"/>
    </row>
    <row r="1002" spans="1:2">
      <c r="A1002" s="11"/>
      <c r="B1002" s="11"/>
    </row>
    <row r="1003" spans="1:2">
      <c r="A1003" s="11"/>
      <c r="B1003" s="11"/>
    </row>
    <row r="1004" spans="1:2">
      <c r="A1004" s="11"/>
      <c r="B1004" s="11"/>
    </row>
    <row r="1005" spans="1:2">
      <c r="A1005" s="11"/>
      <c r="B1005" s="11"/>
    </row>
    <row r="1006" spans="1:2">
      <c r="A1006" s="11"/>
      <c r="B1006" s="11"/>
    </row>
    <row r="1007" spans="1:2">
      <c r="A1007" s="11"/>
      <c r="B1007" s="11"/>
    </row>
    <row r="1008" spans="1:2">
      <c r="A1008" s="11"/>
      <c r="B1008" s="11"/>
    </row>
  </sheetData>
  <phoneticPr fontId="1" type="noConversion"/>
  <pageMargins left="0.75" right="0.75" top="1" bottom="1" header="0.51180555555555596" footer="0.51180555555555596"/>
  <pageSetup paperSize="9" orientation="portrait" r:id="rId1"/>
  <headerFooter alignWithMargins="0"/>
  <legacyDrawing r:id="rId2"/>
</worksheet>
</file>

<file path=xl/worksheets/sheet5.xml><?xml version="1.0" encoding="utf-8"?>
<worksheet xmlns="http://schemas.openxmlformats.org/spreadsheetml/2006/main" xmlns:r="http://schemas.openxmlformats.org/officeDocument/2006/relationships">
  <dimension ref="B1:S15"/>
  <sheetViews>
    <sheetView workbookViewId="0">
      <selection activeCell="D40" sqref="D40"/>
    </sheetView>
  </sheetViews>
  <sheetFormatPr defaultColWidth="9" defaultRowHeight="13.5"/>
  <cols>
    <col min="1" max="1" width="1.875" style="3" customWidth="1"/>
    <col min="2" max="2" width="26.75" style="3" bestFit="1" customWidth="1"/>
    <col min="3" max="3" width="27.25" style="3" bestFit="1" customWidth="1"/>
    <col min="4" max="4" width="13.875" style="3" bestFit="1" customWidth="1"/>
    <col min="5" max="5" width="10.375" style="3" customWidth="1"/>
    <col min="6" max="6" width="9" style="3"/>
    <col min="7" max="7" width="1.75" style="3" customWidth="1"/>
    <col min="8" max="8" width="45" style="3" bestFit="1" customWidth="1"/>
    <col min="9" max="9" width="1.5" style="3" customWidth="1"/>
    <col min="10" max="10" width="31.25" style="3" bestFit="1" customWidth="1"/>
    <col min="11" max="11" width="9" style="3"/>
    <col min="12" max="12" width="1.75" style="3" customWidth="1"/>
    <col min="13" max="13" width="98.375" style="3" bestFit="1" customWidth="1"/>
    <col min="14" max="14" width="9" style="3"/>
    <col min="15" max="15" width="1.75" style="3" customWidth="1"/>
    <col min="16" max="16" width="106.125" style="3" bestFit="1" customWidth="1"/>
    <col min="17" max="17" width="9" style="3"/>
    <col min="18" max="18" width="1.75" style="3" customWidth="1"/>
    <col min="19" max="19" width="50.625" style="3" bestFit="1" customWidth="1"/>
    <col min="20" max="16384" width="9" style="3"/>
  </cols>
  <sheetData>
    <row r="1" spans="2:19" ht="24.95" customHeight="1">
      <c r="B1" s="2" t="s">
        <v>42</v>
      </c>
      <c r="C1" s="2" t="s">
        <v>43</v>
      </c>
      <c r="D1" s="2" t="s">
        <v>44</v>
      </c>
    </row>
    <row r="2" spans="2:19" ht="15" customHeight="1">
      <c r="B2" s="6" t="s">
        <v>784</v>
      </c>
      <c r="C2" s="6" t="s">
        <v>45</v>
      </c>
      <c r="D2" s="7">
        <v>1</v>
      </c>
      <c r="E2" s="8"/>
      <c r="G2" s="9"/>
      <c r="H2" s="9" t="str">
        <f t="shared" ref="H2:H15" si="0">CONCATENATE("optional uint32 ",LOWER(C2))</f>
        <v>optional uint32 score_more_than</v>
      </c>
      <c r="I2" s="9"/>
      <c r="J2" s="9" t="str">
        <f t="shared" ref="J2:J15" si="1">CONCATENATE("= ",D2,"; //",B2)</f>
        <v>= 1; //领先%s%分</v>
      </c>
      <c r="L2" s="9"/>
      <c r="M2" s="9" t="str">
        <f>CONCATENATE(C2," = {ID = ",D2,", NAME = """,LOWER(C2),"""}, --",B2)</f>
        <v>SCORE_MORE_THAN = {ID = 1, NAME = "score_more_than"}, --领先%s%分</v>
      </c>
      <c r="O2" s="9"/>
      <c r="P2" s="9" t="str">
        <f>CONCATENATE("[CareerCondition.",C2,"] = mainInfo.",LOWER(C2),", --",B2)</f>
        <v>[CareerCondition.SCORE_MORE_THAN] = mainInfo.score_more_than, --领先%s%分</v>
      </c>
      <c r="R2" s="9"/>
      <c r="S2" s="9" t="str">
        <f>CONCATENATE(LOWER(C2)," = 0, --",B2)</f>
        <v>score_more_than = 0, --领先%s%分</v>
      </c>
    </row>
    <row r="3" spans="2:19" ht="15" customHeight="1">
      <c r="B3" s="6" t="s">
        <v>510</v>
      </c>
      <c r="C3" s="6" t="s">
        <v>46</v>
      </c>
      <c r="D3" s="7">
        <f>D2+1</f>
        <v>2</v>
      </c>
      <c r="E3" s="8"/>
      <c r="G3" s="9"/>
      <c r="H3" s="9" t="str">
        <f t="shared" si="0"/>
        <v>optional uint32 score_near</v>
      </c>
      <c r="I3" s="9"/>
      <c r="J3" s="9" t="str">
        <f t="shared" si="1"/>
        <v>= 2; //内线进球%s%个</v>
      </c>
      <c r="L3" s="9"/>
      <c r="M3" s="9" t="str">
        <f t="shared" ref="M3:M14" si="2">CONCATENATE(C3," = {ID = ",D3,", NAME = """,LOWER(C3),"""}, --",B3)</f>
        <v>SCORE_NEAR = {ID = 2, NAME = "score_near"}, --内线进球%s%个</v>
      </c>
      <c r="O3" s="9"/>
      <c r="P3" s="9" t="str">
        <f t="shared" ref="P3:P15" si="3">CONCATENATE("[CareerCondition.",C3,"] = mainInfo.",LOWER(C3),", --",B3)</f>
        <v>[CareerCondition.SCORE_NEAR] = mainInfo.score_near, --内线进球%s%个</v>
      </c>
      <c r="R3" s="9"/>
      <c r="S3" s="9" t="str">
        <f t="shared" ref="S3:S15" si="4">CONCATENATE(LOWER(C3)," = 0, --",B3)</f>
        <v>score_near = 0, --内线进球%s%个</v>
      </c>
    </row>
    <row r="4" spans="2:19" ht="15" customHeight="1">
      <c r="B4" s="6" t="s">
        <v>511</v>
      </c>
      <c r="C4" s="6" t="s">
        <v>47</v>
      </c>
      <c r="D4" s="7">
        <f t="shared" ref="D4:D15" si="5">D3+1</f>
        <v>3</v>
      </c>
      <c r="E4" s="8"/>
      <c r="G4" s="9"/>
      <c r="H4" s="9" t="str">
        <f t="shared" si="0"/>
        <v>optional uint32 score_middle</v>
      </c>
      <c r="I4" s="9"/>
      <c r="J4" s="9" t="str">
        <f t="shared" si="1"/>
        <v>= 3; //中投进球%s%个</v>
      </c>
      <c r="L4" s="9"/>
      <c r="M4" s="9" t="str">
        <f t="shared" si="2"/>
        <v>SCORE_MIDDLE = {ID = 3, NAME = "score_middle"}, --中投进球%s%个</v>
      </c>
      <c r="O4" s="9"/>
      <c r="P4" s="9" t="str">
        <f t="shared" si="3"/>
        <v>[CareerCondition.SCORE_MIDDLE] = mainInfo.score_middle, --中投进球%s%个</v>
      </c>
      <c r="R4" s="9"/>
      <c r="S4" s="9" t="str">
        <f t="shared" si="4"/>
        <v>score_middle = 0, --中投进球%s%个</v>
      </c>
    </row>
    <row r="5" spans="2:19" ht="15" customHeight="1">
      <c r="B5" s="6" t="s">
        <v>512</v>
      </c>
      <c r="C5" s="6" t="s">
        <v>48</v>
      </c>
      <c r="D5" s="7">
        <f t="shared" si="5"/>
        <v>4</v>
      </c>
      <c r="E5" s="8"/>
      <c r="G5" s="9"/>
      <c r="H5" s="9" t="str">
        <f t="shared" si="0"/>
        <v>optional uint32 score_shoot_far</v>
      </c>
      <c r="I5" s="9"/>
      <c r="J5" s="9" t="str">
        <f t="shared" si="1"/>
        <v>= 4; //三分达到%s%个</v>
      </c>
      <c r="L5" s="9"/>
      <c r="M5" s="9" t="str">
        <f t="shared" si="2"/>
        <v>SCORE_SHOOT_FAR = {ID = 4, NAME = "score_shoot_far"}, --三分达到%s%个</v>
      </c>
      <c r="O5" s="9"/>
      <c r="P5" s="9" t="str">
        <f t="shared" si="3"/>
        <v>[CareerCondition.SCORE_SHOOT_FAR] = mainInfo.score_shoot_far, --三分达到%s%个</v>
      </c>
      <c r="R5" s="9"/>
      <c r="S5" s="9" t="str">
        <f t="shared" si="4"/>
        <v>score_shoot_far = 0, --三分达到%s%个</v>
      </c>
    </row>
    <row r="6" spans="2:19" ht="15" customHeight="1">
      <c r="B6" s="6" t="s">
        <v>517</v>
      </c>
      <c r="C6" s="6" t="s">
        <v>49</v>
      </c>
      <c r="D6" s="7">
        <f t="shared" si="5"/>
        <v>5</v>
      </c>
      <c r="E6" s="8"/>
      <c r="G6" s="9"/>
      <c r="H6" s="9" t="str">
        <f t="shared" si="0"/>
        <v>optional uint32 score_total</v>
      </c>
      <c r="I6" s="9"/>
      <c r="J6" s="9" t="str">
        <f t="shared" si="1"/>
        <v>= 5; //获得%s%分</v>
      </c>
      <c r="L6" s="9"/>
      <c r="M6" s="9" t="str">
        <f t="shared" si="2"/>
        <v>SCORE_TOTAL = {ID = 5, NAME = "score_total"}, --获得%s%分</v>
      </c>
      <c r="O6" s="9"/>
      <c r="P6" s="9" t="str">
        <f t="shared" si="3"/>
        <v>[CareerCondition.SCORE_TOTAL] = mainInfo.score_total, --获得%s%分</v>
      </c>
      <c r="R6" s="9"/>
      <c r="S6" s="9" t="str">
        <f t="shared" si="4"/>
        <v>score_total = 0, --获得%s%分</v>
      </c>
    </row>
    <row r="7" spans="2:19" ht="15" customHeight="1">
      <c r="B7" s="6" t="s">
        <v>517</v>
      </c>
      <c r="C7" s="6" t="s">
        <v>50</v>
      </c>
      <c r="D7" s="7">
        <f t="shared" si="5"/>
        <v>6</v>
      </c>
      <c r="E7" s="8"/>
      <c r="G7" s="9"/>
      <c r="H7" s="9" t="str">
        <f t="shared" si="0"/>
        <v>optional uint32 rebound</v>
      </c>
      <c r="I7" s="9"/>
      <c r="J7" s="9" t="str">
        <f t="shared" si="1"/>
        <v>= 6; //获得%s%分</v>
      </c>
      <c r="L7" s="9"/>
      <c r="M7" s="9" t="str">
        <f t="shared" si="2"/>
        <v>REBOUND = {ID = 6, NAME = "rebound"}, --获得%s%分</v>
      </c>
      <c r="O7" s="9"/>
      <c r="P7" s="9" t="str">
        <f t="shared" si="3"/>
        <v>[CareerCondition.REBOUND] = mainInfo.rebound, --获得%s%分</v>
      </c>
      <c r="R7" s="9"/>
      <c r="S7" s="9" t="str">
        <f t="shared" si="4"/>
        <v>rebound = 0, --获得%s%分</v>
      </c>
    </row>
    <row r="8" spans="2:19" ht="15" customHeight="1">
      <c r="B8" s="6" t="s">
        <v>517</v>
      </c>
      <c r="C8" s="6" t="s">
        <v>51</v>
      </c>
      <c r="D8" s="7">
        <f t="shared" si="5"/>
        <v>7</v>
      </c>
      <c r="E8" s="8"/>
      <c r="G8" s="9"/>
      <c r="H8" s="9" t="str">
        <f t="shared" si="0"/>
        <v>optional uint32 block</v>
      </c>
      <c r="I8" s="9"/>
      <c r="J8" s="9" t="str">
        <f t="shared" si="1"/>
        <v>= 7; //获得%s%分</v>
      </c>
      <c r="L8" s="9"/>
      <c r="M8" s="9" t="str">
        <f t="shared" si="2"/>
        <v>BLOCK = {ID = 7, NAME = "block"}, --获得%s%分</v>
      </c>
      <c r="O8" s="9"/>
      <c r="P8" s="9" t="str">
        <f t="shared" si="3"/>
        <v>[CareerCondition.BLOCK] = mainInfo.block, --获得%s%分</v>
      </c>
      <c r="R8" s="9"/>
      <c r="S8" s="9" t="str">
        <f t="shared" si="4"/>
        <v>block = 0, --获得%s%分</v>
      </c>
    </row>
    <row r="9" spans="2:19" ht="15" customHeight="1">
      <c r="B9" s="6" t="s">
        <v>513</v>
      </c>
      <c r="C9" s="6" t="s">
        <v>52</v>
      </c>
      <c r="D9" s="7">
        <f t="shared" si="5"/>
        <v>8</v>
      </c>
      <c r="E9" s="8"/>
      <c r="G9" s="9"/>
      <c r="H9" s="9" t="str">
        <f t="shared" si="0"/>
        <v>optional uint32 assist</v>
      </c>
      <c r="I9" s="9"/>
      <c r="J9" s="9" t="str">
        <f t="shared" si="1"/>
        <v>= 8; //助攻达到%s%个</v>
      </c>
      <c r="L9" s="9"/>
      <c r="M9" s="9" t="str">
        <f t="shared" si="2"/>
        <v>ASSIST = {ID = 8, NAME = "assist"}, --助攻达到%s%个</v>
      </c>
      <c r="O9" s="9"/>
      <c r="P9" s="9" t="str">
        <f t="shared" si="3"/>
        <v>[CareerCondition.ASSIST] = mainInfo.assist, --助攻达到%s%个</v>
      </c>
      <c r="R9" s="9"/>
      <c r="S9" s="9" t="str">
        <f t="shared" si="4"/>
        <v>assist = 0, --助攻达到%s%个</v>
      </c>
    </row>
    <row r="10" spans="2:19" ht="15" customHeight="1">
      <c r="B10" s="6" t="s">
        <v>514</v>
      </c>
      <c r="C10" s="6" t="s">
        <v>53</v>
      </c>
      <c r="D10" s="7">
        <f t="shared" si="5"/>
        <v>9</v>
      </c>
      <c r="E10" s="8"/>
      <c r="G10" s="9"/>
      <c r="H10" s="9" t="str">
        <f t="shared" si="0"/>
        <v>optional uint32 steal</v>
      </c>
      <c r="I10" s="9"/>
      <c r="J10" s="9" t="str">
        <f t="shared" si="1"/>
        <v>= 9; //抢断达到%s%个</v>
      </c>
      <c r="L10" s="9"/>
      <c r="M10" s="9" t="str">
        <f t="shared" si="2"/>
        <v>STEAL = {ID = 9, NAME = "steal"}, --抢断达到%s%个</v>
      </c>
      <c r="O10" s="9"/>
      <c r="P10" s="9" t="str">
        <f t="shared" si="3"/>
        <v>[CareerCondition.STEAL] = mainInfo.steal, --抢断达到%s%个</v>
      </c>
      <c r="R10" s="9"/>
      <c r="S10" s="9" t="str">
        <f t="shared" si="4"/>
        <v>steal = 0, --抢断达到%s%个</v>
      </c>
    </row>
    <row r="11" spans="2:19" ht="15" customHeight="1">
      <c r="B11" s="6" t="s">
        <v>515</v>
      </c>
      <c r="C11" s="6" t="s">
        <v>54</v>
      </c>
      <c r="D11" s="7">
        <f t="shared" si="5"/>
        <v>10</v>
      </c>
      <c r="E11" s="8"/>
      <c r="G11" s="9"/>
      <c r="H11" s="9" t="str">
        <f t="shared" si="0"/>
        <v>optional uint32 skill_use</v>
      </c>
      <c r="I11" s="9"/>
      <c r="J11" s="9" t="str">
        <f t="shared" si="1"/>
        <v>= 10; //使用花式%s%次</v>
      </c>
      <c r="L11" s="9"/>
      <c r="M11" s="9" t="str">
        <f t="shared" si="2"/>
        <v>SKILL_USE = {ID = 10, NAME = "skill_use"}, --使用花式%s%次</v>
      </c>
      <c r="O11" s="9"/>
      <c r="P11" s="9" t="str">
        <f t="shared" si="3"/>
        <v>[CareerCondition.SKILL_USE] = mainInfo.skill_use, --使用花式%s%次</v>
      </c>
      <c r="R11" s="9"/>
      <c r="S11" s="9" t="str">
        <f t="shared" si="4"/>
        <v>skill_use = 0, --使用花式%s%次</v>
      </c>
    </row>
    <row r="12" spans="2:19" ht="15" customHeight="1">
      <c r="B12" s="6" t="s">
        <v>516</v>
      </c>
      <c r="C12" s="6" t="s">
        <v>55</v>
      </c>
      <c r="D12" s="7">
        <f t="shared" si="5"/>
        <v>11</v>
      </c>
      <c r="E12" s="8"/>
      <c r="G12" s="9"/>
      <c r="H12" s="9" t="str">
        <f t="shared" si="0"/>
        <v>optional uint32 win</v>
      </c>
      <c r="I12" s="9"/>
      <c r="J12" s="9" t="str">
        <f t="shared" si="1"/>
        <v>= 11; //胜利</v>
      </c>
      <c r="L12" s="9"/>
      <c r="M12" s="9" t="str">
        <f t="shared" si="2"/>
        <v>WIN = {ID = 11, NAME = "win"}, --胜利</v>
      </c>
      <c r="O12" s="9"/>
      <c r="P12" s="9" t="str">
        <f t="shared" si="3"/>
        <v>[CareerCondition.WIN] = mainInfo.win, --胜利</v>
      </c>
      <c r="R12" s="9"/>
      <c r="S12" s="9" t="str">
        <f t="shared" si="4"/>
        <v>win = 0, --胜利</v>
      </c>
    </row>
    <row r="13" spans="2:19" ht="15" customHeight="1">
      <c r="B13" s="6" t="s">
        <v>509</v>
      </c>
      <c r="C13" s="6" t="s">
        <v>56</v>
      </c>
      <c r="D13" s="7">
        <f t="shared" si="5"/>
        <v>12</v>
      </c>
      <c r="E13" s="8"/>
      <c r="G13" s="9"/>
      <c r="H13" s="9" t="str">
        <f t="shared" si="0"/>
        <v>optional uint32 opposite_score_near</v>
      </c>
      <c r="I13" s="9"/>
      <c r="J13" s="9" t="str">
        <f t="shared" si="1"/>
        <v>= 12; //对方内线得分小于%s%分</v>
      </c>
      <c r="L13" s="9"/>
      <c r="M13" s="9" t="str">
        <f t="shared" si="2"/>
        <v>OPPOSITE_SCORE_NEAR = {ID = 12, NAME = "opposite_score_near"}, --对方内线得分小于%s%分</v>
      </c>
      <c r="O13" s="9"/>
      <c r="P13" s="9" t="str">
        <f t="shared" si="3"/>
        <v>[CareerCondition.OPPOSITE_SCORE_NEAR] = mainInfo.opposite_score_near, --对方内线得分小于%s%分</v>
      </c>
      <c r="R13" s="9"/>
      <c r="S13" s="9" t="str">
        <f t="shared" si="4"/>
        <v>opposite_score_near = 0, --对方内线得分小于%s%分</v>
      </c>
    </row>
    <row r="14" spans="2:19" ht="15" customHeight="1">
      <c r="B14" s="6" t="s">
        <v>64</v>
      </c>
      <c r="C14" s="6" t="s">
        <v>57</v>
      </c>
      <c r="D14" s="7">
        <f t="shared" si="5"/>
        <v>13</v>
      </c>
      <c r="E14" s="8"/>
      <c r="G14" s="9"/>
      <c r="H14" s="9" t="str">
        <f t="shared" si="0"/>
        <v>optional uint32 opposite_score_middle</v>
      </c>
      <c r="I14" s="9"/>
      <c r="J14" s="9" t="str">
        <f t="shared" si="1"/>
        <v>= 13; //对方中投得分小于%s%分</v>
      </c>
      <c r="L14" s="9"/>
      <c r="M14" s="9" t="str">
        <f t="shared" si="2"/>
        <v>OPPOSITE_SCORE_MIDDLE = {ID = 13, NAME = "opposite_score_middle"}, --对方中投得分小于%s%分</v>
      </c>
      <c r="O14" s="9"/>
      <c r="P14" s="9" t="str">
        <f t="shared" si="3"/>
        <v>[CareerCondition.OPPOSITE_SCORE_MIDDLE] = mainInfo.opposite_score_middle, --对方中投得分小于%s%分</v>
      </c>
      <c r="R14" s="9"/>
      <c r="S14" s="9" t="str">
        <f t="shared" si="4"/>
        <v>opposite_score_middle = 0, --对方中投得分小于%s%分</v>
      </c>
    </row>
    <row r="15" spans="2:19" ht="15" customHeight="1">
      <c r="B15" s="6" t="s">
        <v>65</v>
      </c>
      <c r="C15" s="6" t="s">
        <v>58</v>
      </c>
      <c r="D15" s="7">
        <f t="shared" si="5"/>
        <v>14</v>
      </c>
      <c r="E15" s="8"/>
      <c r="G15" s="9"/>
      <c r="H15" s="9" t="str">
        <f t="shared" si="0"/>
        <v>optional uint32 opposite_score_shoot_far</v>
      </c>
      <c r="I15" s="9"/>
      <c r="J15" s="9" t="str">
        <f t="shared" si="1"/>
        <v>= 14; //对方三分球得分小于%s%分</v>
      </c>
      <c r="L15" s="9"/>
      <c r="M15" s="9" t="str">
        <f>CONCATENATE(C15," = {ID = ",D15,", NAME = """,LOWER(C15),"""}, --",B15)</f>
        <v>OPPOSITE_SCORE_SHOOT_FAR = {ID = 14, NAME = "opposite_score_shoot_far"}, --对方三分球得分小于%s%分</v>
      </c>
      <c r="O15" s="9"/>
      <c r="P15" s="9" t="str">
        <f t="shared" si="3"/>
        <v>[CareerCondition.OPPOSITE_SCORE_SHOOT_FAR] = mainInfo.opposite_score_shoot_far, --对方三分球得分小于%s%分</v>
      </c>
      <c r="R15" s="9"/>
      <c r="S15" s="9" t="str">
        <f t="shared" si="4"/>
        <v>opposite_score_shoot_far = 0, --对方三分球得分小于%s%分</v>
      </c>
    </row>
  </sheetData>
  <phoneticPr fontId="1" type="noConversion"/>
  <pageMargins left="0.69930555555555596" right="0.69930555555555596" top="0.75" bottom="0.75" header="0.3" footer="0.3"/>
  <pageSetup paperSize="9"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dimension ref="A1:D17"/>
  <sheetViews>
    <sheetView workbookViewId="0">
      <selection activeCell="E2" sqref="E2"/>
    </sheetView>
  </sheetViews>
  <sheetFormatPr defaultRowHeight="13.5"/>
  <cols>
    <col min="2" max="2" width="14.25" style="26" customWidth="1"/>
    <col min="3" max="3" width="13.875" style="26" bestFit="1" customWidth="1"/>
    <col min="4" max="4" width="9" style="26"/>
  </cols>
  <sheetData>
    <row r="1" spans="1:4" ht="24.95" customHeight="1">
      <c r="A1" s="30" t="s">
        <v>449</v>
      </c>
      <c r="B1" s="24" t="s">
        <v>77</v>
      </c>
      <c r="C1" s="24" t="s">
        <v>78</v>
      </c>
      <c r="D1" s="24" t="s">
        <v>79</v>
      </c>
    </row>
    <row r="2" spans="1:4" ht="15" customHeight="1">
      <c r="A2" s="30"/>
      <c r="B2" s="25">
        <v>1</v>
      </c>
      <c r="C2" s="25">
        <v>1</v>
      </c>
      <c r="D2" s="68">
        <v>30</v>
      </c>
    </row>
    <row r="3" spans="1:4" ht="15" customHeight="1">
      <c r="A3" s="30"/>
      <c r="B3" s="25">
        <v>2</v>
      </c>
      <c r="C3" s="25">
        <v>1</v>
      </c>
      <c r="D3" s="68">
        <v>30</v>
      </c>
    </row>
    <row r="4" spans="1:4" ht="15" customHeight="1">
      <c r="A4" s="30"/>
      <c r="B4" s="25">
        <v>3</v>
      </c>
      <c r="C4" s="25">
        <v>1</v>
      </c>
      <c r="D4" s="68">
        <v>50</v>
      </c>
    </row>
    <row r="5" spans="1:4" ht="15" customHeight="1">
      <c r="A5" s="30"/>
      <c r="B5" s="25">
        <v>4</v>
      </c>
      <c r="C5" s="25">
        <v>1</v>
      </c>
      <c r="D5" s="68">
        <v>50</v>
      </c>
    </row>
    <row r="6" spans="1:4" ht="15" customHeight="1">
      <c r="A6" s="30"/>
      <c r="B6" s="25">
        <v>5</v>
      </c>
      <c r="C6" s="25">
        <v>1</v>
      </c>
      <c r="D6" s="68">
        <v>50</v>
      </c>
    </row>
    <row r="7" spans="1:4" ht="15" customHeight="1">
      <c r="A7" s="30"/>
      <c r="B7" s="25">
        <v>6</v>
      </c>
      <c r="C7" s="25">
        <v>1</v>
      </c>
      <c r="D7" s="68">
        <v>100</v>
      </c>
    </row>
    <row r="8" spans="1:4" ht="15" customHeight="1">
      <c r="A8" s="30"/>
      <c r="B8" s="25">
        <v>7</v>
      </c>
      <c r="C8" s="25">
        <v>1</v>
      </c>
      <c r="D8" s="68">
        <v>100</v>
      </c>
    </row>
    <row r="9" spans="1:4" ht="15" customHeight="1">
      <c r="A9" s="30"/>
      <c r="B9" s="25">
        <v>8</v>
      </c>
      <c r="C9" s="25">
        <v>1</v>
      </c>
      <c r="D9" s="68">
        <v>100</v>
      </c>
    </row>
    <row r="10" spans="1:4" ht="15" customHeight="1">
      <c r="A10" s="30"/>
      <c r="B10" s="25">
        <v>9</v>
      </c>
      <c r="C10" s="25">
        <v>1</v>
      </c>
      <c r="D10" s="68">
        <v>200</v>
      </c>
    </row>
    <row r="11" spans="1:4" ht="15" customHeight="1">
      <c r="A11" s="30"/>
      <c r="B11" s="25">
        <v>10</v>
      </c>
      <c r="C11" s="25">
        <v>1</v>
      </c>
      <c r="D11" s="68">
        <v>200</v>
      </c>
    </row>
    <row r="12" spans="1:4" ht="16.5">
      <c r="B12" s="25">
        <v>11</v>
      </c>
      <c r="C12" s="25">
        <v>1</v>
      </c>
      <c r="D12" s="68">
        <v>200</v>
      </c>
    </row>
    <row r="13" spans="1:4" ht="16.5">
      <c r="B13" s="25">
        <v>12</v>
      </c>
      <c r="C13" s="25">
        <v>1</v>
      </c>
      <c r="D13" s="68">
        <v>300</v>
      </c>
    </row>
    <row r="14" spans="1:4" ht="16.5">
      <c r="B14" s="25">
        <v>13</v>
      </c>
      <c r="C14" s="25">
        <v>1</v>
      </c>
      <c r="D14" s="68">
        <v>300</v>
      </c>
    </row>
    <row r="15" spans="1:4" ht="16.5">
      <c r="B15" s="25">
        <v>14</v>
      </c>
      <c r="C15" s="25">
        <v>1</v>
      </c>
      <c r="D15" s="68">
        <v>300</v>
      </c>
    </row>
    <row r="16" spans="1:4" ht="16.5">
      <c r="B16" s="25">
        <v>15</v>
      </c>
      <c r="C16" s="25">
        <v>1</v>
      </c>
      <c r="D16" s="68">
        <v>400</v>
      </c>
    </row>
    <row r="17" spans="2:4" ht="16.5">
      <c r="B17" s="25">
        <v>16</v>
      </c>
      <c r="C17" s="25">
        <v>1</v>
      </c>
      <c r="D17" s="68">
        <v>400</v>
      </c>
    </row>
  </sheetData>
  <phoneticPr fontId="1" type="noConversion"/>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6</vt:i4>
      </vt:variant>
      <vt:variant>
        <vt:lpstr>命名范围</vt:lpstr>
      </vt:variant>
      <vt:variant>
        <vt:i4>2</vt:i4>
      </vt:variant>
    </vt:vector>
  </HeadingPairs>
  <TitlesOfParts>
    <vt:vector size="8" baseType="lpstr">
      <vt:lpstr>Chapter</vt:lpstr>
      <vt:lpstr>Section</vt:lpstr>
      <vt:lpstr>CareerAwardLib</vt:lpstr>
      <vt:lpstr>Plot</vt:lpstr>
      <vt:lpstr>StarCondition</vt:lpstr>
      <vt:lpstr>SectionResetTimes</vt:lpstr>
      <vt:lpstr>Plot!OLE_LINK460</vt:lpstr>
      <vt:lpstr>Chapter!OLE_LINK561</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Administrator</cp:lastModifiedBy>
  <dcterms:created xsi:type="dcterms:W3CDTF">2006-09-13T11:21:51Z</dcterms:created>
  <dcterms:modified xsi:type="dcterms:W3CDTF">2016-06-13T07:45:07Z</dcterms:modified>
</cp:coreProperties>
</file>