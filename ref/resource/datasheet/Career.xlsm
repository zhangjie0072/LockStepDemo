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00000000-0000-0000-0000-000000000000}"/>
  <workbookPr codeName="ThisWorkbook" defaultThemeVersion="124226"/>
  <bookViews>
    <workbookView xWindow="2655" yWindow="105" windowWidth="19200" windowHeight="11640"/>
  </bookViews>
  <sheets>
    <sheet name="Chapter" sheetId="1" r:id="rId1"/>
    <sheet name="Section" sheetId="2" r:id="rId2"/>
    <sheet name="CareerAwardLib" sheetId="3" r:id="rId3"/>
    <sheet name="Plot" sheetId="7" r:id="rId4"/>
    <sheet name="StarCondition" sheetId="11" r:id="rId5"/>
    <sheet name="SectionResetTimes" sheetId="12" r:id="rId6"/>
  </sheets>
  <definedNames>
    <definedName name="_xlnm._FilterDatabase" localSheetId="2" hidden="1">CareerAwardLib!$J$1:$K$91</definedName>
    <definedName name="_xlnm._FilterDatabase" localSheetId="1" hidden="1">Section!$A$1:$FK$127</definedName>
    <definedName name="OLE_LINK100" localSheetId="3">Plot!#REF!</definedName>
    <definedName name="OLE_LINK104" localSheetId="3">Plot!#REF!</definedName>
    <definedName name="OLE_LINK112" localSheetId="3">Plot!#REF!</definedName>
    <definedName name="OLE_LINK114" localSheetId="3">Plot!#REF!</definedName>
    <definedName name="OLE_LINK116" localSheetId="1">Section!#REF!</definedName>
    <definedName name="OLE_LINK124" localSheetId="3">Plot!#REF!</definedName>
    <definedName name="OLE_LINK131" localSheetId="3">Plot!#REF!</definedName>
    <definedName name="OLE_LINK140" localSheetId="3">Plot!#REF!</definedName>
    <definedName name="OLE_LINK154" localSheetId="3">Plot!#REF!</definedName>
    <definedName name="OLE_LINK160" localSheetId="3">Plot!#REF!</definedName>
    <definedName name="OLE_LINK162" localSheetId="3">Plot!#REF!</definedName>
    <definedName name="OLE_LINK164" localSheetId="3">Plot!#REF!</definedName>
    <definedName name="OLE_LINK166" localSheetId="3">Plot!#REF!</definedName>
    <definedName name="OLE_LINK168" localSheetId="3">Plot!#REF!</definedName>
    <definedName name="OLE_LINK170" localSheetId="3">Plot!#REF!</definedName>
    <definedName name="OLE_LINK172" localSheetId="1">Section!#REF!</definedName>
    <definedName name="OLE_LINK174" localSheetId="3">Plot!#REF!</definedName>
    <definedName name="OLE_LINK178" localSheetId="3">Plot!#REF!</definedName>
    <definedName name="OLE_LINK182" localSheetId="3">Plot!#REF!</definedName>
    <definedName name="OLE_LINK186" localSheetId="3">Plot!#REF!</definedName>
    <definedName name="OLE_LINK187" localSheetId="3">Plot!#REF!</definedName>
    <definedName name="OLE_LINK193" localSheetId="3">Plot!#REF!</definedName>
    <definedName name="OLE_LINK198" localSheetId="3">Plot!#REF!</definedName>
    <definedName name="OLE_LINK200" localSheetId="3">Plot!#REF!</definedName>
    <definedName name="OLE_LINK203" localSheetId="3">Plot!#REF!</definedName>
    <definedName name="OLE_LINK205" localSheetId="3">Plot!#REF!</definedName>
    <definedName name="OLE_LINK207" localSheetId="3">Plot!#REF!</definedName>
    <definedName name="OLE_LINK209" localSheetId="3">Plot!#REF!</definedName>
    <definedName name="OLE_LINK211" localSheetId="3">Plot!#REF!</definedName>
    <definedName name="OLE_LINK213" localSheetId="3">Plot!#REF!</definedName>
    <definedName name="OLE_LINK219" localSheetId="3">Plot!#REF!</definedName>
    <definedName name="OLE_LINK22" localSheetId="3">Plot!#REF!</definedName>
    <definedName name="OLE_LINK222" localSheetId="3">Plot!#REF!</definedName>
    <definedName name="OLE_LINK224" localSheetId="3">Plot!#REF!</definedName>
    <definedName name="OLE_LINK228" localSheetId="3">Plot!#REF!</definedName>
    <definedName name="OLE_LINK230" localSheetId="3">Plot!#REF!</definedName>
    <definedName name="OLE_LINK232" localSheetId="3">Plot!#REF!</definedName>
    <definedName name="OLE_LINK238" localSheetId="3">Plot!#REF!</definedName>
    <definedName name="OLE_LINK24" localSheetId="3">Plot!#REF!</definedName>
    <definedName name="OLE_LINK240" localSheetId="3">Plot!#REF!</definedName>
    <definedName name="OLE_LINK242" localSheetId="3">Plot!#REF!</definedName>
    <definedName name="OLE_LINK244" localSheetId="3">Plot!#REF!</definedName>
    <definedName name="OLE_LINK256" localSheetId="3">Plot!#REF!</definedName>
    <definedName name="OLE_LINK266" localSheetId="3">Plot!#REF!</definedName>
    <definedName name="OLE_LINK272" localSheetId="3">Plot!#REF!</definedName>
    <definedName name="OLE_LINK274" localSheetId="3">Plot!#REF!</definedName>
    <definedName name="OLE_LINK280" localSheetId="3">Plot!#REF!</definedName>
    <definedName name="OLE_LINK282" localSheetId="3">Plot!#REF!</definedName>
    <definedName name="OLE_LINK286" localSheetId="3">Plot!#REF!</definedName>
    <definedName name="OLE_LINK288" localSheetId="3">Plot!#REF!</definedName>
    <definedName name="OLE_LINK296" localSheetId="3">Plot!#REF!</definedName>
    <definedName name="OLE_LINK298" localSheetId="3">Plot!#REF!</definedName>
    <definedName name="OLE_LINK30" localSheetId="3">Plot!#REF!</definedName>
    <definedName name="OLE_LINK304" localSheetId="3">Plot!#REF!</definedName>
    <definedName name="OLE_LINK308" localSheetId="3">Plot!#REF!</definedName>
    <definedName name="OLE_LINK310" localSheetId="3">Plot!#REF!</definedName>
    <definedName name="OLE_LINK312" localSheetId="3">Plot!#REF!</definedName>
    <definedName name="OLE_LINK314" localSheetId="3">Plot!#REF!</definedName>
    <definedName name="OLE_LINK318" localSheetId="3">Plot!#REF!</definedName>
    <definedName name="OLE_LINK320" localSheetId="3">Plot!#REF!</definedName>
    <definedName name="OLE_LINK322" localSheetId="3">Plot!#REF!</definedName>
    <definedName name="OLE_LINK324" localSheetId="3">Plot!#REF!</definedName>
    <definedName name="OLE_LINK326" localSheetId="3">Plot!#REF!</definedName>
    <definedName name="OLE_LINK328" localSheetId="3">Plot!#REF!</definedName>
    <definedName name="OLE_LINK332" localSheetId="3">Plot!#REF!</definedName>
    <definedName name="OLE_LINK338" localSheetId="3">Plot!#REF!</definedName>
    <definedName name="OLE_LINK340" localSheetId="3">Plot!#REF!</definedName>
    <definedName name="OLE_LINK344" localSheetId="3">Plot!#REF!</definedName>
    <definedName name="OLE_LINK346" localSheetId="3">Plot!#REF!</definedName>
    <definedName name="OLE_LINK348" localSheetId="3">Plot!#REF!</definedName>
    <definedName name="OLE_LINK354" localSheetId="3">Plot!#REF!</definedName>
    <definedName name="OLE_LINK358" localSheetId="3">Plot!#REF!</definedName>
    <definedName name="OLE_LINK362" localSheetId="3">Plot!#REF!</definedName>
    <definedName name="OLE_LINK364" localSheetId="3">Plot!#REF!</definedName>
    <definedName name="OLE_LINK366" localSheetId="3">Plot!#REF!</definedName>
    <definedName name="OLE_LINK374" localSheetId="3">Plot!#REF!</definedName>
    <definedName name="OLE_LINK376" localSheetId="3">Plot!#REF!</definedName>
    <definedName name="OLE_LINK380" localSheetId="3">Plot!#REF!</definedName>
    <definedName name="OLE_LINK382" localSheetId="3">Plot!#REF!</definedName>
    <definedName name="OLE_LINK384" localSheetId="3">Plot!#REF!</definedName>
    <definedName name="OLE_LINK390" localSheetId="3">Plot!#REF!</definedName>
    <definedName name="OLE_LINK392" localSheetId="3">Plot!#REF!</definedName>
    <definedName name="OLE_LINK394" localSheetId="3">Plot!#REF!</definedName>
    <definedName name="OLE_LINK396" localSheetId="3">Plot!#REF!</definedName>
    <definedName name="OLE_LINK398" localSheetId="3">Plot!#REF!</definedName>
    <definedName name="OLE_LINK402" localSheetId="3">Plot!#REF!</definedName>
    <definedName name="OLE_LINK404" localSheetId="3">Plot!#REF!</definedName>
    <definedName name="OLE_LINK406" localSheetId="3">Plot!#REF!</definedName>
    <definedName name="OLE_LINK408" localSheetId="3">Plot!#REF!</definedName>
    <definedName name="OLE_LINK410" localSheetId="3">Plot!#REF!</definedName>
    <definedName name="OLE_LINK412" localSheetId="3">Plot!#REF!</definedName>
    <definedName name="OLE_LINK418" localSheetId="3">Plot!#REF!</definedName>
    <definedName name="OLE_LINK424" localSheetId="3">Plot!#REF!</definedName>
    <definedName name="OLE_LINK426" localSheetId="3">Plot!#REF!</definedName>
    <definedName name="OLE_LINK430" localSheetId="3">Plot!#REF!</definedName>
    <definedName name="OLE_LINK432" localSheetId="3">Plot!#REF!</definedName>
    <definedName name="OLE_LINK434" localSheetId="3">Plot!#REF!</definedName>
    <definedName name="OLE_LINK436" localSheetId="3">Plot!#REF!</definedName>
    <definedName name="OLE_LINK438" localSheetId="3">Plot!#REF!</definedName>
    <definedName name="OLE_LINK440" localSheetId="3">Plot!#REF!</definedName>
    <definedName name="OLE_LINK442" localSheetId="3">Plot!#REF!</definedName>
    <definedName name="OLE_LINK447" localSheetId="3">Plot!#REF!</definedName>
    <definedName name="OLE_LINK460" localSheetId="3">Plot!$F$3</definedName>
    <definedName name="OLE_LINK470" localSheetId="1">Section!#REF!</definedName>
    <definedName name="OLE_LINK478" localSheetId="1">Section!#REF!</definedName>
    <definedName name="OLE_LINK482" localSheetId="3">Plot!#REF!</definedName>
    <definedName name="OLE_LINK494" localSheetId="3">Plot!#REF!</definedName>
    <definedName name="OLE_LINK499" localSheetId="3">Plot!#REF!</definedName>
    <definedName name="OLE_LINK500" localSheetId="3">Plot!#REF!</definedName>
    <definedName name="OLE_LINK502" localSheetId="3">Plot!#REF!</definedName>
    <definedName name="OLE_LINK504" localSheetId="3">Plot!#REF!</definedName>
    <definedName name="OLE_LINK508" localSheetId="3">Plot!#REF!</definedName>
    <definedName name="OLE_LINK510" localSheetId="3">Plot!#REF!</definedName>
    <definedName name="OLE_LINK512" localSheetId="3">Plot!#REF!</definedName>
    <definedName name="OLE_LINK514" localSheetId="3">Plot!#REF!</definedName>
    <definedName name="OLE_LINK517" localSheetId="3">Plot!#REF!</definedName>
    <definedName name="OLE_LINK525" localSheetId="1">Section!#REF!</definedName>
    <definedName name="OLE_LINK529" localSheetId="3">Plot!#REF!</definedName>
    <definedName name="OLE_LINK533" localSheetId="3">Plot!#REF!</definedName>
    <definedName name="OLE_LINK538" localSheetId="3">Plot!#REF!</definedName>
    <definedName name="OLE_LINK540" localSheetId="3">Plot!#REF!</definedName>
    <definedName name="OLE_LINK542" localSheetId="3">Plot!#REF!</definedName>
    <definedName name="OLE_LINK544" localSheetId="3">Plot!#REF!</definedName>
    <definedName name="OLE_LINK546" localSheetId="3">Plot!#REF!</definedName>
    <definedName name="OLE_LINK550" localSheetId="3">Plot!#REF!</definedName>
    <definedName name="OLE_LINK56" localSheetId="1">Section!#REF!</definedName>
    <definedName name="OLE_LINK561" localSheetId="0">Chapter!$B$7</definedName>
    <definedName name="OLE_LINK576" localSheetId="3">Plot!#REF!</definedName>
    <definedName name="OLE_LINK59" localSheetId="3">Plot!#REF!</definedName>
    <definedName name="OLE_LINK590" localSheetId="1">Section!#REF!</definedName>
    <definedName name="OLE_LINK63" localSheetId="3">Plot!#REF!</definedName>
    <definedName name="OLE_LINK69" localSheetId="3">Plot!#REF!</definedName>
    <definedName name="OLE_LINK73" localSheetId="3">Plot!#REF!</definedName>
    <definedName name="OLE_LINK78" localSheetId="3">Plot!#REF!</definedName>
    <definedName name="OLE_LINK80" localSheetId="3">Plot!#REF!</definedName>
    <definedName name="OLE_LINK85" localSheetId="3">Plot!#REF!</definedName>
    <definedName name="OLE_LINK91" localSheetId="3">Plot!#REF!</definedName>
    <definedName name="OLE_LINK94" localSheetId="3">Plot!#REF!</definedName>
    <definedName name="OLE_LINK96" localSheetId="3">Plot!#REF!</definedName>
  </definedNames>
  <calcPr calcId="125725"/>
</workbook>
</file>

<file path=xl/calcChain.xml><?xml version="1.0" encoding="utf-8"?>
<calcChain xmlns="http://schemas.openxmlformats.org/spreadsheetml/2006/main">
  <c r="M9" i="7"/>
  <c r="M8"/>
  <c r="M7"/>
  <c r="M6"/>
  <c r="O3" i="1"/>
  <c r="O4"/>
  <c r="O5"/>
  <c r="O6"/>
  <c r="O7"/>
  <c r="O8"/>
  <c r="O9"/>
  <c r="O10"/>
  <c r="O11"/>
  <c r="O12"/>
  <c r="S15" i="11"/>
  <c r="P15"/>
  <c r="H15"/>
  <c r="S14"/>
  <c r="P14"/>
  <c r="H14"/>
  <c r="S13"/>
  <c r="P13"/>
  <c r="H13"/>
  <c r="S12"/>
  <c r="P12"/>
  <c r="H12"/>
  <c r="S11"/>
  <c r="P11"/>
  <c r="H11"/>
  <c r="S10"/>
  <c r="P10"/>
  <c r="H10"/>
  <c r="S9"/>
  <c r="P9"/>
  <c r="H9"/>
  <c r="S8"/>
  <c r="P8"/>
  <c r="H8"/>
  <c r="S7"/>
  <c r="P7"/>
  <c r="H7"/>
  <c r="S6"/>
  <c r="P6"/>
  <c r="H6"/>
  <c r="S5"/>
  <c r="P5"/>
  <c r="H5"/>
  <c r="S4"/>
  <c r="P4"/>
  <c r="H4"/>
  <c r="S3"/>
  <c r="P3"/>
  <c r="H3"/>
  <c r="D3"/>
  <c r="D4" s="1"/>
  <c r="S2"/>
  <c r="P2"/>
  <c r="M2"/>
  <c r="J2"/>
  <c r="H2"/>
  <c r="O2" i="1"/>
  <c r="Q8" i="7"/>
  <c r="S7" i="1"/>
  <c r="S8"/>
  <c r="Q7" i="7"/>
  <c r="S3" i="1"/>
  <c r="S10"/>
  <c r="Q6" i="7"/>
  <c r="S2" i="1"/>
  <c r="Q9" i="7"/>
  <c r="S12" i="1"/>
  <c r="S11"/>
  <c r="S5"/>
  <c r="S6"/>
  <c r="S4"/>
  <c r="S9"/>
  <c r="M3" i="11" l="1"/>
  <c r="D5"/>
  <c r="J4"/>
  <c r="M4"/>
  <c r="J3"/>
  <c r="D6" l="1"/>
  <c r="J5"/>
  <c r="M5"/>
  <c r="D7" l="1"/>
  <c r="J6"/>
  <c r="M6"/>
  <c r="D8" l="1"/>
  <c r="J7"/>
  <c r="M7"/>
  <c r="D9" l="1"/>
  <c r="J8"/>
  <c r="M8"/>
  <c r="D10" l="1"/>
  <c r="J9"/>
  <c r="M9"/>
  <c r="D11" l="1"/>
  <c r="J10"/>
  <c r="M10"/>
  <c r="D12" l="1"/>
  <c r="J11"/>
  <c r="M11"/>
  <c r="D13" l="1"/>
  <c r="J12"/>
  <c r="M12"/>
  <c r="D14" l="1"/>
  <c r="J13"/>
  <c r="M13"/>
  <c r="D15" l="1"/>
  <c r="J14"/>
  <c r="M14"/>
  <c r="J15" l="1"/>
  <c r="M15"/>
</calcChain>
</file>

<file path=xl/comments1.xml><?xml version="1.0" encoding="utf-8"?>
<comments xmlns="http://schemas.openxmlformats.org/spreadsheetml/2006/main">
  <authors>
    <author>作者</author>
    <author>admin</author>
  </authors>
  <commentList>
    <comment ref="A1" authorId="0">
      <text>
        <r>
          <rPr>
            <sz val="9"/>
            <color indexed="81"/>
            <rFont val="宋体"/>
            <family val="3"/>
            <charset val="134"/>
          </rPr>
          <t>章节</t>
        </r>
        <r>
          <rPr>
            <sz val="9"/>
            <color indexed="81"/>
            <rFont val="Tahoma"/>
            <family val="2"/>
          </rPr>
          <t>ID</t>
        </r>
      </text>
    </comment>
    <comment ref="B1" authorId="1">
      <text>
        <r>
          <rPr>
            <b/>
            <sz val="9"/>
            <color indexed="81"/>
            <rFont val="宋体"/>
            <family val="3"/>
            <charset val="134"/>
          </rPr>
          <t>章节名称</t>
        </r>
      </text>
    </comment>
    <comment ref="C1" authorId="1">
      <text>
        <r>
          <rPr>
            <b/>
            <sz val="9"/>
            <color indexed="81"/>
            <rFont val="宋体"/>
            <family val="3"/>
            <charset val="134"/>
          </rPr>
          <t>下一章节</t>
        </r>
        <r>
          <rPr>
            <b/>
            <sz val="9"/>
            <color indexed="81"/>
            <rFont val="Tahoma"/>
            <family val="2"/>
          </rPr>
          <t>ID</t>
        </r>
      </text>
    </comment>
    <comment ref="D1" authorId="0">
      <text>
        <r>
          <rPr>
            <sz val="9"/>
            <color indexed="81"/>
            <rFont val="宋体"/>
            <family val="3"/>
            <charset val="134"/>
          </rPr>
          <t>第一个关卡ID</t>
        </r>
      </text>
    </comment>
    <comment ref="E1" authorId="1">
      <text>
        <r>
          <rPr>
            <b/>
            <sz val="9"/>
            <color indexed="81"/>
            <rFont val="宋体"/>
            <family val="3"/>
            <charset val="134"/>
          </rPr>
          <t>地图区域</t>
        </r>
      </text>
    </comment>
    <comment ref="F1" authorId="0">
      <text>
        <r>
          <rPr>
            <sz val="9"/>
            <color indexed="81"/>
            <rFont val="宋体"/>
            <family val="3"/>
            <charset val="134"/>
          </rPr>
          <t>解锁等级</t>
        </r>
      </text>
    </comment>
    <comment ref="G1" authorId="0">
      <text>
        <r>
          <rPr>
            <sz val="9"/>
            <color indexed="81"/>
            <rFont val="宋体"/>
            <family val="3"/>
            <charset val="134"/>
          </rPr>
          <t>铜宝箱需求值</t>
        </r>
      </text>
    </comment>
    <comment ref="H1" authorId="1">
      <text>
        <r>
          <rPr>
            <b/>
            <sz val="9"/>
            <color indexed="81"/>
            <rFont val="宋体"/>
            <family val="3"/>
            <charset val="134"/>
          </rPr>
          <t>铜宝箱奖励库</t>
        </r>
        <r>
          <rPr>
            <b/>
            <sz val="9"/>
            <color indexed="81"/>
            <rFont val="Tahoma"/>
            <family val="2"/>
          </rPr>
          <t>ID</t>
        </r>
      </text>
    </comment>
    <comment ref="I1" authorId="1">
      <text>
        <r>
          <rPr>
            <b/>
            <sz val="9"/>
            <color indexed="81"/>
            <rFont val="宋体"/>
            <family val="3"/>
            <charset val="134"/>
          </rPr>
          <t>银宝箱需求值</t>
        </r>
      </text>
    </comment>
    <comment ref="J1" authorId="1">
      <text>
        <r>
          <rPr>
            <b/>
            <sz val="9"/>
            <color indexed="81"/>
            <rFont val="宋体"/>
            <family val="3"/>
            <charset val="134"/>
          </rPr>
          <t>银宝箱奖励库</t>
        </r>
        <r>
          <rPr>
            <b/>
            <sz val="9"/>
            <color indexed="81"/>
            <rFont val="Tahoma"/>
            <family val="2"/>
          </rPr>
          <t>ID</t>
        </r>
      </text>
    </comment>
    <comment ref="K1" authorId="1">
      <text>
        <r>
          <rPr>
            <b/>
            <sz val="9"/>
            <color indexed="81"/>
            <rFont val="宋体"/>
            <family val="3"/>
            <charset val="134"/>
          </rPr>
          <t>金宝箱需求值</t>
        </r>
      </text>
    </comment>
    <comment ref="L1" authorId="1">
      <text>
        <r>
          <rPr>
            <b/>
            <sz val="9"/>
            <color indexed="81"/>
            <rFont val="宋体"/>
            <family val="3"/>
            <charset val="134"/>
          </rPr>
          <t>金宝箱奖励库</t>
        </r>
        <r>
          <rPr>
            <b/>
            <sz val="9"/>
            <color indexed="81"/>
            <rFont val="Tahoma"/>
            <family val="2"/>
          </rPr>
          <t>ID</t>
        </r>
      </text>
    </comment>
  </commentList>
</comments>
</file>

<file path=xl/comments2.xml><?xml version="1.0" encoding="utf-8"?>
<comments xmlns="http://schemas.openxmlformats.org/spreadsheetml/2006/main">
  <authors>
    <author>admin</author>
    <author>user</author>
    <author>Administrator</author>
  </authors>
  <commentList>
    <comment ref="A1" authorId="0">
      <text>
        <r>
          <rPr>
            <b/>
            <sz val="9"/>
            <color indexed="81"/>
            <rFont val="宋体"/>
            <family val="3"/>
            <charset val="134"/>
          </rPr>
          <t>配置开关（配置为</t>
        </r>
        <r>
          <rPr>
            <b/>
            <sz val="9"/>
            <color indexed="81"/>
            <rFont val="Tahoma"/>
            <family val="2"/>
          </rPr>
          <t>“#”</t>
        </r>
        <r>
          <rPr>
            <b/>
            <sz val="9"/>
            <color indexed="81"/>
            <rFont val="宋体"/>
            <family val="3"/>
            <charset val="134"/>
          </rPr>
          <t>时，此行配置失效）</t>
        </r>
      </text>
    </comment>
    <comment ref="B1" authorId="0">
      <text>
        <r>
          <rPr>
            <sz val="9"/>
            <color indexed="81"/>
            <rFont val="宋体"/>
            <family val="3"/>
            <charset val="134"/>
          </rPr>
          <t>关卡</t>
        </r>
        <r>
          <rPr>
            <sz val="9"/>
            <color indexed="81"/>
            <rFont val="Tahoma"/>
            <family val="2"/>
          </rPr>
          <t>ID</t>
        </r>
      </text>
    </comment>
    <comment ref="C1" authorId="0">
      <text>
        <r>
          <rPr>
            <b/>
            <sz val="9"/>
            <color indexed="81"/>
            <rFont val="宋体"/>
            <family val="3"/>
            <charset val="134"/>
          </rPr>
          <t>关卡名称</t>
        </r>
        <r>
          <rPr>
            <sz val="9"/>
            <color indexed="81"/>
            <rFont val="Tahoma"/>
            <family val="2"/>
          </rPr>
          <t xml:space="preserve">
</t>
        </r>
      </text>
    </comment>
    <comment ref="D1" authorId="1">
      <text>
        <r>
          <rPr>
            <b/>
            <sz val="9"/>
            <color indexed="81"/>
            <rFont val="Tahoma"/>
            <family val="2"/>
          </rPr>
          <t>0</t>
        </r>
        <r>
          <rPr>
            <b/>
            <sz val="9"/>
            <color indexed="81"/>
            <rFont val="宋体"/>
            <family val="3"/>
            <charset val="134"/>
          </rPr>
          <t xml:space="preserve">普通关卡
</t>
        </r>
        <r>
          <rPr>
            <b/>
            <sz val="9"/>
            <color indexed="81"/>
            <rFont val="Tahoma"/>
            <family val="2"/>
          </rPr>
          <t>1</t>
        </r>
        <r>
          <rPr>
            <b/>
            <sz val="9"/>
            <color indexed="81"/>
            <rFont val="宋体"/>
            <family val="3"/>
            <charset val="134"/>
          </rPr>
          <t xml:space="preserve">精英关卡
</t>
        </r>
        <r>
          <rPr>
            <b/>
            <sz val="9"/>
            <color indexed="81"/>
            <rFont val="Tahoma"/>
            <family val="2"/>
          </rPr>
          <t>2</t>
        </r>
        <r>
          <rPr>
            <b/>
            <sz val="9"/>
            <color indexed="81"/>
            <rFont val="宋体"/>
            <family val="3"/>
            <charset val="134"/>
          </rPr>
          <t>一次性关卡</t>
        </r>
      </text>
    </comment>
    <comment ref="E1" authorId="1">
      <text>
        <r>
          <rPr>
            <b/>
            <sz val="9"/>
            <color indexed="81"/>
            <rFont val="宋体"/>
            <family val="3"/>
            <charset val="134"/>
          </rPr>
          <t xml:space="preserve">是否赠送礼物
</t>
        </r>
        <r>
          <rPr>
            <b/>
            <sz val="9"/>
            <color indexed="81"/>
            <rFont val="Tahoma"/>
            <family val="2"/>
          </rPr>
          <t>1.</t>
        </r>
        <r>
          <rPr>
            <b/>
            <sz val="9"/>
            <color indexed="81"/>
            <rFont val="宋体"/>
            <family val="3"/>
            <charset val="134"/>
          </rPr>
          <t xml:space="preserve">赠送
</t>
        </r>
        <r>
          <rPr>
            <b/>
            <sz val="9"/>
            <color indexed="81"/>
            <rFont val="Tahoma"/>
            <family val="2"/>
          </rPr>
          <t>0.</t>
        </r>
        <r>
          <rPr>
            <b/>
            <sz val="9"/>
            <color indexed="81"/>
            <rFont val="宋体"/>
            <family val="3"/>
            <charset val="134"/>
          </rPr>
          <t>不赠送</t>
        </r>
      </text>
    </comment>
    <comment ref="F1" authorId="0">
      <text>
        <r>
          <rPr>
            <b/>
            <sz val="9"/>
            <color indexed="81"/>
            <rFont val="Tahoma"/>
            <family val="2"/>
          </rPr>
          <t>admin:</t>
        </r>
        <r>
          <rPr>
            <sz val="9"/>
            <color indexed="81"/>
            <rFont val="Tahoma"/>
            <family val="2"/>
          </rPr>
          <t xml:space="preserve">
</t>
        </r>
      </text>
    </comment>
    <comment ref="G1" authorId="0">
      <text>
        <r>
          <rPr>
            <b/>
            <sz val="9"/>
            <color indexed="81"/>
            <rFont val="宋体"/>
            <family val="3"/>
            <charset val="134"/>
          </rPr>
          <t>关卡图标</t>
        </r>
      </text>
    </comment>
    <comment ref="H1" authorId="0">
      <text>
        <r>
          <rPr>
            <b/>
            <sz val="9"/>
            <color indexed="81"/>
            <rFont val="宋体"/>
            <family val="3"/>
            <charset val="134"/>
          </rPr>
          <t>坐标</t>
        </r>
        <r>
          <rPr>
            <b/>
            <sz val="9"/>
            <color indexed="81"/>
            <rFont val="Tahoma"/>
            <family val="2"/>
          </rPr>
          <t>X</t>
        </r>
      </text>
    </comment>
    <comment ref="I1" authorId="0">
      <text>
        <r>
          <rPr>
            <sz val="9"/>
            <color indexed="81"/>
            <rFont val="宋体"/>
            <family val="3"/>
            <charset val="134"/>
          </rPr>
          <t>坐标</t>
        </r>
        <r>
          <rPr>
            <sz val="9"/>
            <color indexed="81"/>
            <rFont val="Tahoma"/>
            <family val="2"/>
          </rPr>
          <t>Y</t>
        </r>
      </text>
    </comment>
    <comment ref="J1" authorId="0">
      <text>
        <r>
          <rPr>
            <b/>
            <sz val="9"/>
            <color indexed="81"/>
            <rFont val="宋体"/>
            <family val="3"/>
            <charset val="134"/>
          </rPr>
          <t>下一关卡ID</t>
        </r>
      </text>
    </comment>
    <comment ref="K1" authorId="0">
      <text>
        <r>
          <rPr>
            <b/>
            <sz val="9"/>
            <color indexed="81"/>
            <rFont val="宋体"/>
            <family val="3"/>
            <charset val="134"/>
          </rPr>
          <t>体力消耗</t>
        </r>
      </text>
    </comment>
    <comment ref="L1" authorId="0">
      <text>
        <r>
          <rPr>
            <b/>
            <sz val="9"/>
            <color indexed="81"/>
            <rFont val="宋体"/>
            <family val="3"/>
            <charset val="134"/>
          </rPr>
          <t>扫荡卡消耗数量</t>
        </r>
      </text>
    </comment>
    <comment ref="M1" authorId="0">
      <text>
        <r>
          <rPr>
            <b/>
            <sz val="9"/>
            <color indexed="81"/>
            <rFont val="宋体"/>
            <family val="3"/>
            <charset val="134"/>
          </rPr>
          <t>每日次数</t>
        </r>
      </text>
    </comment>
    <comment ref="N1" authorId="0">
      <text>
        <r>
          <rPr>
            <b/>
            <sz val="9"/>
            <color indexed="81"/>
            <rFont val="宋体"/>
            <family val="3"/>
            <charset val="134"/>
          </rPr>
          <t>次数购买消耗库</t>
        </r>
        <r>
          <rPr>
            <b/>
            <sz val="9"/>
            <color indexed="81"/>
            <rFont val="Tahoma"/>
            <family val="2"/>
          </rPr>
          <t>ID</t>
        </r>
      </text>
    </comment>
    <comment ref="O1" authorId="0">
      <text>
        <r>
          <rPr>
            <b/>
            <sz val="9"/>
            <color indexed="81"/>
            <rFont val="宋体"/>
            <family val="3"/>
            <charset val="134"/>
          </rPr>
          <t>参赛球员数量</t>
        </r>
      </text>
    </comment>
    <comment ref="P1" authorId="0">
      <text>
        <r>
          <rPr>
            <b/>
            <sz val="9"/>
            <color indexed="81"/>
            <rFont val="宋体"/>
            <family val="3"/>
            <charset val="134"/>
          </rPr>
          <t>背包需求空间数量</t>
        </r>
      </text>
    </comment>
    <comment ref="Q1" authorId="0">
      <text>
        <r>
          <rPr>
            <b/>
            <sz val="9"/>
            <color indexed="81"/>
            <rFont val="宋体"/>
            <family val="3"/>
            <charset val="134"/>
          </rPr>
          <t>通关条件</t>
        </r>
        <r>
          <rPr>
            <b/>
            <sz val="9"/>
            <color indexed="81"/>
            <rFont val="Tahoma"/>
            <family val="2"/>
          </rPr>
          <t>ID</t>
        </r>
      </text>
    </comment>
    <comment ref="R1" authorId="0">
      <text>
        <r>
          <rPr>
            <b/>
            <sz val="9"/>
            <color indexed="81"/>
            <rFont val="宋体"/>
            <family val="3"/>
            <charset val="134"/>
          </rPr>
          <t>通关条件</t>
        </r>
        <r>
          <rPr>
            <b/>
            <sz val="9"/>
            <color indexed="81"/>
            <rFont val="Tahoma"/>
            <family val="2"/>
          </rPr>
          <t>ID</t>
        </r>
        <r>
          <rPr>
            <b/>
            <sz val="9"/>
            <color indexed="81"/>
            <rFont val="宋体"/>
            <family val="3"/>
            <charset val="134"/>
          </rPr>
          <t>数量</t>
        </r>
      </text>
    </comment>
    <comment ref="S1" authorId="0">
      <text>
        <r>
          <rPr>
            <b/>
            <sz val="9"/>
            <color indexed="81"/>
            <rFont val="宋体"/>
            <family val="3"/>
            <charset val="134"/>
          </rPr>
          <t>关卡奖励库</t>
        </r>
        <r>
          <rPr>
            <b/>
            <sz val="9"/>
            <color indexed="81"/>
            <rFont val="Tahoma"/>
            <family val="2"/>
          </rPr>
          <t>ID</t>
        </r>
      </text>
    </comment>
    <comment ref="T1" authorId="0">
      <text>
        <r>
          <rPr>
            <b/>
            <sz val="9"/>
            <color indexed="81"/>
            <rFont val="宋体"/>
            <family val="3"/>
            <charset val="134"/>
          </rPr>
          <t>扫荡奖励库</t>
        </r>
      </text>
    </comment>
    <comment ref="U1" authorId="0">
      <text>
        <r>
          <rPr>
            <b/>
            <sz val="9"/>
            <color indexed="81"/>
            <rFont val="宋体"/>
            <family val="3"/>
            <charset val="134"/>
          </rPr>
          <t>铜牌达成条件</t>
        </r>
        <r>
          <rPr>
            <b/>
            <sz val="9"/>
            <color indexed="81"/>
            <rFont val="Tahoma"/>
            <family val="2"/>
          </rPr>
          <t>ID</t>
        </r>
      </text>
    </comment>
    <comment ref="V1" authorId="0">
      <text>
        <r>
          <rPr>
            <b/>
            <sz val="9"/>
            <color indexed="81"/>
            <rFont val="宋体"/>
            <family val="3"/>
            <charset val="134"/>
          </rPr>
          <t>铜牌达成条件值</t>
        </r>
      </text>
    </comment>
    <comment ref="W1" authorId="0">
      <text>
        <r>
          <rPr>
            <b/>
            <sz val="9"/>
            <color indexed="81"/>
            <rFont val="宋体"/>
            <family val="3"/>
            <charset val="134"/>
          </rPr>
          <t>银牌达成条件</t>
        </r>
        <r>
          <rPr>
            <b/>
            <sz val="9"/>
            <color indexed="81"/>
            <rFont val="Tahoma"/>
            <family val="2"/>
          </rPr>
          <t>ID</t>
        </r>
      </text>
    </comment>
    <comment ref="X1" authorId="0">
      <text>
        <r>
          <rPr>
            <b/>
            <sz val="9"/>
            <color indexed="81"/>
            <rFont val="宋体"/>
            <family val="3"/>
            <charset val="134"/>
          </rPr>
          <t>银牌达成条件值</t>
        </r>
      </text>
    </comment>
    <comment ref="Y1" authorId="0">
      <text>
        <r>
          <rPr>
            <b/>
            <sz val="9"/>
            <color indexed="81"/>
            <rFont val="宋体"/>
            <family val="3"/>
            <charset val="134"/>
          </rPr>
          <t>金牌达成条件</t>
        </r>
        <r>
          <rPr>
            <b/>
            <sz val="9"/>
            <color indexed="81"/>
            <rFont val="Tahoma"/>
            <family val="2"/>
          </rPr>
          <t>ID</t>
        </r>
      </text>
    </comment>
    <comment ref="Z1" authorId="0">
      <text>
        <r>
          <rPr>
            <b/>
            <sz val="9"/>
            <color indexed="81"/>
            <rFont val="宋体"/>
            <family val="3"/>
            <charset val="134"/>
          </rPr>
          <t>金牌达成条件值</t>
        </r>
      </text>
    </comment>
    <comment ref="AA1" authorId="0">
      <text>
        <r>
          <rPr>
            <b/>
            <sz val="9"/>
            <color indexed="81"/>
            <rFont val="宋体"/>
            <family val="3"/>
            <charset val="134"/>
          </rPr>
          <t>开始剧情</t>
        </r>
        <r>
          <rPr>
            <b/>
            <sz val="9"/>
            <color indexed="81"/>
            <rFont val="Tahoma"/>
            <family val="2"/>
          </rPr>
          <t>ID</t>
        </r>
      </text>
    </comment>
    <comment ref="AB1" authorId="0">
      <text>
        <r>
          <rPr>
            <b/>
            <sz val="9"/>
            <color indexed="81"/>
            <rFont val="宋体"/>
            <family val="3"/>
            <charset val="134"/>
          </rPr>
          <t>结束剧情</t>
        </r>
        <r>
          <rPr>
            <b/>
            <sz val="9"/>
            <color indexed="81"/>
            <rFont val="Tahoma"/>
            <family val="2"/>
          </rPr>
          <t>ID</t>
        </r>
      </text>
    </comment>
    <comment ref="AC1" authorId="0">
      <text>
        <r>
          <rPr>
            <b/>
            <sz val="9"/>
            <color indexed="81"/>
            <rFont val="宋体"/>
            <family val="3"/>
            <charset val="134"/>
          </rPr>
          <t>剧情简介</t>
        </r>
      </text>
    </comment>
    <comment ref="AD1" authorId="0">
      <text>
        <r>
          <rPr>
            <b/>
            <sz val="9"/>
            <color indexed="81"/>
            <rFont val="宋体"/>
            <family val="3"/>
            <charset val="134"/>
          </rPr>
          <t>战斗场景</t>
        </r>
      </text>
    </comment>
    <comment ref="AE1" authorId="0">
      <text>
        <r>
          <rPr>
            <b/>
            <sz val="9"/>
            <color indexed="81"/>
            <rFont val="宋体"/>
            <family val="3"/>
            <charset val="134"/>
          </rPr>
          <t>战斗音乐</t>
        </r>
      </text>
    </comment>
    <comment ref="AF1" authorId="0">
      <text>
        <r>
          <rPr>
            <b/>
            <sz val="9"/>
            <color indexed="81"/>
            <rFont val="宋体"/>
            <family val="3"/>
            <charset val="134"/>
          </rPr>
          <t>比赛时间（秒）</t>
        </r>
      </text>
    </comment>
    <comment ref="AG1" authorId="0">
      <text>
        <r>
          <rPr>
            <b/>
            <sz val="9"/>
            <color indexed="81"/>
            <rFont val="宋体"/>
            <family val="3"/>
            <charset val="134"/>
          </rPr>
          <t>主客队（</t>
        </r>
        <r>
          <rPr>
            <b/>
            <sz val="9"/>
            <color indexed="81"/>
            <rFont val="Tahoma"/>
            <family val="2"/>
          </rPr>
          <t>1</t>
        </r>
        <r>
          <rPr>
            <b/>
            <sz val="9"/>
            <color indexed="81"/>
            <rFont val="宋体"/>
            <family val="3"/>
            <charset val="134"/>
          </rPr>
          <t>：主队，</t>
        </r>
        <r>
          <rPr>
            <b/>
            <sz val="9"/>
            <color indexed="81"/>
            <rFont val="Tahoma"/>
            <family val="2"/>
          </rPr>
          <t>2</t>
        </r>
        <r>
          <rPr>
            <b/>
            <sz val="9"/>
            <color indexed="81"/>
            <rFont val="宋体"/>
            <family val="3"/>
            <charset val="134"/>
          </rPr>
          <t>：客队）</t>
        </r>
      </text>
    </comment>
    <comment ref="AH1" authorId="0">
      <text>
        <r>
          <rPr>
            <b/>
            <sz val="9"/>
            <color indexed="81"/>
            <rFont val="宋体"/>
            <family val="3"/>
            <charset val="134"/>
          </rPr>
          <t>初始主队比分</t>
        </r>
      </text>
    </comment>
    <comment ref="AI1" authorId="0">
      <text>
        <r>
          <rPr>
            <b/>
            <sz val="9"/>
            <color indexed="81"/>
            <rFont val="宋体"/>
            <family val="3"/>
            <charset val="134"/>
          </rPr>
          <t>初始客队比分</t>
        </r>
      </text>
    </comment>
    <comment ref="AJ1" authorId="0">
      <text>
        <r>
          <rPr>
            <b/>
            <sz val="9"/>
            <color indexed="81"/>
            <rFont val="宋体"/>
            <family val="3"/>
            <charset val="134"/>
          </rPr>
          <t>敌对NPC</t>
        </r>
      </text>
    </comment>
    <comment ref="AK1" authorId="0">
      <text>
        <r>
          <rPr>
            <b/>
            <sz val="9"/>
            <color indexed="81"/>
            <rFont val="宋体"/>
            <family val="3"/>
            <charset val="134"/>
          </rPr>
          <t>敌对NPC</t>
        </r>
      </text>
    </comment>
    <comment ref="AL1" authorId="0">
      <text>
        <r>
          <rPr>
            <b/>
            <sz val="9"/>
            <color indexed="81"/>
            <rFont val="宋体"/>
            <family val="3"/>
            <charset val="134"/>
          </rPr>
          <t>敌对NPC</t>
        </r>
      </text>
    </comment>
    <comment ref="AM1" authorId="0">
      <text>
        <r>
          <rPr>
            <b/>
            <sz val="9"/>
            <color indexed="81"/>
            <rFont val="宋体"/>
            <family val="3"/>
            <charset val="134"/>
          </rPr>
          <t>该关卡解锁的外援球员</t>
        </r>
        <r>
          <rPr>
            <b/>
            <sz val="9"/>
            <color indexed="81"/>
            <rFont val="Tahoma"/>
            <family val="2"/>
          </rPr>
          <t>ID</t>
        </r>
      </text>
    </comment>
    <comment ref="AN1" authorId="0">
      <text>
        <r>
          <rPr>
            <b/>
            <sz val="9"/>
            <color indexed="81"/>
            <rFont val="宋体"/>
            <family val="3"/>
            <charset val="134"/>
          </rPr>
          <t>该关卡外援球员的等级</t>
        </r>
      </text>
    </comment>
    <comment ref="AO1" authorId="1">
      <text>
        <r>
          <rPr>
            <sz val="9"/>
            <color indexed="81"/>
            <rFont val="宋体"/>
            <family val="3"/>
            <charset val="134"/>
          </rPr>
          <t>产出物品显示</t>
        </r>
        <r>
          <rPr>
            <sz val="9"/>
            <color indexed="81"/>
            <rFont val="Tahoma"/>
            <family val="2"/>
          </rPr>
          <t xml:space="preserve">
</t>
        </r>
      </text>
    </comment>
    <comment ref="AP1" authorId="2">
      <text>
        <r>
          <rPr>
            <sz val="9"/>
            <color indexed="81"/>
            <rFont val="Tahoma"/>
            <family val="2"/>
          </rPr>
          <t xml:space="preserve"> </t>
        </r>
        <r>
          <rPr>
            <sz val="9"/>
            <color indexed="81"/>
            <rFont val="宋体"/>
            <family val="3"/>
            <charset val="134"/>
          </rPr>
          <t>玩法</t>
        </r>
        <r>
          <rPr>
            <sz val="9"/>
            <color indexed="81"/>
            <rFont val="Tahoma"/>
            <family val="2"/>
          </rPr>
          <t>ID</t>
        </r>
      </text>
    </comment>
  </commentList>
</comments>
</file>

<file path=xl/comments3.xml><?xml version="1.0" encoding="utf-8"?>
<comments xmlns="http://schemas.openxmlformats.org/spreadsheetml/2006/main">
  <authors>
    <author>admin</author>
  </authors>
  <commentList>
    <comment ref="A1" authorId="0">
      <text>
        <r>
          <rPr>
            <b/>
            <sz val="9"/>
            <color indexed="81"/>
            <rFont val="宋体"/>
            <family val="3"/>
            <charset val="134"/>
          </rPr>
          <t>配置开关（配置为</t>
        </r>
        <r>
          <rPr>
            <b/>
            <sz val="9"/>
            <color indexed="81"/>
            <rFont val="Tahoma"/>
            <family val="2"/>
          </rPr>
          <t>“#”</t>
        </r>
        <r>
          <rPr>
            <b/>
            <sz val="9"/>
            <color indexed="81"/>
            <rFont val="宋体"/>
            <family val="3"/>
            <charset val="134"/>
          </rPr>
          <t>时，此行配置失效）</t>
        </r>
      </text>
    </comment>
    <comment ref="B1" authorId="0">
      <text>
        <r>
          <rPr>
            <b/>
            <sz val="9"/>
            <color indexed="81"/>
            <rFont val="宋体"/>
            <family val="3"/>
            <charset val="134"/>
          </rPr>
          <t>奖励库</t>
        </r>
        <r>
          <rPr>
            <b/>
            <sz val="9"/>
            <color indexed="81"/>
            <rFont val="Tahoma"/>
            <family val="2"/>
          </rPr>
          <t>ID</t>
        </r>
      </text>
    </comment>
    <comment ref="C1" authorId="0">
      <text>
        <r>
          <rPr>
            <b/>
            <sz val="9"/>
            <color indexed="81"/>
            <rFont val="宋体"/>
            <family val="3"/>
            <charset val="134"/>
          </rPr>
          <t>奖励包循环次数,此列配置已废弃</t>
        </r>
      </text>
    </comment>
    <comment ref="D1" authorId="0">
      <text>
        <r>
          <rPr>
            <b/>
            <sz val="9"/>
            <color indexed="81"/>
            <rFont val="宋体"/>
            <family val="3"/>
            <charset val="134"/>
          </rPr>
          <t>奖励倍数的类别</t>
        </r>
      </text>
    </comment>
    <comment ref="E1" authorId="0">
      <text>
        <r>
          <rPr>
            <b/>
            <sz val="9"/>
            <color indexed="81"/>
            <rFont val="宋体"/>
            <family val="3"/>
            <charset val="134"/>
          </rPr>
          <t>奖励倍数</t>
        </r>
      </text>
    </comment>
    <comment ref="F1" authorId="0">
      <text>
        <r>
          <rPr>
            <b/>
            <sz val="9"/>
            <color indexed="81"/>
            <rFont val="宋体"/>
            <family val="3"/>
            <charset val="134"/>
          </rPr>
          <t>奖励包ID1</t>
        </r>
      </text>
    </comment>
    <comment ref="G1" authorId="0">
      <text>
        <r>
          <rPr>
            <b/>
            <sz val="9"/>
            <color indexed="81"/>
            <rFont val="宋体"/>
            <family val="3"/>
            <charset val="134"/>
          </rPr>
          <t>奖励包ID2</t>
        </r>
      </text>
    </comment>
    <comment ref="H1" authorId="0">
      <text>
        <r>
          <rPr>
            <b/>
            <sz val="9"/>
            <color indexed="81"/>
            <rFont val="宋体"/>
            <family val="3"/>
            <charset val="134"/>
          </rPr>
          <t>奖励包ID3</t>
        </r>
      </text>
    </comment>
    <comment ref="I1" authorId="0">
      <text>
        <r>
          <rPr>
            <b/>
            <sz val="9"/>
            <color indexed="81"/>
            <rFont val="宋体"/>
            <family val="3"/>
            <charset val="134"/>
          </rPr>
          <t>奖励包ID4</t>
        </r>
      </text>
    </comment>
    <comment ref="J1" authorId="0">
      <text>
        <r>
          <rPr>
            <b/>
            <sz val="9"/>
            <color indexed="81"/>
            <rFont val="宋体"/>
            <family val="3"/>
            <charset val="134"/>
          </rPr>
          <t>奖励包ID5</t>
        </r>
      </text>
    </comment>
    <comment ref="K1" authorId="0">
      <text>
        <r>
          <rPr>
            <b/>
            <sz val="9"/>
            <color indexed="81"/>
            <rFont val="宋体"/>
            <family val="3"/>
            <charset val="134"/>
          </rPr>
          <t>奖励包ID4</t>
        </r>
      </text>
    </comment>
    <comment ref="L1" authorId="0">
      <text>
        <r>
          <rPr>
            <b/>
            <sz val="9"/>
            <color indexed="81"/>
            <rFont val="宋体"/>
            <family val="3"/>
            <charset val="134"/>
          </rPr>
          <t>奖励包ID5</t>
        </r>
      </text>
    </comment>
    <comment ref="M1" authorId="0">
      <text>
        <r>
          <rPr>
            <b/>
            <sz val="9"/>
            <color indexed="81"/>
            <rFont val="宋体"/>
            <family val="3"/>
            <charset val="134"/>
          </rPr>
          <t>奖励包ID4</t>
        </r>
      </text>
    </comment>
    <comment ref="N1" authorId="0">
      <text>
        <r>
          <rPr>
            <b/>
            <sz val="9"/>
            <color indexed="81"/>
            <rFont val="宋体"/>
            <family val="3"/>
            <charset val="134"/>
          </rPr>
          <t>奖励包ID5</t>
        </r>
      </text>
    </comment>
    <comment ref="O1" authorId="0">
      <text>
        <r>
          <rPr>
            <b/>
            <sz val="9"/>
            <color indexed="81"/>
            <rFont val="宋体"/>
            <family val="3"/>
            <charset val="134"/>
          </rPr>
          <t>奖励包ID4</t>
        </r>
      </text>
    </comment>
  </commentList>
</comments>
</file>

<file path=xl/comments4.xml><?xml version="1.0" encoding="utf-8"?>
<comments xmlns="http://schemas.openxmlformats.org/spreadsheetml/2006/main">
  <authors>
    <author>admin</author>
  </authors>
  <commentList>
    <comment ref="A1" authorId="0">
      <text>
        <r>
          <rPr>
            <b/>
            <sz val="9"/>
            <color indexed="81"/>
            <rFont val="宋体"/>
            <family val="3"/>
            <charset val="134"/>
          </rPr>
          <t>剧情</t>
        </r>
        <r>
          <rPr>
            <b/>
            <sz val="9"/>
            <color indexed="81"/>
            <rFont val="Tahoma"/>
            <family val="2"/>
          </rPr>
          <t xml:space="preserve">ID
</t>
        </r>
      </text>
    </comment>
    <comment ref="B1" authorId="0">
      <text>
        <r>
          <rPr>
            <b/>
            <sz val="9"/>
            <color indexed="81"/>
            <rFont val="宋体"/>
            <family val="3"/>
            <charset val="134"/>
          </rPr>
          <t>剧情对话</t>
        </r>
        <r>
          <rPr>
            <b/>
            <sz val="9"/>
            <color indexed="81"/>
            <rFont val="Tahoma"/>
            <family val="2"/>
          </rPr>
          <t>ID</t>
        </r>
      </text>
    </comment>
    <comment ref="C1" authorId="0">
      <text>
        <r>
          <rPr>
            <b/>
            <sz val="9"/>
            <color indexed="81"/>
            <rFont val="宋体"/>
            <family val="3"/>
            <charset val="134"/>
          </rPr>
          <t>头像</t>
        </r>
        <r>
          <rPr>
            <b/>
            <sz val="9"/>
            <color indexed="81"/>
            <rFont val="Tahoma"/>
            <family val="2"/>
          </rPr>
          <t>ID</t>
        </r>
      </text>
    </comment>
    <comment ref="D1" authorId="0">
      <text>
        <r>
          <rPr>
            <sz val="9"/>
            <color indexed="81"/>
            <rFont val="宋体"/>
            <family val="3"/>
            <charset val="134"/>
          </rPr>
          <t>对话内容（文本）</t>
        </r>
      </text>
    </comment>
    <comment ref="E1" authorId="0">
      <text>
        <r>
          <rPr>
            <b/>
            <sz val="9"/>
            <color indexed="81"/>
            <rFont val="宋体"/>
            <family val="3"/>
            <charset val="134"/>
          </rPr>
          <t>下一句对话</t>
        </r>
        <r>
          <rPr>
            <b/>
            <sz val="9"/>
            <color indexed="81"/>
            <rFont val="Tahoma"/>
            <family val="2"/>
          </rPr>
          <t>ID</t>
        </r>
      </text>
    </comment>
  </commentList>
</comments>
</file>

<file path=xl/comments5.xml><?xml version="1.0" encoding="utf-8"?>
<comments xmlns="http://schemas.openxmlformats.org/spreadsheetml/2006/main">
  <authors>
    <author>admin</author>
    <author>Administrator</author>
  </authors>
  <commentList>
    <comment ref="B1" authorId="0">
      <text>
        <r>
          <rPr>
            <b/>
            <sz val="9"/>
            <color indexed="81"/>
            <rFont val="Tahoma"/>
            <family val="2"/>
          </rPr>
          <t>7</t>
        </r>
        <r>
          <rPr>
            <b/>
            <sz val="9"/>
            <color indexed="81"/>
            <rFont val="宋体"/>
            <family val="3"/>
            <charset val="134"/>
          </rPr>
          <t>为盖帽相关</t>
        </r>
        <r>
          <rPr>
            <b/>
            <sz val="9"/>
            <color indexed="81"/>
            <rFont val="Tahoma"/>
            <family val="2"/>
          </rPr>
          <t>,6</t>
        </r>
        <r>
          <rPr>
            <b/>
            <sz val="9"/>
            <color indexed="81"/>
            <rFont val="宋体"/>
            <family val="3"/>
            <charset val="134"/>
          </rPr>
          <t>为篮板相关
现在暂时只分别用在了密不透风和篮板风暴玩法中，密不透风和篮板风暴不配的话生涯就会报错</t>
        </r>
      </text>
    </comment>
    <comment ref="G2" authorId="1">
      <text>
        <r>
          <rPr>
            <sz val="9"/>
            <color indexed="81"/>
            <rFont val="宋体"/>
            <family val="3"/>
            <charset val="134"/>
          </rPr>
          <t>C</t>
        </r>
        <r>
          <rPr>
            <sz val="9"/>
            <color indexed="81"/>
            <rFont val="宋体"/>
            <family val="3"/>
            <charset val="134"/>
          </rPr>
          <t>areer.proto文件拷贝内容</t>
        </r>
      </text>
    </comment>
    <comment ref="L2" authorId="1">
      <text>
        <r>
          <rPr>
            <sz val="9"/>
            <color indexed="81"/>
            <rFont val="宋体"/>
            <family val="3"/>
            <charset val="134"/>
          </rPr>
          <t>C</t>
        </r>
        <r>
          <rPr>
            <sz val="9"/>
            <color indexed="81"/>
            <rFont val="宋体"/>
            <family val="3"/>
            <charset val="134"/>
          </rPr>
          <t>areer</t>
        </r>
        <r>
          <rPr>
            <sz val="9"/>
            <color indexed="81"/>
            <rFont val="宋体"/>
            <family val="3"/>
            <charset val="134"/>
          </rPr>
          <t>Manager.lu</t>
        </r>
        <r>
          <rPr>
            <sz val="9"/>
            <color indexed="81"/>
            <rFont val="宋体"/>
            <family val="3"/>
            <charset val="134"/>
          </rPr>
          <t>a</t>
        </r>
        <r>
          <rPr>
            <sz val="9"/>
            <color indexed="81"/>
            <rFont val="宋体"/>
            <family val="3"/>
            <charset val="134"/>
          </rPr>
          <t xml:space="preserve">文件填充内容
</t>
        </r>
      </text>
    </comment>
    <comment ref="O2" authorId="1">
      <text>
        <r>
          <rPr>
            <sz val="9"/>
            <color indexed="81"/>
            <rFont val="宋体"/>
            <family val="3"/>
            <charset val="134"/>
          </rPr>
          <t>P</t>
        </r>
        <r>
          <rPr>
            <sz val="9"/>
            <color indexed="81"/>
            <rFont val="宋体"/>
            <family val="3"/>
            <charset val="134"/>
          </rPr>
          <t>layer</t>
        </r>
        <r>
          <rPr>
            <sz val="9"/>
            <color indexed="81"/>
            <rFont val="宋体"/>
            <family val="3"/>
            <charset val="134"/>
          </rPr>
          <t>.lua文件填充内容</t>
        </r>
      </text>
    </comment>
    <comment ref="R2" authorId="1">
      <text>
        <r>
          <rPr>
            <sz val="9"/>
            <color indexed="81"/>
            <rFont val="宋体"/>
            <family val="3"/>
            <charset val="134"/>
          </rPr>
          <t>Init</t>
        </r>
        <r>
          <rPr>
            <sz val="9"/>
            <color indexed="81"/>
            <rFont val="宋体"/>
            <family val="3"/>
            <charset val="134"/>
          </rPr>
          <t>Data</t>
        </r>
        <r>
          <rPr>
            <sz val="9"/>
            <color indexed="81"/>
            <rFont val="宋体"/>
            <family val="3"/>
            <charset val="134"/>
          </rPr>
          <t xml:space="preserve">.lua文件填充内容
</t>
        </r>
      </text>
    </comment>
  </commentList>
</comments>
</file>

<file path=xl/comments6.xml><?xml version="1.0" encoding="utf-8"?>
<comments xmlns="http://schemas.openxmlformats.org/spreadsheetml/2006/main">
  <authors>
    <author>admin</author>
  </authors>
  <commentList>
    <comment ref="B1" authorId="0">
      <text>
        <r>
          <rPr>
            <b/>
            <sz val="9"/>
            <color rgb="FF000000"/>
            <rFont val="宋体"/>
            <family val="2"/>
            <charset val="134"/>
          </rPr>
          <t>重置次数</t>
        </r>
      </text>
    </comment>
    <comment ref="C1" authorId="0">
      <text>
        <r>
          <rPr>
            <b/>
            <sz val="9"/>
            <color rgb="FF000000"/>
            <rFont val="宋体"/>
            <family val="3"/>
            <charset val="134"/>
          </rPr>
          <t>消耗类型（请参考common中的钱币数值的定义值）</t>
        </r>
      </text>
    </comment>
    <comment ref="D1" authorId="0">
      <text>
        <r>
          <rPr>
            <b/>
            <sz val="9"/>
            <color rgb="FF000000"/>
            <rFont val="宋体"/>
            <family val="3"/>
            <charset val="134"/>
          </rPr>
          <t>消耗值</t>
        </r>
      </text>
    </comment>
  </commentList>
</comments>
</file>

<file path=xl/sharedStrings.xml><?xml version="1.0" encoding="utf-8"?>
<sst xmlns="http://schemas.openxmlformats.org/spreadsheetml/2006/main" count="2251" uniqueCount="1102">
  <si>
    <t>name</t>
    <phoneticPr fontId="1" type="noConversion"/>
  </si>
  <si>
    <t>area</t>
    <phoneticPr fontId="1" type="noConversion"/>
  </si>
  <si>
    <t>unlock_level</t>
    <phoneticPr fontId="1" type="noConversion"/>
  </si>
  <si>
    <t>id</t>
    <phoneticPr fontId="1" type="noConversion"/>
  </si>
  <si>
    <t>dialog_id</t>
    <phoneticPr fontId="1" type="noConversion"/>
  </si>
  <si>
    <t>first_section_id</t>
    <phoneticPr fontId="1" type="noConversion"/>
  </si>
  <si>
    <t>bronze_value</t>
    <phoneticPr fontId="1" type="noConversion"/>
  </si>
  <si>
    <t>bronze_award</t>
    <phoneticPr fontId="1" type="noConversion"/>
  </si>
  <si>
    <t>silver_value</t>
    <phoneticPr fontId="1" type="noConversion"/>
  </si>
  <si>
    <t>silver_award</t>
    <phoneticPr fontId="1" type="noConversion"/>
  </si>
  <si>
    <t>gold_value</t>
    <phoneticPr fontId="1" type="noConversion"/>
  </si>
  <si>
    <t>gold_award</t>
    <phoneticPr fontId="1" type="noConversion"/>
  </si>
  <si>
    <t>next_chapter_id</t>
    <phoneticPr fontId="1" type="noConversion"/>
  </si>
  <si>
    <t>梦的开始</t>
    <phoneticPr fontId="1" type="noConversion"/>
  </si>
  <si>
    <t>condition</t>
  </si>
  <si>
    <t>condition_type</t>
  </si>
  <si>
    <t>condition_id</t>
  </si>
  <si>
    <t>SCORE_MORE_THAN</t>
    <phoneticPr fontId="1" type="noConversion"/>
  </si>
  <si>
    <t>SCORE_NEAR</t>
    <phoneticPr fontId="1" type="noConversion"/>
  </si>
  <si>
    <t>SCORE_MIDDLE</t>
    <phoneticPr fontId="1" type="noConversion"/>
  </si>
  <si>
    <t>SCORE_SHOOT_FAR</t>
    <phoneticPr fontId="1" type="noConversion"/>
  </si>
  <si>
    <t>SCORE_TOTAL</t>
    <phoneticPr fontId="1" type="noConversion"/>
  </si>
  <si>
    <t>REBOUND</t>
    <phoneticPr fontId="1" type="noConversion"/>
  </si>
  <si>
    <t>BLOCK</t>
    <phoneticPr fontId="1" type="noConversion"/>
  </si>
  <si>
    <t>ASSIST</t>
    <phoneticPr fontId="1" type="noConversion"/>
  </si>
  <si>
    <t>STEAL</t>
    <phoneticPr fontId="1" type="noConversion"/>
  </si>
  <si>
    <t>SKILL_USE</t>
    <phoneticPr fontId="1" type="noConversion"/>
  </si>
  <si>
    <t>WIN</t>
    <phoneticPr fontId="1" type="noConversion"/>
  </si>
  <si>
    <t>OPPOSITE_SCORE_NEAR</t>
    <phoneticPr fontId="1" type="noConversion"/>
  </si>
  <si>
    <t>OPPOSITE_SCORE_MIDDLE</t>
    <phoneticPr fontId="1" type="noConversion"/>
  </si>
  <si>
    <t>OPPOSITE_SCORE_SHOOT_FAR</t>
    <phoneticPr fontId="1" type="noConversion"/>
  </si>
  <si>
    <t>燃烧的斗志</t>
  </si>
  <si>
    <t>怀恩多特王者</t>
  </si>
  <si>
    <t>新的挑战</t>
  </si>
  <si>
    <t>狂傲的狂牛</t>
  </si>
  <si>
    <t>对方中投得分小于%s%分</t>
    <phoneticPr fontId="1" type="noConversion"/>
  </si>
  <si>
    <t>对方三分球得分小于%s%分</t>
    <phoneticPr fontId="1" type="noConversion"/>
  </si>
  <si>
    <t>award_pack7</t>
  </si>
  <si>
    <t>award_pack8</t>
  </si>
  <si>
    <t>award_pack9</t>
  </si>
  <si>
    <t>award_pack10</t>
  </si>
  <si>
    <t>content</t>
    <phoneticPr fontId="1" type="noConversion"/>
  </si>
  <si>
    <t>next_dialog_id</t>
    <phoneticPr fontId="1" type="noConversion"/>
  </si>
  <si>
    <t>奖励库</t>
  </si>
  <si>
    <t>reset_times</t>
    <phoneticPr fontId="11" type="noConversion"/>
  </si>
  <si>
    <t>consume_type</t>
    <phoneticPr fontId="11" type="noConversion"/>
  </si>
  <si>
    <t>consume</t>
    <phoneticPr fontId="11" type="noConversion"/>
  </si>
  <si>
    <t>你们给我走着瞧！</t>
  </si>
  <si>
    <t>就你们几个欺负我弟弟？</t>
  </si>
  <si>
    <t>呼，终于把他们赶走了。</t>
  </si>
  <si>
    <t>柏罗，你太笨了。刚刚那个球明明可以进的。</t>
  </si>
  <si>
    <t>怪我咯？明明是你太蠢。防守的时候连人都盯不住。</t>
  </si>
  <si>
    <t>真想把你扔马桶里看看是马桶臭还是你的嘴更臭。</t>
  </si>
  <si>
    <t>你想做什么？我警告你，你敢告诉我哥你就死定了。</t>
  </si>
  <si>
    <t>你以为我是被吓大的么？你不让我说我就偏要说。</t>
  </si>
  <si>
    <t>你···站住别跑。</t>
  </si>
  <si>
    <t>算了，他已经走了，我们好好准备一下明天参加的比赛吧。</t>
  </si>
  <si>
    <t>你妹妹她不愿意你没必要强逼着她跟你回去吧。</t>
  </si>
  <si>
    <t>卡森纳德队是吧，听说是只会在比赛中下黑手来达到获胜的家伙。</t>
  </si>
  <si>
    <t>话可别乱说。我们可不会违反比赛规则。但是这里路滑，你们不小心摔一下什么的也不能怪我们吧。</t>
  </si>
  <si>
    <t>篮球这项运动绝不容忍你们这样的手段。</t>
  </si>
  <si>
    <t>其实你不弱，为什么就不能堂堂正正的比赛。</t>
  </si>
  <si>
    <t>怀恩多特王者？</t>
  </si>
  <si>
    <t>怀恩多特来的？有意思。伙伴们，这里有几个外地来的。我们抽几分钟时间陪他们玩玩怎么样？</t>
  </si>
  <si>
    <t>怀恩多特的不赖嘛。</t>
  </si>
  <si>
    <t>代表怀恩多特来参赛的居然不是博森骑士队，看来那几个家伙也败给你们了？</t>
  </si>
  <si>
    <t>博森骑士队什么实力我清楚。每年的联赛中我们都没有讨过好处。在我面前谦虚我会觉得他是在炫耀。</t>
  </si>
  <si>
    <t>嘿··伙计。我们没有这个意思。</t>
  </si>
  <si>
    <t>厉害，我佩服。说实话，小子。开始对你很不满。现在觉得你人还挺不错。</t>
  </si>
  <si>
    <t>你别再误会我是在炫耀就行了。</t>
  </si>
  <si>
    <t>爱丝特，玩的差不多就可以了。再不去上课维尔福教授要生气了。</t>
  </si>
  <si>
    <t>唷，这小妞蛮正的嘛，这是你的马子？借给爷爷我玩几天怎么样？</t>
  </si>
  <si>
    <t>你说谁是马子呢，你嘴巴放干净点。我告诉你。</t>
  </si>
  <si>
    <t>怀恩多特还真是不怎么样。随便一个不起眼的小队伍都敢出来挑战了。</t>
  </si>
  <si>
    <t>你们输了，要说败因的话，那就是还不够强，仅此而已。</t>
  </si>
  <si>
    <t>我们比你更强，我就是为了证明这点才来到这里。事实证明我们做到了。</t>
  </si>
  <si>
    <t>嘿嘿嘿，你们几个别自顾自的在那说话，球场你们用了这么久了。该让出来了吧？</t>
  </si>
  <si>
    <t>你是什么人？这里轮不到你插嘴吧。</t>
  </si>
  <si>
    <t>小妞挺泼辣的啊，敢和爷打个赌吗？输了今晚伺候爷怎么样？哈哈哈。</t>
  </si>
  <si>
    <t>哥，就是他们几个。</t>
  </si>
  <si>
    <t>达克，尿完就叫你哥帮你提裤衩么？</t>
  </si>
  <si>
    <t>连我的人都敢欺负，你知道我是谁么？</t>
  </si>
  <si>
    <t>我还真不知道。你来不就是为了动动嘴皮子吧？</t>
  </si>
  <si>
    <t>够嚣张，够狂。那我就让你长点记性。</t>
  </si>
  <si>
    <t>这么说你是答应加入球队了？太好了！</t>
  </si>
  <si>
    <t>告诉你，虽然我现在加入球队了，但是如果不能代表怀恩多特参加街球联盟赛的话，我可没兴趣陪你一直这样。</t>
  </si>
  <si>
    <t>我去哪个球队跟你有什么关系？</t>
  </si>
  <si>
    <t>为什么你不肯来我的球队？</t>
  </si>
  <si>
    <t>兄弟，不好意思，你输了。</t>
  </si>
  <si>
    <t>卡尔文，连这种人都赢不了，你还是别再来烦我了。</t>
  </si>
  <si>
    <t>拉里威廉姆斯！你们来干什么？</t>
  </si>
  <si>
    <t>你的小弟看来也不怎么样嘛。</t>
  </si>
  <si>
    <t>别以为你赢了他们就很了不起。你在我面前仍然是个小蝼蚁而已。</t>
  </si>
  <si>
    <t>这两个家伙还是这么爱争嘴。</t>
  </si>
  <si>
    <t>我倒是觉得他们挺可爱的。</t>
  </si>
  <si>
    <t>今年的街球联盟赛值得期待啊。</t>
  </si>
  <si>
    <t>你们好啊，小伙计们！刚刚看了你们的比赛。老实说打得很棒。</t>
  </si>
  <si>
    <t>又见面了，各位。</t>
  </si>
  <si>
    <t>作为手下败将你不应该躲起来么？为何还出现在我面前。</t>
  </si>
  <si>
    <t>上次不过是你们运气好罢了，我说过我会在比赛时十倍奉还。</t>
  </si>
  <si>
    <t>我能踩你一次就能踩你十次，一百次。</t>
  </si>
  <si>
    <t>我这个队长都还没说话，你这样说我的队员似乎不合理吧？</t>
  </si>
  <si>
    <t>你这群混蛋。你究竟使了什么妖法，把我妹妹从我身边带走了。</t>
  </si>
  <si>
    <t>你是谁？我和我妹妹说话关你屁事。</t>
  </si>
  <si>
    <t>她是我的队员，我们还要一起参加夺冠街球联盟赛。</t>
  </si>
  <si>
    <t>夺冠？不是我看轻你。别太把自己当回事。</t>
  </si>
  <si>
    <t>哥，你就别逼我回去了。好不好。</t>
  </si>
  <si>
    <t>哥，你是我唯一的亲人。但我也有我的理想。我想要自己决定我的生活。而不是在你的庇护下长大。</t>
  </si>
  <si>
    <t>几位都是新面孔啊，才成立的战队吗？</t>
  </si>
  <si>
    <t>我从小就喜欢篮球，自从来美国留学以后。我更是迷上了街球这项运动。</t>
  </si>
  <si>
    <t>今年我一定要代表怀恩多特地区参加巡回赛。所以今天必须战胜你。</t>
  </si>
  <si>
    <t>代表怀恩多特地区参加巡回赛同样是我们的目标，所以我们不会让步。</t>
  </si>
  <si>
    <t>那就开始吧，看看是你的自信更强还是我的觉悟更高。</t>
  </si>
  <si>
    <t>看来今年没有机会跟博森骑士队交手了。</t>
  </si>
  <si>
    <t>是的，想要代表怀恩多特参加城市角逐。必须要战胜博森骑士队。</t>
  </si>
  <si>
    <t>是个强劲的对手啊。</t>
  </si>
  <si>
    <t>自从我参加街球联盟赛以来。从来没在他们手里讨到过好处。希望你能创造奇迹。替我完成这个愿望。</t>
  </si>
  <si>
    <t>呼，今天的一战不容易。</t>
  </si>
  <si>
    <t>别怕，博森骑士虽然是历届代表怀恩多特参加城市街球角逐的战队。但是我们也不是一点机会都没有。</t>
  </si>
  <si>
    <t>我看过你们的比赛，没想到初成立的球队会有这等成绩。</t>
  </si>
  <si>
    <t>跟你们相比还是有差距啊。</t>
  </si>
  <si>
    <t>有能力争，就要去争取。怀恩多特的王座要靠你们自己争取。</t>
  </si>
  <si>
    <t>恭喜你们了，怀恩多特会以你们为骄傲。</t>
  </si>
  <si>
    <t>真不敢相信，我们居然赢了。真的赢了！</t>
  </si>
  <si>
    <t>是啊，我们赢了。</t>
  </si>
  <si>
    <t>以后怀恩多特能否在街球联盟中抬头就看你们的了。</t>
  </si>
  <si>
    <t>嗯，我一定会让怀恩多特这个名字在联盟中打响。</t>
  </si>
  <si>
    <t>这里就是罗杰斯公园了，四处都弥漫着挑战的气氛。</t>
  </si>
  <si>
    <t>我喜欢这里，不由的开始热血沸腾了。</t>
  </si>
  <si>
    <t>有点迫不及待想跟他们较量一下了。</t>
  </si>
  <si>
    <t>嘿，外来的几个。要不要来比一比。</t>
  </si>
  <si>
    <t>谁说不是呢。</t>
  </si>
  <si>
    <t>你们也很强，期望在正式比赛里再战。</t>
  </si>
  <si>
    <t>哦？你们是来这里参加街球联盟赛的。</t>
  </si>
  <si>
    <t>嗯，我们代表怀恩多特而来。</t>
  </si>
  <si>
    <t>难怪实力这么强，原来是怀恩多特的冠军队伍。</t>
  </si>
  <si>
    <t>我们侥幸获得胜利而已。</t>
  </si>
  <si>
    <t>开始比赛吧，我想领教一下能打败博森骑士的新兴队伍是什么水平。</t>
  </si>
  <si>
    <t>我的变化可大了。现在我的球技已经不在你之下了哦。</t>
  </si>
  <si>
    <t>时隔五年，我们还能在同一个球场上较量。</t>
  </si>
  <si>
    <t>是啊，以前斗牛都是你让我两球。现在我要和你公平较量。</t>
  </si>
  <si>
    <t>还以为这次能赢你呢，万万没想到。</t>
  </si>
  <si>
    <t>你进步也蛮大的，没想到五年来你变化这么大。</t>
  </si>
  <si>
    <t>学长加油，以后的比赛我会抽空去帮你助威的。</t>
  </si>
  <si>
    <t>没想到罗杰斯传奇会来看我们的比赛。真是受宠若惊啊。</t>
  </si>
  <si>
    <t>我总要知道对手是怎样的实力对吧，即兴来一场怎么样？</t>
  </si>
  <si>
    <t>哎，真可惜。难得好好玩一场球。下次在赛场上再见吧。</t>
  </si>
  <si>
    <t>你们并没有拿出真正实力吧，我所知道的黑鹰实力远不止这样。</t>
  </si>
  <si>
    <t>谁知道呢！下次见啦。</t>
  </si>
  <si>
    <t>不用多说，直接开始比赛吧。</t>
  </si>
  <si>
    <t>他是号称鬼斧之手的卡伯特，沉默寡言。但实力不容小觑。</t>
  </si>
  <si>
    <t>嗯，我知道了。我会小心应对的。</t>
  </si>
  <si>
    <t>我输了。</t>
  </si>
  <si>
    <t>又见面啦，上次我们还没有分出胜负。这次一定要跟你一决高下。</t>
  </si>
  <si>
    <t>我知道上次你并没有拿出全部实力。希望这次你能全力以赴。</t>
  </si>
  <si>
    <t>我说你们两别自顾自的说啊。可别以为黑鹰只有一个人啊。</t>
  </si>
  <si>
    <t>那我来做你的对手怎么样。</t>
  </si>
  <si>
    <t>可恶，我不服，我们再来一场。刚刚那局不算。</t>
  </si>
  <si>
    <t>你怎么能跟想孩子一样赖皮呢！</t>
  </si>
  <si>
    <t>好了，爱丝特。不服就明年重新来过。</t>
  </si>
  <si>
    <t>可是·</t>
  </si>
  <si>
    <t>没什么可是的，明天还有维尔福教授的测验呢。快回去复习了。</t>
  </si>
  <si>
    <t>你还是多想想一会比赛结束后怎么保住你的第三条腿吧。</t>
  </si>
  <si>
    <t>把他交给我，我要让他知道侮辱我的队友会是什么下场。</t>
  </si>
  <si>
    <t>已经教他重新做人了，我们走吧。</t>
  </si>
  <si>
    <t>体型方面确实挺吃亏的啊。不过既然代表怀恩多特。那就不应该退缩。</t>
  </si>
  <si>
    <t>老实说开始觉得有点不爽了。</t>
  </si>
  <si>
    <t>那就拿出实力来，在这个世界上只有胜利是一切。胜者的一切会被肯定，败者的一切会被否定。</t>
  </si>
  <si>
    <t>你别太狂，我会让你后悔。</t>
  </si>
  <si>
    <t>要说狂妄貌似也是你们更甚一些吧。</t>
  </si>
  <si>
    <t>拉里威廉姆斯还真是说中了，你们居然能挺到这一步。</t>
  </si>
  <si>
    <t>他是你什么人？</t>
  </si>
  <si>
    <t>山王组织后卫，外人称呼我为林疯狂。</t>
  </si>
  <si>
    <t>原来是拉里威廉姆斯的走狗，你来这做什么？</t>
  </si>
  <si>
    <t>敢这么对我说话的人，你还是第一个。我要你向我道歉。</t>
  </si>
  <si>
    <t>你脑子没病吧？要不要帮你叫医生？</t>
  </si>
  <si>
    <t>回去告诉拉里威廉姆斯，被踩的日子不远了。</t>
  </si>
  <si>
    <t>你们能胜过这里其他队再说吧。</t>
  </si>
  <si>
    <t>我承认以前你确实比我强，但你那高高在上的态度真的让人很不爽。</t>
  </si>
  <si>
    <t>那又怎么样，你别以为我的实力还跟以前一样。以前把你碾在脚下，现在也一样可以。</t>
  </si>
  <si>
    <t>那就让你们几个见识下真正的篮球是什么样的吧。</t>
  </si>
  <si>
    <t>不可能！你这蝼蚁怎么可能赢得了我。</t>
  </si>
  <si>
    <t>伯里斯，你为什么不来参加街球联盟赛？</t>
  </si>
  <si>
    <t>我已经放弃了。以后不会再和你竞争了。</t>
  </si>
  <si>
    <t>当初说好的各自加入一个球队在比赛中一决胜负。我现在站你面前，你却告诉我你放弃了？</t>
  </si>
  <si>
    <t>你能应约我很高兴，但现在的我已经没有资格和你竞争了。</t>
  </si>
  <si>
    <t>有没有资格不是你说了算，站起来，和我打球。</t>
  </si>
  <si>
    <t>接好球，你必须和我打！</t>
  </si>
  <si>
    <t>你怎么变得这么弱，发生了什么？</t>
  </si>
  <si>
    <t>我沾染了毒品，现在的身体已经没有能力再和你竞争了</t>
  </si>
  <si>
    <t>唷，伯里斯你还能拿稳球啊？我还以为你现在爬都爬不起来了呢。哈哈哈。</t>
  </si>
  <si>
    <t>这么急着维护你的朋友啊，你自己都成了毒虫了，还有心思管别人？你这条废物当初就不应该让你站起来。</t>
  </si>
  <si>
    <t>混蛋，原来就是你把他弄成这个样子的！</t>
  </si>
  <si>
    <t>哈哈哈！是又怎么样？我就是要让他打不成篮球。废物就是废物。</t>
  </si>
  <si>
    <t>混账东西，你给我滚出这里。</t>
  </si>
  <si>
    <t>我警告你，以后别再出现在这里！</t>
  </si>
  <si>
    <t>就算你打败了我又如何，这片区域迟早是我们黑龙帮的。</t>
  </si>
  <si>
    <t>没想到那些人居然是黑帮组织。这些人怎么会来打街球？</t>
  </si>
  <si>
    <t>我们这里有一个不成文的规定，西四大街的每个片区都有一个街球或者几个街球球队存在。</t>
  </si>
  <si>
    <t>而争夺地盘必须要以街球来解决。即便他们是黑帮也无法违背这个规定。</t>
  </si>
  <si>
    <t>所以他们就用卑鄙的手段让你们变弱，然后再趁势拿下地盘？</t>
  </si>
  <si>
    <t>你们还是走吧，和他们斗没有好下场。</t>
  </si>
  <si>
    <t>既然你们没有人能够比赛了。那么这块地盘以后就属于黑龙帮了。</t>
  </si>
  <si>
    <t>咳咳···篮球可不是那么打的，不管怎么样使用暴力是不对的。</t>
  </si>
  <si>
    <t>呵，你还挺顽强的。这样都没把你弄趴下。</t>
  </si>
  <si>
    <t>伯里斯要守护的东西，我来替他守护！</t>
  </si>
  <si>
    <t>真是感人啊！感动得我都想把你一起废掉了。既然你要搀和进来，那我就成全你好了。</t>
  </si>
  <si>
    <t>这笔账我们黑龙帮记住了，我们走。</t>
  </si>
  <si>
    <t>对不起，连累你们了。</t>
  </si>
  <si>
    <t>别提什么连累不连累的，我唯一的期望就是你能履行当年的约定。去戒毒所吧。要好起来啊，兄弟！</t>
  </si>
  <si>
    <t>嗯，我会努力的。谢谢！</t>
  </si>
  <si>
    <t>嘻~小哥你可真会说话，不过我球打的更漂亮呢！</t>
  </si>
  <si>
    <t>有意思，那我就要向各位姑娘学习学习了。</t>
  </si>
  <si>
    <t>好啊，那就让我来教教你怎么打球吧！</t>
  </si>
  <si>
    <t>小哥的实力果然不俗呢，难怪有这么自信。</t>
  </si>
  <si>
    <t>姑娘们的实力也不同凡响。</t>
  </si>
  <si>
    <t>切，你看到美女魂都被勾没了。</t>
  </si>
  <si>
    <t>我我我···我吃谁醋。别胡说八道。</t>
  </si>
  <si>
    <t>请问这里谁是你们的头领？</t>
  </si>
  <si>
    <t>你是谁！黑龙帮派来占领我们地盘的？</t>
  </si>
  <si>
    <t>不要误会，我不是黑龙帮的。我只是找你们问点事情。</t>
  </si>
  <si>
    <t>我们没有什么好回答的，你走吧。别妨碍我们。</t>
  </si>
  <si>
    <t>我朋友遭黑龙帮暗算，如果你知道些黑龙帮的事情请告诉我。</t>
  </si>
  <si>
    <t>你朋友的事与我无关，真想从我嘴里知道东西就拿出实力来较量一番。</t>
  </si>
  <si>
    <t>自从黑龙帮来了以后。我们这片区就没有过好日子。所以碰到陌生人都特别反感，会以为是黑龙帮的人。</t>
  </si>
  <si>
    <t>我朋友遭他们毒手，我想要打败黑龙帮。让他们滚出篮球界。</t>
  </si>
  <si>
    <t>劝你们还是放弃吧，黑龙帮现在势力十分庞大，不是靠你们几个就能推翻的。</t>
  </si>
  <si>
    <t>喂，你们要找黑龙帮？</t>
  </si>
  <si>
    <t>没错，你知道些什么吗？请告诉我黑龙帮的事情。</t>
  </si>
  <si>
    <t>告诉你倒是可以，但是我必须要确定你有足够的实力。否则你败在黑龙帮手里到时候我就惨了。</t>
  </si>
  <si>
    <t>行，只要你肯告诉我。</t>
  </si>
  <si>
    <t>黑龙帮最近在我们附近的几个地区都有势力渗入，西四街的黑龙帮头领是个女的，据说叫····</t>
  </si>
  <si>
    <t>乔，感觉你最近过得挺舒适的嘛。</t>
  </si>
  <si>
    <t>咦？克里斯提娜，你怎么在这里？</t>
  </si>
  <si>
    <t>小哥，没想到在这里也能碰到你们啊。</t>
  </si>
  <si>
    <t>就是她！！她就是黑龙帮在西四街头的首领！</t>
  </si>
  <si>
    <t>什么？！</t>
  </si>
  <si>
    <t>小子，你别胡说！她怎么会是黑龙帮的人。</t>
  </si>
  <si>
    <t>我没有骗你，信不信由你。</t>
  </si>
  <si>
    <t>黑龙帮又怎样？我有害过你们么？</t>
  </si>
  <si>
    <t>黑龙帮作恶多端，既然你是黑龙帮的人。那么我们也该划清界限。</t>
  </si>
  <si>
    <t>为什么？为什么你是黑龙帮的人？</t>
  </si>
  <si>
    <t>亏我还把你们当朋友呢。没想到这么快就反目。既然这样我也不会再手下留情。</t>
  </si>
  <si>
    <t>提娜姐，别担心。我已经召集了帮众。在快速赶来。他们走不了。</t>
  </si>
  <si>
    <t>动点脑子行么，这里是街球联盟赛。容不得放肆。</t>
  </si>
  <si>
    <t>可是···</t>
  </si>
  <si>
    <t>以前听说圆屋也是街球圣地，怎么球场上这么荒凉。</t>
  </si>
  <si>
    <t>黑龙帮还没有来之前，圆屋公园是和谐美丽的地方。</t>
  </si>
  <si>
    <t>怎么？黑龙帮的势力已经渗透到这里来了？</t>
  </si>
  <si>
    <t>现在比较大的几个街球公园都有他们的势力。街球界再也没有以前的安宁了。</t>
  </si>
  <si>
    <t>黑龙帮真是作恶多端，总有一天会让他们吃尽苦头。</t>
  </si>
  <si>
    <t>你们就是怀恩多特来的几位吧？</t>
  </si>
  <si>
    <t>你怎么知道，难道我的名字已经写脸上了？</t>
  </si>
  <si>
    <t>西四大街一役后，大家都对你们刮目相看了。不知道能不能有幸和你来一场对决呢？</t>
  </si>
  <si>
    <t>果然和传闻一样。我实力不如你。</t>
  </si>
  <si>
    <t>你们有想过将地盘夺回来吗？</t>
  </si>
  <si>
    <t>我们曾组织向黑龙帮发起过挑战，但没有能力阻止黑龙帮的凶焰。希望各位能伸出援手，阻止黑龙帮带来的灾难。</t>
  </si>
  <si>
    <t>我们会尽力，打乱街球界和平的人我绝不会姑息。</t>
  </si>
  <si>
    <t>黑龙帮作恶多端，我不会饶恕他们。</t>
  </si>
  <si>
    <t>黑龙帮势力滔天，你有没有考虑过后果？</t>
  </si>
  <si>
    <t>黑龙帮不是好惹的，年轻气盛有热血是好事，但是不要被热血冲昏头脑。</t>
  </si>
  <si>
    <t>你是谁？</t>
  </si>
  <si>
    <t>先别问我是谁，至少要用行动告诉我你是有资格知道我名字的！</t>
  </si>
  <si>
    <t>有两下子。我是洛夫科罗森队长——艾许莉。</t>
  </si>
  <si>
    <t>你就是圆屋雄狮洛夫科罗森战队的艾许莉？</t>
  </si>
  <si>
    <t>不错，就是我。</t>
  </si>
  <si>
    <t>虽然你们实力不弱，但是我还是建议你们别去挑战黑龙帮。</t>
  </si>
  <si>
    <t>为什么？</t>
  </si>
  <si>
    <t>我曾和黑龙帮一对一交过手，在他的防守下我几乎没有得手过。</t>
  </si>
  <si>
    <t>什么人这么厉害，连你都毫无办法。</t>
  </si>
  <si>
    <t>铁手——克莱因斯·福诺，他这称号可不是白来的。在他的防守下。我的进攻几乎都无效化了。</t>
  </si>
  <si>
    <t>我相信每个人都有弱点，也许你只是没找到他的弱点而已。</t>
  </si>
  <si>
    <t>你是在怀疑我的进攻能力？</t>
  </si>
  <si>
    <t>不不不，我并没有这样说。</t>
  </si>
  <si>
    <t>但你的行动是这样告诉我的。睁大眼睛看好我的进攻不是你想的那样弱。</t>
  </si>
  <si>
    <t>抱歉，我真没有怀疑过你的实力。</t>
  </si>
  <si>
    <t>你要找黑龙帮麻烦我不会再拦着你。还有，我会在街球联盟赛中找回场子的。</t>
  </si>
  <si>
    <t>别忘心里去，传闻艾许莉就是直性子。她并没有真的记恨你。</t>
  </si>
  <si>
    <t>但愿这样吧。</t>
  </si>
  <si>
    <t>还是专心接下来的比赛吧。下次赛场上再和她认真比赛一场。</t>
  </si>
  <si>
    <t>去年来巡回赛的怀恩多特队伍还不是你们。没想到一年后以前的对手都不见了。</t>
  </si>
  <si>
    <t>看来你一定和博森骑士的前辈很熟悉吧。</t>
  </si>
  <si>
    <t>前辈他很好，他还等着我夺得冠军带回怀恩多特呢。</t>
  </si>
  <si>
    <t>老实说你的实力让我很钦佩。好久没有打的这么畅快了。</t>
  </si>
  <si>
    <t>海勒，这就是今天我们的对手了。他们来自··</t>
  </si>
  <si>
    <t>不用给我说这么多，我也没兴趣知道。我只想打好自己的篮球就够了。</t>
  </si>
  <si>
    <t>这人怎么跟个冰块一样，摆个冰块脸。看着真让人生气！</t>
  </si>
  <si>
    <t>海勒他一直都是这样，小时候他失去亲人后就变得沉默寡言。不过他的投篮确实非常出色。</t>
  </si>
  <si>
    <t>是么，那我要和他好好比一比。</t>
  </si>
  <si>
    <t>冰块脸，真正热爱街球的都是我的朋友。相信我们也能成为好朋友的。</t>
  </si>
  <si>
    <t>明明一直都觉得一个人是理所当然的，所谓的孤独明明早就不在意了。</t>
  </si>
  <si>
    <t>海勒，敞开心扉吧，你还有我们这些朋友。</t>
  </si>
  <si>
    <t>圆屋的美女挺多的呀，你们这的美女都喜欢打篮球吗？</t>
  </si>
  <si>
    <t>你以为随便夸我两句就会对你手下留情吗？其实我最讨厌你这种虚于表相，浮夸的人。</t>
  </si>
  <si>
    <t>我很浮夸吗？我有浮夸吗？</t>
  </si>
  <si>
    <t>咳咳，专心比赛吧。</t>
  </si>
  <si>
    <t>去年涌现了四位传奇新秀，他们都拥有职业级的水准。今天要跟我们比赛的就是其中一位了。</t>
  </si>
  <si>
    <t>有什么了不起的。明年的我们个个都是传奇新秀。</t>
  </si>
  <si>
    <t>哼，感觉被你小瞧了呢，让人有些火大。</t>
  </si>
  <si>
    <t>抱歉，她没有小瞧你的意思，相反的我们特别希望跟你这样的强者比赛。</t>
  </si>
  <si>
    <t>正好，我也想正看看你明年的传奇新秀有几分实力。</t>
  </si>
  <si>
    <t>艾许莉队长，我们又见面了。</t>
  </si>
  <si>
    <t>你们好。我是艾许莉队友弗雷德里卡。</t>
  </si>
  <si>
    <t>四位传奇新秀之中的得分后卫——弗雷德里卡，看来有一场苦战了。</t>
  </si>
  <si>
    <t>看来这些年的球我是白打了。</t>
  </si>
  <si>
    <t>你现在觉得我有和黑龙帮一战的实力了么？</t>
  </si>
  <si>
    <t>还不够，黑龙帮比你想象的厉害得多。</t>
  </si>
  <si>
    <t>那你告诉我铁手人在哪儿？</t>
  </si>
  <si>
    <t>你真要找他的话去卡梅登看看吧，一个月前据说他在那里出现过。</t>
  </si>
  <si>
    <t>卡梅登公园，是个好地方。</t>
  </si>
  <si>
    <t>打街球的人提到卡梅登公园就会想到拉劳斯，那个代表卡梅登夺得多次冠军的传奇人物。</t>
  </si>
  <si>
    <t>以前学校的交流会上有幸见过拉劳斯打球，那时的他已经是球技卓越了。</t>
  </si>
  <si>
    <t>明天就有机会领教了，刚来这里，先来一场斗牛热热身吧。</t>
  </si>
  <si>
    <t>你和我打？</t>
  </si>
  <si>
    <t>不不不，前面球场看到了吗？我们一人挑一个对手斗牛，看看谁能在最短的时间内战胜对方。</t>
  </si>
  <si>
    <t>有意思，走！</t>
  </si>
  <si>
    <t>呼，累出一身汗舒服多啦。</t>
  </si>
  <si>
    <t>所以结果是你赢还是我赢！</t>
  </si>
  <si>
    <t>不分胜负，几乎是同时。</t>
  </si>
  <si>
    <t>胡说，肯定是我先！</t>
  </si>
  <si>
    <t>当然紧张了，对方可是拉劳斯。</t>
  </si>
  <si>
    <t>我又不是什么怪物，紧张什么。正好很久没打球了。今天想动动身子。</t>
  </si>
  <si>
    <t>拉劳斯，医生不是叫你多休息一下么。你现在不能打篮球！</t>
  </si>
  <si>
    <t>难得有这兴致，你就让我打吧。我自己有分寸的。</t>
  </si>
  <si>
    <t>大神，你的腿怎么了！！！</t>
  </si>
  <si>
    <t>我没事···嘶····</t>
  </si>
  <si>
    <t>还说没事··你都这样了··我们快去医院。</t>
  </si>
  <si>
    <t>别这么扭扭捏捏的，这点小伤算什么。</t>
  </si>
  <si>
    <t>可恶！你明知道拉劳斯大哥有腿伤，你还坚持让他和你打球。你还有人性吗？</t>
  </si>
  <si>
    <t>喂！你怎么说话呢！我们事先又不知道。</t>
  </si>
  <si>
    <t>少在这虚伪了，拉劳斯大哥有什么事的话我不会放过你。你想打球是吧？我来教训你！</t>
  </si>
  <si>
    <t>凯罗，够了，我没事。别为难他们。</t>
  </si>
  <si>
    <t>大哥，我····</t>
  </si>
  <si>
    <t>对不起，给你们添麻烦了。</t>
  </si>
  <si>
    <t>我不要紧的，不过大神的腿伤是怎么回事？</t>
  </si>
  <si>
    <t>拉劳斯他···他在前一段时间和黑龙帮的交手时，为了保护我不被受伤，他自己却···</t>
  </si>
  <si>
    <t>那一场我们输了。医生说拉劳斯以后恐怕都不能再打球了。</t>
  </si>
  <si>
    <t>黑龙帮真是欺人太甚！</t>
  </si>
  <si>
    <t>你要去哪儿！</t>
  </si>
  <si>
    <t>我要去找他们算账，凯罗你知道黑龙帮的人在哪吗？</t>
  </si>
  <si>
    <t>我知道，我带你们去！</t>
  </si>
  <si>
    <t>站住！不许去。你们不是黑龙帮的对手，这样拉劳斯会更不放心的。</t>
  </si>
  <si>
    <t>你们这群垃圾还真是阴魂不散，在哪儿都想跟黑龙帮作对。</t>
  </si>
  <si>
    <t>卡沃尔，你这个黑龙帮的走狗！我正愁找不到你，来得还真是时候！</t>
  </si>
  <si>
    <t>快说，黑龙帮的据点在哪？</t>
  </si>
  <si>
    <t>呸，你敢动我黑龙帮不会放过你们。</t>
  </si>
  <si>
    <t>还嘴硬，我看你说不说！你说不说！</t>
  </si>
  <si>
    <t>我说，我说。黑龙帮就在·····</t>
  </si>
  <si>
    <t>啊！！！！真狡诈。居然让他跑了。</t>
  </si>
  <si>
    <t>不怕，我知道黑龙帮据点在哪儿。他跑不了，</t>
  </si>
  <si>
    <t>这里怎么阴森森的！好可怕。</t>
  </si>
  <si>
    <t>害怕你就先回去，你要是有什么事，你哥哥肯定也会担心的。</t>
  </si>
  <si>
    <t>我不怕，你不许赶我走。</t>
  </si>
  <si>
    <t>你们是谁，这里是黑龙帮的领地。禁止闲人入内。</t>
  </si>
  <si>
    <t>黑龙帮是么？看来没有找错地方。</t>
  </si>
  <si>
    <t>兄弟们，有人来砸场子！</t>
  </si>
  <si>
    <t>你是谁？你别过来！</t>
  </si>
  <si>
    <t>你不用知道我是谁！现在领地归我们了。回去告诉你们头，黑龙帮以后没有好日子过了。</t>
  </si>
  <si>
    <t>听说费恩的地盘都被你们给踹了，有点能耐啊。</t>
  </si>
  <si>
    <t>你的下场也会和费恩一样。</t>
  </si>
  <si>
    <t>不要以为有点实力就可以猖狂，自以为是的家伙，想来黑龙帮撒野得问问我！</t>
  </si>
  <si>
    <t>我没事，你怎么来了？拉劳斯他的腿伤好些了吗？</t>
  </si>
  <si>
    <t>他没事了，听说你们去了黑龙帮场子，他放心不下你们，让我过来看看。</t>
  </si>
  <si>
    <t>这里很危险。你先回去吧，告诉拉劳斯大神不用担心。</t>
  </si>
  <si>
    <t>没事，这点场面我还可以应付得来。</t>
  </si>
  <si>
    <t>莰蒂丝，就是这几个家伙，你要帮我报仇，把地盘夺回来啊。</t>
  </si>
  <si>
    <t>很久没人敢来黑龙帮闹事了，你们胆子还真是大。敢来这里就让你付出代价。</t>
  </si>
  <si>
    <t>格罗瑞娅，你还不出手，在等什么？</t>
  </si>
  <si>
    <t>你们还真是没用，这几个人都应付不了。枉费上头那么重视你们。</t>
  </si>
  <si>
    <t>你····</t>
  </si>
  <si>
    <t>你居然是黑龙帮内奸！</t>
  </si>
  <si>
    <t>不到逼不得已我也不想现在暴露身份，怪就怪你们多管闲事。</t>
  </si>
  <si>
    <t>这么说拉劳斯大神的受伤也跟你有关系？</t>
  </si>
  <si>
    <t>拉劳斯他确实是因为我才受伤的，但我并没有故意的想要去伤害他。</t>
  </si>
  <si>
    <t>我最痛恨的就是背叛，既然你是黑龙帮的人。那么就要做好被我打败的觉悟。</t>
  </si>
  <si>
    <t>你走吧，不要再出现在拉劳斯大神面前。</t>
  </si>
  <si>
    <t>这里就是街球天堂，第155公园么。果然群英云集啊。</t>
  </si>
  <si>
    <t>这里的选手都好厉害。</t>
  </si>
  <si>
    <t>当然了，这里的街球已经有50多年历史了。也出过无数的传奇球员。创造过无数传奇记录。</t>
  </si>
  <si>
    <t>好想马上跟他们较量一下。</t>
  </si>
  <si>
    <t>小妹妹，我陪你们玩一局如何？</t>
  </si>
  <si>
    <t>露西娅，你就别逗她了。</t>
  </si>
  <si>
    <t>露西娅好厉害··</t>
  </si>
  <si>
    <t>她也是四大新秀之一，有这份实力是很正常的。</t>
  </si>
  <si>
    <t>哪有你厉害，直接敢和黑龙帮抬杠。</t>
  </si>
  <si>
    <t>露西娅，你能带我去一下比赛的场地么？</t>
  </si>
  <si>
    <t>好啊，正好你们的对手我也认识。</t>
  </si>
  <si>
    <t>露西娅，这次你又给我带来了什么样的对手。</t>
  </si>
  <si>
    <t>教授你好。</t>
  </si>
  <si>
    <t>真没想到来第155公园后的一个对手居然是你。</t>
  </si>
  <si>
    <t>教授，他们可是打败卡梅登公园黑龙帮的人。别小看他们哦。</t>
  </si>
  <si>
    <t>哎，看来不使出全力不行了。</t>
  </si>
  <si>
    <t>格雷森，你好歹也是名人了，欺负后辈好意思么。</t>
  </si>
  <si>
    <t>他们可不简单，魔术师和拉劳斯对他们特别看好。之前不久更是大闹了卡梅登公园的黑龙帮地盘。</t>
  </si>
  <si>
    <t>我没问题，前辈们喜欢就好。</t>
  </si>
  <si>
    <t>那就好，这次我可不会留手了。</t>
  </si>
  <si>
    <t>吴策。现在吃亏了吧。</t>
  </si>
  <si>
    <t>我只是最近没打球有点手生而已。话说回来你又没赢自豪个什么劲。</t>
  </si>
  <si>
    <t>今天正式比赛，我要拿出真正实力了。</t>
  </si>
  <si>
    <t>昨天是谁说我欺负后辈来着？</t>
  </si>
  <si>
    <t>你都说了他们不是普通的队伍。肯定不能再轻率了。</t>
  </si>
  <si>
    <t>吴策大哥能全力以赴，我们当然乐意奉陪。</t>
  </si>
  <si>
    <t>我说你们两个是不是故意放水！故意气我是吧。</t>
  </si>
  <si>
    <t>胡说，我上场从来都是全力以赴，明明是你在划水好吧!</t>
  </si>
  <si>
    <t>icon</t>
  </si>
  <si>
    <t>奖励库2</t>
  </si>
  <si>
    <t>奖励库3</t>
  </si>
  <si>
    <t>奖励库4</t>
  </si>
  <si>
    <t>奖励库5</t>
  </si>
  <si>
    <t>奖励库6</t>
  </si>
  <si>
    <t>奖励库7</t>
  </si>
  <si>
    <t>奖励库8</t>
  </si>
  <si>
    <t>奖励库9</t>
  </si>
  <si>
    <t>switch</t>
    <phoneticPr fontId="1" type="noConversion"/>
  </si>
  <si>
    <t>就你这模样还敢打爱丝注意，撒泡尿好好照照自己吧。</t>
  </si>
  <si>
    <t>爱丝，感觉你加入球队怎么一副不情愿的样子。</t>
  </si>
  <si>
    <t>什么？爱丝。你居然加入别人球队了？就这种破队伍也值得你去？</t>
  </si>
  <si>
    <t>当初邀请爱丝来我们队是看得起她。既然这么不识好歹。那我也不必对你客气了。</t>
  </si>
  <si>
    <t>爱丝加入这个球队你哥哥还不知道吧，不知道他知道了会发生什么。</t>
  </si>
  <si>
    <t>是啊，爱丝你别担心。不论今后怎么样，我都会站在你这一边的。</t>
  </si>
  <si>
    <t>有本事拿你手上的球和我决一胜负。赢了我的话我就不再反对妹妹的决定，输了的话爱丝就跟我回去。</t>
  </si>
  <si>
    <t>爱丝她不是商品，你没有权利这么做。</t>
  </si>
  <si>
    <t>爱丝，我知道你想说什么？你不想参与我不会勉强，就算只有我一个人。我一样会与他们为敌。</t>
  </si>
  <si>
    <t>爱丝，别说了。对不起，我们确实是不知道拉劳斯大神受伤的事。</t>
  </si>
  <si>
    <t>别以为你帮了我我就会感激你。既然加入球队是艾斯克斯的决定，我也不好再说什么了。</t>
  </si>
  <si>
    <t>狗屁，在这片地区我卡尔文还没怕过谁，我倒要看看他有什么能耐。</t>
  </si>
  <si>
    <t>没什么，就是想看看你的球队能不能比得上我小弟的三流球队。</t>
  </si>
  <si>
    <t>我就是来找茬的，想教训我就拿出点实际行动吧，菜鸟。</t>
  </si>
  <si>
    <t>爱丝，没想到会在这里遇到你。你哥哥知你来参赛么？</t>
  </si>
  <si>
    <t>我为什么要替我的对手着想呢？想要封住我的口，至少让拿出你的诚意。</t>
  </si>
  <si>
    <t>要怎样你才肯答应我？</t>
  </si>
  <si>
    <t>看你着急成这样，我只不过是想看看你们球队的实力如何，你们派出一人和我斗牛。</t>
  </si>
  <si>
    <t>有意思，我开始期待明天我们的对决了。</t>
  </si>
  <si>
    <t>我们明天的对手是你？</t>
  </si>
  <si>
    <t>爱丝，希望你能如愿。</t>
  </si>
  <si>
    <t>嘿，丹尼。这就是你说的那个队伍么？</t>
  </si>
  <si>
    <t>career_bg_roof</t>
  </si>
  <si>
    <t>career_bg_roof</t>
    <phoneticPr fontId="1" type="noConversion"/>
  </si>
  <si>
    <t>career_bg_construction</t>
  </si>
  <si>
    <t>career_bg_beach</t>
  </si>
  <si>
    <t>career_bg_warehouse</t>
  </si>
  <si>
    <t>嗯，给我打起十二分精神。今天的比赛无论如何都不能输。</t>
  </si>
  <si>
    <t>丹妮，我们同样不会输给你。</t>
  </si>
  <si>
    <t>sweep_award_id</t>
  </si>
  <si>
    <t>switch</t>
    <phoneticPr fontId="1" type="noConversion"/>
  </si>
  <si>
    <t>id</t>
    <phoneticPr fontId="1" type="noConversion"/>
  </si>
  <si>
    <t>loop_times</t>
    <phoneticPr fontId="1" type="noConversion"/>
  </si>
  <si>
    <t>multiple_type</t>
    <phoneticPr fontId="1" type="noConversion"/>
  </si>
  <si>
    <t>multiple_value</t>
    <phoneticPr fontId="1" type="noConversion"/>
  </si>
  <si>
    <t>award_pack1</t>
    <phoneticPr fontId="1" type="noConversion"/>
  </si>
  <si>
    <t>award_pack2</t>
    <phoneticPr fontId="1" type="noConversion"/>
  </si>
  <si>
    <t>award_pack3</t>
    <phoneticPr fontId="1" type="noConversion"/>
  </si>
  <si>
    <t>award_pack4</t>
    <phoneticPr fontId="1" type="noConversion"/>
  </si>
  <si>
    <t>award_pack5</t>
    <phoneticPr fontId="1" type="noConversion"/>
  </si>
  <si>
    <t>award_pack6</t>
    <phoneticPr fontId="1" type="noConversion"/>
  </si>
  <si>
    <t>#</t>
    <phoneticPr fontId="1" type="noConversion"/>
  </si>
  <si>
    <t>奖励库ID</t>
    <phoneticPr fontId="1" type="noConversion"/>
  </si>
  <si>
    <t>循环次数</t>
    <phoneticPr fontId="1" type="noConversion"/>
  </si>
  <si>
    <t>奖励倍数类别</t>
    <phoneticPr fontId="1" type="noConversion"/>
  </si>
  <si>
    <t>奖励倍数</t>
    <phoneticPr fontId="1" type="noConversion"/>
  </si>
  <si>
    <t>奖励库1</t>
    <phoneticPr fontId="1" type="noConversion"/>
  </si>
  <si>
    <t>奖励库10</t>
    <phoneticPr fontId="1" type="noConversion"/>
  </si>
  <si>
    <t>奖励倍数类别ID</t>
    <phoneticPr fontId="1" type="noConversion"/>
  </si>
  <si>
    <t>任何奖励都不翻倍</t>
    <phoneticPr fontId="1" type="noConversion"/>
  </si>
  <si>
    <t>金币</t>
    <phoneticPr fontId="1" type="noConversion"/>
  </si>
  <si>
    <t>钻石</t>
    <phoneticPr fontId="1" type="noConversion"/>
  </si>
  <si>
    <t>经验</t>
    <phoneticPr fontId="1" type="noConversion"/>
  </si>
  <si>
    <t>物品</t>
    <phoneticPr fontId="1" type="noConversion"/>
  </si>
  <si>
    <t>所有数值类的奖励</t>
    <phoneticPr fontId="1" type="noConversion"/>
  </si>
  <si>
    <t>所有奖励</t>
    <phoneticPr fontId="1" type="noConversion"/>
  </si>
  <si>
    <t>扫荡额外奖励</t>
    <phoneticPr fontId="1" type="noConversion"/>
  </si>
  <si>
    <t>对方内线得分小于%s%分</t>
    <phoneticPr fontId="1" type="noConversion"/>
  </si>
  <si>
    <t>内线进球%s%个</t>
    <phoneticPr fontId="1" type="noConversion"/>
  </si>
  <si>
    <t>中投进球%s%个</t>
    <phoneticPr fontId="1" type="noConversion"/>
  </si>
  <si>
    <t>三分达到%s%个</t>
    <phoneticPr fontId="1" type="noConversion"/>
  </si>
  <si>
    <t>助攻达到%s%个</t>
    <phoneticPr fontId="1" type="noConversion"/>
  </si>
  <si>
    <t>抢断达到%s%个</t>
    <phoneticPr fontId="1" type="noConversion"/>
  </si>
  <si>
    <t>使用花式%s%次</t>
    <phoneticPr fontId="1" type="noConversion"/>
  </si>
  <si>
    <t>胜利</t>
    <phoneticPr fontId="1" type="noConversion"/>
  </si>
  <si>
    <t>获得%s%分</t>
    <phoneticPr fontId="1" type="noConversion"/>
  </si>
  <si>
    <t>0</t>
    <phoneticPr fontId="1" type="noConversion"/>
  </si>
  <si>
    <t>10104</t>
  </si>
  <si>
    <t>10103</t>
  </si>
  <si>
    <t>0</t>
  </si>
  <si>
    <t>10202</t>
  </si>
  <si>
    <t>10204</t>
  </si>
  <si>
    <t>10203</t>
  </si>
  <si>
    <t>10205</t>
  </si>
  <si>
    <t>10206</t>
  </si>
  <si>
    <t>10207</t>
  </si>
  <si>
    <t>10102</t>
  </si>
  <si>
    <t>10105</t>
  </si>
  <si>
    <t>10106</t>
  </si>
  <si>
    <t>10107</t>
  </si>
  <si>
    <t>10304</t>
  </si>
  <si>
    <t>10302</t>
  </si>
  <si>
    <t>10303</t>
  </si>
  <si>
    <t>10305</t>
  </si>
  <si>
    <t>10306</t>
  </si>
  <si>
    <t>10307</t>
  </si>
  <si>
    <t>10402</t>
  </si>
  <si>
    <t>10403</t>
  </si>
  <si>
    <t>10404</t>
  </si>
  <si>
    <t>10405</t>
  </si>
  <si>
    <t>10406</t>
  </si>
  <si>
    <t>10407</t>
  </si>
  <si>
    <t>10502</t>
  </si>
  <si>
    <t>10503</t>
  </si>
  <si>
    <t>10504</t>
  </si>
  <si>
    <t>10505</t>
  </si>
  <si>
    <t>10506</t>
  </si>
  <si>
    <t>10507</t>
  </si>
  <si>
    <t>10602</t>
  </si>
  <si>
    <t>10603</t>
  </si>
  <si>
    <t>10604</t>
  </si>
  <si>
    <t>10605</t>
  </si>
  <si>
    <t>10606</t>
  </si>
  <si>
    <t>10607</t>
  </si>
  <si>
    <t>回忆</t>
  </si>
  <si>
    <t>2101</t>
  </si>
  <si>
    <t>2102</t>
  </si>
  <si>
    <t>2103</t>
  </si>
  <si>
    <t>2104</t>
  </si>
  <si>
    <t>2105</t>
  </si>
  <si>
    <t>2106</t>
  </si>
  <si>
    <t>2107</t>
  </si>
  <si>
    <t>2201</t>
  </si>
  <si>
    <t>2202</t>
  </si>
  <si>
    <t>2203</t>
  </si>
  <si>
    <t>2204</t>
  </si>
  <si>
    <t>2205</t>
  </si>
  <si>
    <t>2206</t>
  </si>
  <si>
    <t>2207</t>
  </si>
  <si>
    <t>2301</t>
  </si>
  <si>
    <t>2302</t>
  </si>
  <si>
    <t>2303</t>
  </si>
  <si>
    <t>2304</t>
  </si>
  <si>
    <t>2305</t>
  </si>
  <si>
    <t>2306</t>
  </si>
  <si>
    <t>2307</t>
  </si>
  <si>
    <t>2401</t>
  </si>
  <si>
    <t>2402</t>
  </si>
  <si>
    <t>2403</t>
  </si>
  <si>
    <t>2404</t>
  </si>
  <si>
    <t>2405</t>
  </si>
  <si>
    <t>2406</t>
  </si>
  <si>
    <t>2407</t>
  </si>
  <si>
    <t>2501</t>
  </si>
  <si>
    <t>2502</t>
  </si>
  <si>
    <t>2503</t>
  </si>
  <si>
    <t>2504</t>
  </si>
  <si>
    <t>2505</t>
  </si>
  <si>
    <t>2506</t>
  </si>
  <si>
    <t>2507</t>
  </si>
  <si>
    <t>2601</t>
  </si>
  <si>
    <t>2602</t>
  </si>
  <si>
    <t>2603</t>
  </si>
  <si>
    <t>2604</t>
  </si>
  <si>
    <t>2605</t>
  </si>
  <si>
    <t>2606</t>
  </si>
  <si>
    <t>2607</t>
  </si>
  <si>
    <t>报名参赛</t>
  </si>
  <si>
    <t>怀恩多特选拔</t>
  </si>
  <si>
    <t>脱颖而出</t>
  </si>
  <si>
    <t>征战罗杰斯</t>
  </si>
  <si>
    <t>弗兰克林之战</t>
  </si>
  <si>
    <t>爱丝，给你介绍一下。这是艾斯克斯。</t>
  </si>
  <si>
    <t>这就是你说的那个朋友对吧，我是艾斯克斯，很高兴认识你。</t>
  </si>
  <si>
    <t>我没看出来有什么好的，野狗你为什么会加入他们球队？</t>
  </si>
  <si>
    <t>苍蝇都赶跑了，我们赶紧练习磨合一下吧！</t>
  </si>
  <si>
    <t>没问题，旁边正好有人在打球。我们练练手！</t>
  </si>
  <si>
    <t>就你那点技术，艾斯克斯都能把你碾在脚下。</t>
  </si>
  <si>
    <t>艾斯克斯是吧，你给我记住。街球联盟赛上我会让你们十倍奉还。</t>
  </si>
  <si>
    <t>唷~艾斯克斯，好久不见啊。听说你弄了个球队？</t>
  </si>
  <si>
    <t>那你这个当大哥的要不要替他们出头呢？</t>
  </si>
  <si>
    <t>你这实力还不配做我对手，我在街球联盟赛等你。有能力走到那一步再来向我挑战吧。</t>
  </si>
  <si>
    <t>狗狗，你怎么去别人球队了。你知道我听到这个消息的时候有多心痛么？</t>
  </si>
  <si>
    <t>我去哪个球队是我的自由，不能随你心意非常抱歉。</t>
  </si>
  <si>
    <t>关键是你还跟了这个一个草包队长。跟着他没有出路的。</t>
  </si>
  <si>
    <t>嘿！北鼻。话可不能这么说吧。狗哥他能来我的球队自然是有原因的。麻烦你不要干涉行么？</t>
  </si>
  <si>
    <t>臭小子，你敢不敢跟我打个赌。赢的一方可以索要对方一名球员。</t>
  </si>
  <si>
    <t>赌就赌，你以为我怕你！</t>
  </si>
  <si>
    <t>嘿嘿，你们谁愿意来我球队呢？</t>
  </si>
  <si>
    <t>可恶，居然输给了你。想要谁你自己挑吧！</t>
  </si>
  <si>
    <t>丹尼？你们也要参加今年的街球联盟赛？</t>
  </si>
  <si>
    <t>我是瞒着他出来的，麻烦你不要告诉他。</t>
  </si>
  <si>
    <t>不然你以为我会闲得无聊和你们过招么？</t>
  </si>
  <si>
    <t>你是魔术师？</t>
  </si>
  <si>
    <t>真的是魔术师！没想到能看到真人。</t>
  </si>
  <si>
    <t>我们这点伎俩和您比起来差远了。</t>
  </si>
  <si>
    <t>我很久也没有打球了。不如你们挑一个人和我也来一场怎么样？</t>
  </si>
  <si>
    <t>哎，老了老了。</t>
  </si>
  <si>
    <t>大伙计别灰心嘛，你仍然是我们值得尊敬的前辈。</t>
  </si>
  <si>
    <t>你小子嘴挺甜啊，你们街球联盟赛上加油吧！</t>
  </si>
  <si>
    <t>今天是我们队参加联盟赛的第一场比赛，大家一起加油！</t>
  </si>
  <si>
    <t>既然来了。就一定要拿到胜利的奖杯。</t>
  </si>
  <si>
    <t>艾斯克斯，这次我一定会让你输得心服口服。</t>
  </si>
  <si>
    <t>爱丝你真的这么讨厌我么？</t>
  </si>
  <si>
    <t>好吧，既然这样我也不逼你了，如果呆不习惯就回来我身边。</t>
  </si>
  <si>
    <t>野狗乔治，好久不见啊。小子你长高了嘛。哈哈</t>
  </si>
  <si>
    <t>卡罗莉，你也认识野狗乔治？</t>
  </si>
  <si>
    <t>野狗乔治才不认识她，她只是个自作多情的女人而已。</t>
  </si>
  <si>
    <t>那也比跟屁虫好，野狗乔治在哪某个跟屁虫就跟到哪儿。</t>
  </si>
  <si>
    <t>好了好了，你们别闹了。我算是看明白了。原来你们都喜欢野狗乔治？</t>
  </si>
  <si>
    <t>艾斯克斯，你再胡说我就当没有你这个朋友了！</t>
  </si>
  <si>
    <t>切，跟屁虫。</t>
  </si>
  <si>
    <t>切什么切，技不如人就闭嘴不要说话。</t>
  </si>
  <si>
    <t>野狗没想到你长的不怎么样，居然还有两个妹子为你争风吃醋。</t>
  </si>
  <si>
    <t>再胡说我撕烂你的嘴！</t>
  </si>
  <si>
    <t>少拿那副嘴脸看我，下次你们可没有那么走运了。</t>
  </si>
  <si>
    <t>看的出来你对篮球的热情。但是论对篮球的喜欢程度，我想我不会输给你。</t>
  </si>
  <si>
    <t>看来这一战是避免不了了。</t>
  </si>
  <si>
    <t>野狗乔治，我说这里四处都弥漫着挑战的气氛，没说错吧？</t>
  </si>
  <si>
    <t>艾斯克斯，听说你们代表怀恩多特参加联赛后。早盼着有一天会跟你见面啦。</t>
  </si>
  <si>
    <t>艾斯克斯，你又让我见识了一场精彩的比赛。</t>
  </si>
  <si>
    <t>我也正好想讨教一下黑鹰的实力。</t>
  </si>
  <si>
    <t>我是来自怀恩多特的艾斯克斯，很高兴与你较量。</t>
  </si>
  <si>
    <t>你还真是和外面传言的一样。话真少。不过你的篮球确实十分出色。</t>
  </si>
  <si>
    <t>呵，挺辣的啊。我喜欢。跟我走的话我比赛让你们几分。怎么样？</t>
  </si>
  <si>
    <t>今天的对手个儿真大。</t>
  </si>
  <si>
    <t>艾斯克斯，你果然没让我失望啊。蝼蚁一般的存在也能走到这一步。</t>
  </si>
  <si>
    <t>艾斯克斯，别逼我了。我真的打不了。</t>
  </si>
  <si>
    <t>艾斯克斯，你们快走。</t>
  </si>
  <si>
    <t>惹了黑龙帮还想走？也太不把我们放在眼里了。今天我不仅要拿下这块地盘，还要让你们付出代价。</t>
  </si>
  <si>
    <t>艾斯克斯！！你没事吧！！可恶，你们居然下黑手。我和你们拼了！</t>
  </si>
  <si>
    <t>艾斯克斯，你看对面那个美女挺漂亮啊，身材也火辣。</t>
  </si>
  <si>
    <t>野狗乔治，你再这样爱丝可要吃醋了。</t>
  </si>
  <si>
    <t>野狗乔治，你醒醒。她和我们是死对头。</t>
  </si>
  <si>
    <t>我说了让他们走，你要违抗我的命令？</t>
  </si>
  <si>
    <t>艾斯克斯，你真打算这样硬来，彻底的和黑龙帮为敌？</t>
  </si>
  <si>
    <t>算是吧，乔-霍蒙德还好吗？</t>
  </si>
  <si>
    <t>乔-霍蒙德那小子的篮板抢得不错，不知道同样是怀恩多特出来的你怎么样？</t>
  </si>
  <si>
    <t>艾斯克斯，我承认你很强。但是我的队友也是无与伦比的。</t>
  </si>
  <si>
    <t>不可能！我肯定比他先一秒。</t>
  </si>
  <si>
    <t>艾斯克斯，你紧张吗？</t>
  </si>
  <si>
    <t>艾斯克斯，你们没事吧？</t>
  </si>
  <si>
    <t>你就是怀恩多特的艾斯克斯吧。听拉劳斯提起过你。</t>
  </si>
  <si>
    <t>哈哈，你们两快别闹了。明天正式比赛上还会和艾斯克斯他们相遇的。</t>
  </si>
  <si>
    <t>他们的实力足够笑傲街球联盟了。我们输了也不怪。恭喜你们了。</t>
  </si>
  <si>
    <t>接下来的路还很长，我们一定会拿下街球联盟总冠军。</t>
  </si>
  <si>
    <t>还有我们势必摧毁黑龙帮。</t>
  </si>
  <si>
    <t>我自小在军队长大，习惯了军队的那些章法。所以尤其讨厌你这种浮夸的人。</t>
  </si>
  <si>
    <t>你受什么刺激了？</t>
    <phoneticPr fontId="1" type="noConversion"/>
  </si>
  <si>
    <t>30350</t>
  </si>
  <si>
    <t>30351</t>
  </si>
  <si>
    <t>50002</t>
  </si>
  <si>
    <t>50004</t>
  </si>
  <si>
    <t>50011</t>
  </si>
  <si>
    <t>50018</t>
  </si>
  <si>
    <t>50157</t>
  </si>
  <si>
    <t>50028</t>
  </si>
  <si>
    <t>50037</t>
  </si>
  <si>
    <t>50044</t>
  </si>
  <si>
    <t>50052</t>
  </si>
  <si>
    <t>50063</t>
  </si>
  <si>
    <t>50070</t>
  </si>
  <si>
    <t>50077</t>
  </si>
  <si>
    <t>50082</t>
  </si>
  <si>
    <t>50089</t>
  </si>
  <si>
    <t>50096</t>
  </si>
  <si>
    <t>50103</t>
  </si>
  <si>
    <t>50115</t>
  </si>
  <si>
    <t>50131</t>
  </si>
  <si>
    <t>50122</t>
  </si>
  <si>
    <t>50129</t>
  </si>
  <si>
    <t>50132</t>
  </si>
  <si>
    <t>50141</t>
  </si>
  <si>
    <t>50148</t>
  </si>
  <si>
    <t>50159</t>
  </si>
  <si>
    <t>50167</t>
  </si>
  <si>
    <t>50174</t>
  </si>
  <si>
    <t>50185</t>
  </si>
  <si>
    <t>50193</t>
  </si>
  <si>
    <t>50200</t>
  </si>
  <si>
    <t>50211</t>
  </si>
  <si>
    <t>50219</t>
  </si>
  <si>
    <t>50233</t>
  </si>
  <si>
    <t>50237</t>
  </si>
  <si>
    <t>50236</t>
  </si>
  <si>
    <t>50245</t>
  </si>
  <si>
    <t>50252</t>
  </si>
  <si>
    <t>50260</t>
  </si>
  <si>
    <t>50271</t>
  </si>
  <si>
    <t>50311</t>
  </si>
  <si>
    <t>50278</t>
  </si>
  <si>
    <t>50288</t>
  </si>
  <si>
    <t>50297</t>
  </si>
  <si>
    <t>50304</t>
  </si>
  <si>
    <t>50316</t>
  </si>
  <si>
    <t>50323</t>
  </si>
  <si>
    <t>50330</t>
  </si>
  <si>
    <t>尤特美，这么久不见你还是没变啊。</t>
    <phoneticPr fontId="1" type="noConversion"/>
  </si>
  <si>
    <t>怎么会这样？你什么时候开始的？</t>
    <phoneticPr fontId="1" type="noConversion"/>
  </si>
  <si>
    <t/>
  </si>
  <si>
    <t>领先%s%分</t>
    <phoneticPr fontId="1" type="noConversion"/>
  </si>
  <si>
    <t>本关卡只可通关一次，通关后无法重复进行。</t>
  </si>
  <si>
    <t>awards_id</t>
  </si>
  <si>
    <t>好炫的动作，简直像在看个人表演。</t>
  </si>
  <si>
    <t>问谁是当今球风最炫的街球选手，那么答案只有一个——“辣酱”</t>
  </si>
  <si>
    <t>你好，辣酱。我是艾斯克斯。</t>
  </si>
  <si>
    <t>我从拉劳斯那里听说过你的事情。黑龙帮确实很可恶。不过你现在的实力确实难以推翻他们。</t>
  </si>
  <si>
    <t>还有什么办法吗？</t>
  </si>
  <si>
    <t>唯有团结一致，才能破敌。你看我这招。</t>
  </si>
  <si>
    <t>好快，而且飘忽得难以防守。</t>
  </si>
  <si>
    <t>今天先到这里吧。你好好练习练习。</t>
  </si>
  <si>
    <t>除此之外篮板球是致胜的关键，明天你的对手正好适合你练习篮板。好好珍惜机会。</t>
  </si>
  <si>
    <t>哇，这人好壮啊！简直跟一座山一样。难怪辣酱会说适合你练习篮板。</t>
  </si>
  <si>
    <t>他是通天云梯——特洛伊-杰克逊，可以说篮下就是他的一片天了。</t>
  </si>
  <si>
    <t>给人的压迫感真强，艾斯克斯你能搞定吗？</t>
  </si>
  <si>
    <t>虽然他看起来很厉害，但我完全没有输的打算。</t>
  </si>
  <si>
    <t>艾斯克斯，我们离目标又近了一步。</t>
  </si>
  <si>
    <t>嗯，继续向前进发。</t>
  </si>
  <si>
    <t>第155公园的对手还真是一个比一个难缠啊。</t>
  </si>
  <si>
    <t>今天的对手又是什么来头？</t>
  </si>
  <si>
    <t>疾风之狼，拥有无比的速度和凶猛的进攻能力。</t>
  </si>
  <si>
    <t>说得这么可怕，其实你已经有应对方法了，对么？</t>
  </si>
  <si>
    <t>并没有那么轻松，只有全力以赴了。</t>
  </si>
  <si>
    <t>疾风之狼果然如传闻中的那么迅猛。</t>
  </si>
  <si>
    <t>哎~别提了，不还是输给你了么。山羊在等你呢，快去找他吧。</t>
  </si>
  <si>
    <t>刚刚他说的山羊是谁啊？</t>
  </si>
  <si>
    <t>第155公园的街球明星，他是开拓了一代街球传奇的球员。</t>
  </si>
  <si>
    <t>没想到还有人记得我这个老家伙。</t>
  </si>
  <si>
    <t xml:space="preserve">山羊前辈，刚说到您，结果就碰见您了。 </t>
  </si>
  <si>
    <t>我可是等你很久了，艾斯克斯。过来跟我这个老家伙来一局。</t>
  </si>
  <si>
    <t>嗯，确实是好苗子，难怪他们都对你刮目相看。听说你曾经发誓要打败黑龙帮？</t>
  </si>
  <si>
    <t>黑龙帮作恶多端，我当然恨不得将他们一网打尽。</t>
  </si>
  <si>
    <t>这些年黑龙帮占领的地盘也不在少数，我想组织一个讨伐的队伍。不知道你有没有兴趣？</t>
  </si>
  <si>
    <t>我们与黑龙帮也不共戴天。正好与前辈不谋而合，我愿意加入。</t>
  </si>
  <si>
    <t>艾斯克斯，街球联盟决赛是我们。这将是你最后的考验。不过你不用担心，无论输赢你都是我们联盟的成员</t>
  </si>
  <si>
    <t>从代表怀恩多特参加街球联盟赛那一天起，我幻想过无数次最终决赛的场景。没想到终于到来了。</t>
  </si>
  <si>
    <t>夺冠的信念支撑我来到这里，我会拿到冠军。给怀恩多特一个交代。</t>
  </si>
  <si>
    <t>那就拿出全部实力和我们一战。</t>
  </si>
  <si>
    <t>恭喜你们，获得冠军。你们的实力是无以伦比的。</t>
  </si>
  <si>
    <t>接下来我们要向黑龙帮进军，明天在第155公园集合。</t>
  </si>
  <si>
    <t>有情报说这里是黑龙帮的一个据点。</t>
  </si>
  <si>
    <t>那还等什么，直接进去踹了他们。</t>
  </si>
  <si>
    <t>敢来我们黑龙帮闹事，欺负我们黑龙帮没人吗？</t>
  </si>
  <si>
    <t>你少废话，叫你的人出来。要么就直接滚出这里。还可以免得被羞辱。</t>
  </si>
  <si>
    <t>我招惹你了么？你这样来抢夺我地盘和坏人有什么区别?</t>
  </si>
  <si>
    <t>坏事做尽，落得这个下场也是咎由自取。</t>
  </si>
  <si>
    <t>乔伊，你终于肯见我了。</t>
  </si>
  <si>
    <t>别叫我，我不认识你··</t>
  </si>
  <si>
    <t>我知道你心里还恨我，无法原理我。但是我毕竟是你父亲啊。</t>
  </si>
  <si>
    <t>我没有你这样的父亲，当初你吸毒。害得我家破人亡，母亲也为了还你欠下的债劳累而死，你还有什么脸做父亲。</t>
  </si>
  <si>
    <t>你父亲有不对的地方，所以你就加入黑龙帮报复你父亲？你这种做法我无法认同。所以我会阻止你。</t>
  </si>
  <si>
    <t>爸爸，对不起。我也没想过会这样。我还害怕。</t>
  </si>
  <si>
    <t>没事，孩子。以后有我在就没有人再会欺负你。</t>
  </si>
  <si>
    <t>乔伊，我一直把你当最亲的人，没想到最后你还是背叛了我。</t>
  </si>
  <si>
    <t>盖文，我没有想过背叛你。但是他是我爸爸。我不想你们任何一个人受到伤害。你能不能放弃黑龙帮？</t>
  </si>
  <si>
    <t>别做梦了，从你背叛我那一刻开始，你就不再是我女朋友了。从今以后我们只是敌人，</t>
  </si>
  <si>
    <t>这是黑龙帮的地盘。你们休想拿走。</t>
  </si>
  <si>
    <t>山羊前辈，你保护好你女儿。这里我来应付。</t>
  </si>
  <si>
    <t>你输了，这个地方不再属于你黑龙帮。</t>
  </si>
  <si>
    <t>丢了据点我也没脸在回去。随你处置。</t>
  </si>
  <si>
    <t>盖文，对不起。我真的不知道该怎么做抉择。我知道无法让你再原谅我。但是我对你是真心的。</t>
  </si>
  <si>
    <t>艾斯克斯，求你放过盖文好不好。</t>
  </si>
  <si>
    <t>让他走吧，远离黑龙帮，去没有人认识他的地方。</t>
  </si>
  <si>
    <t>山羊，你这老不死的手下败将。早知道当初就该把你废掉。现在还让你组成这么一个组织来反抗黑龙帮。</t>
  </si>
  <si>
    <t>别老拿一副正义的嘴脸看我，其实你干的事情不见得有多光彩。今天你来挑事我乐意奉陪到底。</t>
  </si>
  <si>
    <t>闭嘴，你的对手是我。</t>
  </si>
  <si>
    <t>艾斯克斯，亚尔曼大人早就料到你们会是他的大敌。没想到这一天还是到来了。</t>
  </si>
  <si>
    <t>你是谁？为什么会认识我。</t>
  </si>
  <si>
    <t>他是铁手—克莱因斯·福诺。</t>
  </si>
  <si>
    <t>听圆屋公园艾许莉说过你，听说她败在你手下了？</t>
  </si>
  <si>
    <t>连拉劳斯都被我弄残废了，她又怎么会是我的对手。</t>
  </si>
  <si>
    <t>原来拉劳斯前辈是你下的手。我会让你后悔来到这个世界。</t>
  </si>
  <si>
    <t>艾斯克斯，拦住她。别让她跑了。</t>
  </si>
  <si>
    <t>他可是黑龙帮的头目，知道的消息肯定不少。不会让他跑掉的。</t>
  </si>
  <si>
    <t>铁手大哥！你快走。这里我来应付。</t>
  </si>
  <si>
    <t>不行，我不能丢下我的手下不管。</t>
  </si>
  <si>
    <t>我无所谓，但黑龙帮不能没有你。</t>
  </si>
  <si>
    <t>你们谁都别想走！</t>
  </si>
  <si>
    <t>要想过去，就打败我。</t>
  </si>
  <si>
    <t>可惜，让铁手跑掉了。</t>
  </si>
  <si>
    <t>别在意，迟早会再遇见的。</t>
  </si>
  <si>
    <t>卡沃尔，在西四大街你就不是我的对手。如今你还敢出来跳。</t>
  </si>
  <si>
    <t>铁手哥对我有恩，无论如何我不会让你过去。除非你从我身上踩过去！</t>
  </si>
  <si>
    <t>铁手都不是我对手，你认为你能拦得住吗？</t>
  </si>
  <si>
    <t>艾斯克斯，别以为你有多了不起。接下来让你看看黑龙帮真正的实力！</t>
  </si>
  <si>
    <t>这人之前的实力特别差，怎么突然变得如此厉害？</t>
  </si>
  <si>
    <t>这应该就是黑龙帮研究的基因改造。利用他们研制的毒品通过某种手段可以让普通人一段时间内爆发出惊人的战斗力。</t>
  </si>
  <si>
    <t>那这人怎么办？</t>
  </si>
  <si>
    <t>可以带回去交给当地机构做一下研究。阻止这种毒品的蔓延。</t>
  </si>
  <si>
    <t>尤金，别来无恙啊。</t>
  </si>
  <si>
    <t>呵呵，没想到你还是找到了这里。</t>
  </si>
  <si>
    <t>山羊前辈，他是什么人？</t>
  </si>
  <si>
    <t>他可是黑龙帮的大毒枭，黑龙帮的大多数毒品都得经他手来出售。</t>
  </si>
  <si>
    <t>这么说只要占领这里就相当于可以控制黑龙帮的毒品传播了？</t>
  </si>
  <si>
    <t>应该说是能极大的控制吧，毕竟黑龙帮的毒品网络过于庞大，想一举歼灭太困难了。</t>
  </si>
  <si>
    <t>那先收掉这个据点吧。</t>
  </si>
  <si>
    <t>山羊，你费劲心思想要的东西并不在这里。</t>
  </si>
  <si>
    <t>山羊前辈想要找什么东西？</t>
  </si>
  <si>
    <t>没什么。只是想搜查他的毒品。不再祸害人。我们继续去黑龙帮下一个据点。</t>
  </si>
  <si>
    <t>亚尔曼大人，那群人好像朝这里来了。</t>
  </si>
  <si>
    <t>听说你和他们有过节是吧？</t>
  </si>
  <si>
    <t>当初他夺走我守护的地盘，让我太丢面子。我恨不得将他们碾在脚下。</t>
  </si>
  <si>
    <t>你把这个吃了，他会让你体能大增。碾碎他们轻而易举。</t>
  </si>
  <si>
    <t>那太好了，谢亚尔曼大人。</t>
  </si>
  <si>
    <t>好了，这几个人就交给你了。我还有事情要办。</t>
  </si>
  <si>
    <t>这人之前我见过，没想到现在也被基因改造了。</t>
  </si>
  <si>
    <t>黑龙帮真是恶毒，连自己人都不放过。</t>
  </si>
  <si>
    <t>费恩是我黑龙帮的英雄，却被你们用卑鄙手段害死。我黑龙帮跟你们势不两立。</t>
  </si>
  <si>
    <t>明明是你们用毒品强行提升他的体能，然后他身体衰竭而死。你倒还恶人先告状。</t>
  </si>
  <si>
    <t>克里斯提娜，不用跟他们废话，让他们知道黑龙帮左右护法的厉害。</t>
  </si>
  <si>
    <t>你叫海伦娜是吧，费恩真的是吃了你们那些邪门的毒药才发生的意外。所以你不应该来怪我们。</t>
  </si>
  <si>
    <t>这药是亚尔曼大人研究出来的东西，我信任他。</t>
  </si>
  <si>
    <t>冥顽不灵，看来对你说什么都没用了。</t>
  </si>
  <si>
    <t>这东西是不是你所说的那样，我吃了就知道了。</t>
  </si>
  <si>
    <t>不要吃！费恩就是因为吃了这个才会遇害的。</t>
  </si>
  <si>
    <t>你现在应该关注于怎么战胜我才对。</t>
  </si>
  <si>
    <t>啊~！费恩，原来你承受过这样的痛苦。不用担心，我也来陪你了。</t>
  </si>
  <si>
    <t>哎，其实她心里也知道是亚尔曼做的，只是不能接受这个事实吧。</t>
  </si>
  <si>
    <t>不得不佩服你们，连我的右手海伦娜都折在你们手里。</t>
  </si>
  <si>
    <t>你就是那个缩头乌龟帮主是吧，只会不择手段的残害别人。是时候让你付出代价了。</t>
  </si>
  <si>
    <t>亚尔曼大人，不能再犹豫了。</t>
  </si>
  <si>
    <t>趁势出击，拿下黑龙帮。</t>
  </si>
  <si>
    <t>你休想！</t>
  </si>
  <si>
    <t>提娜！提娜！你醒醒！你为什么要私自吃那个药？</t>
  </si>
  <si>
    <t>亚尔曼大人，咳，从我认识你那一天。我就在希望有一天能报答你。做你的棋子是我最大的心愿。</t>
  </si>
  <si>
    <t>你怎么那么傻，我从没把你当做棋子。把你带到黑龙帮的那一天我已经把你当做家人了。</t>
  </si>
  <si>
    <t>不要感到悲伤，我已经做到了，你应该为我高兴才对。</t>
  </si>
  <si>
    <t>你们都该死！啊！！！！</t>
  </si>
  <si>
    <t>一代枭雄已经发狂了。赶紧阻止他。</t>
  </si>
  <si>
    <t>他在服用那个药。</t>
  </si>
  <si>
    <t>小心点，他服用的药量比其他人大。现在已经彻底失去理智了。</t>
  </si>
  <si>
    <t>是你把我逼到这个地步，反正我已经一无所有。就算死我要拉上你垫背。</t>
  </si>
  <si>
    <t>黑龙帮覆灭了！</t>
  </si>
  <si>
    <t>多亏了你们，现在街球界又和平了。后续的事情就交给我们吧。</t>
  </si>
  <si>
    <t>黑龙帮完蛋，不过为什么心里还是特别不安。</t>
  </si>
  <si>
    <t>我也有这种感觉，虽然黑龙帮覆灭了。但是感觉心里总是不踏实。</t>
  </si>
  <si>
    <t>爱丝！小心！！！</t>
  </si>
  <si>
    <t>啊！！</t>
  </si>
  <si>
    <t>山羊，你做什么！</t>
  </si>
  <si>
    <t>你们已经知道太多的事情，想要的东西已经到手。你们也没有留下的必要了。</t>
  </si>
  <si>
    <t>你吃了药为什么会没事？</t>
  </si>
  <si>
    <t>我们的研究室早就研制出了一种调和剂，有这东西在我们就算吃了基因改造的药也不会有什么副作用。</t>
  </si>
  <si>
    <t>爸爸，你不要执迷不悟了好不好。你是我唯一的亲人，我不想看到你这样。</t>
  </si>
  <si>
    <t>住口，你还当是我女儿的话就应该支持我才对。</t>
  </si>
  <si>
    <t>山羊，我敬你是前辈。没想到你居然做出如此丧心病狂的事。</t>
  </si>
  <si>
    <t>我只是想追求更强，我只是想让更多的人永远记得我的辉煌。这有什么错？</t>
  </si>
  <si>
    <t>不管怎么样，牺牲他人来成全自己的人，我是不会认同的。</t>
  </si>
  <si>
    <t>是么，如今我力量充沛。你根本不是我的对手。</t>
  </si>
  <si>
    <t>你们研发的药是有副作用的，你现在停手还能救。</t>
  </si>
  <si>
    <t>胡说，这药不可能有问题，你少来唬我。</t>
  </si>
  <si>
    <t>爸爸，你没事吧！</t>
  </si>
  <si>
    <t>走开！！为什么，为什么会这样。我的荣誉没有结束！我还要创造更多的神话····啊····</t>
  </si>
  <si>
    <t>爸爸，你别说话了。你都这样了。艾斯克斯，求你们放过我爸爸。</t>
  </si>
  <si>
    <t>你带他走吧，我不想再看到他。</t>
  </si>
  <si>
    <t>谢谢，做梦也没想到能拿冠军。今天终于盼到了这一刻。</t>
  </si>
  <si>
    <t>原来你们就是最近风头出尽的那个战队啊。格雷森、艾斯克斯，一起来打一场21分怎么样？</t>
    <phoneticPr fontId="1" type="noConversion"/>
  </si>
  <si>
    <t>作为四大新秀之首，你确实拥有者不亚于职业级的技术。明明有着光明的未来，但是你却不用在正途上。</t>
    <phoneticPr fontId="1" type="noConversion"/>
  </si>
  <si>
    <t>你们这群杂碎，被山羊欺骗还不自知。真是可悲。哈哈哈哈哈</t>
  </si>
  <si>
    <t>101011</t>
  </si>
  <si>
    <t>101021</t>
  </si>
  <si>
    <t>101031</t>
  </si>
  <si>
    <t>101041</t>
  </si>
  <si>
    <t>101051</t>
  </si>
  <si>
    <t>101061</t>
  </si>
  <si>
    <t>101071</t>
  </si>
  <si>
    <t>102011</t>
  </si>
  <si>
    <t>102021</t>
  </si>
  <si>
    <t>102031</t>
  </si>
  <si>
    <t>102041</t>
  </si>
  <si>
    <t>102051</t>
  </si>
  <si>
    <t>102061</t>
  </si>
  <si>
    <t>102071</t>
  </si>
  <si>
    <t>103011</t>
  </si>
  <si>
    <t>103021</t>
  </si>
  <si>
    <t>103031</t>
  </si>
  <si>
    <t>103041</t>
  </si>
  <si>
    <t>103051</t>
  </si>
  <si>
    <t>103061</t>
  </si>
  <si>
    <t>103071</t>
  </si>
  <si>
    <t>104011</t>
  </si>
  <si>
    <t>104021</t>
  </si>
  <si>
    <t>104031</t>
  </si>
  <si>
    <t>104041</t>
  </si>
  <si>
    <t>104051</t>
  </si>
  <si>
    <t>104061</t>
  </si>
  <si>
    <t>104071</t>
  </si>
  <si>
    <t>105011</t>
  </si>
  <si>
    <t>105021</t>
  </si>
  <si>
    <t>105031</t>
  </si>
  <si>
    <t>105041</t>
  </si>
  <si>
    <t>105051</t>
  </si>
  <si>
    <t>105061</t>
  </si>
  <si>
    <t>105071</t>
  </si>
  <si>
    <t>106011</t>
  </si>
  <si>
    <t>106021</t>
  </si>
  <si>
    <t>106031</t>
  </si>
  <si>
    <t>106041</t>
  </si>
  <si>
    <t>106051</t>
  </si>
  <si>
    <t>106061</t>
  </si>
  <si>
    <t>106071</t>
  </si>
  <si>
    <t>50340</t>
  </si>
  <si>
    <t>50356</t>
  </si>
  <si>
    <t>50363</t>
  </si>
  <si>
    <t>50375</t>
  </si>
  <si>
    <t>50382</t>
  </si>
  <si>
    <t>50389</t>
  </si>
  <si>
    <t>50393</t>
  </si>
  <si>
    <t>50401</t>
  </si>
  <si>
    <t>50468</t>
  </si>
  <si>
    <t>50418</t>
  </si>
  <si>
    <t>50444</t>
  </si>
  <si>
    <t>50434</t>
  </si>
  <si>
    <t>爱丝的哥哥</t>
  </si>
  <si>
    <t>帮手</t>
  </si>
  <si>
    <t>报名</t>
  </si>
  <si>
    <t>备战</t>
  </si>
  <si>
    <t>不速之客</t>
  </si>
  <si>
    <t>恶人</t>
  </si>
  <si>
    <t>鬼斧</t>
  </si>
  <si>
    <t>激怒</t>
  </si>
  <si>
    <t>惊吓</t>
  </si>
  <si>
    <t>卡罗莉</t>
  </si>
  <si>
    <t>开战</t>
  </si>
  <si>
    <t>理由</t>
  </si>
  <si>
    <t>练习</t>
  </si>
  <si>
    <t>林疯狂</t>
  </si>
  <si>
    <t>罗杰斯传奇</t>
  </si>
  <si>
    <t>魔术师</t>
  </si>
  <si>
    <t>拼搏</t>
  </si>
  <si>
    <t>期许</t>
  </si>
  <si>
    <t>球队初成</t>
  </si>
  <si>
    <t>塞尔特的挑战</t>
  </si>
  <si>
    <t>生死兄弟</t>
  </si>
  <si>
    <t>时隔五年</t>
  </si>
  <si>
    <t>首尾</t>
  </si>
  <si>
    <t>顽强</t>
  </si>
  <si>
    <t>午夜</t>
  </si>
  <si>
    <t>新开始</t>
  </si>
  <si>
    <t>星期二</t>
  </si>
  <si>
    <t>绚烂</t>
  </si>
  <si>
    <t>训练II</t>
  </si>
  <si>
    <t>训练III</t>
  </si>
  <si>
    <t>意志</t>
  </si>
  <si>
    <t>再遇卡尔文</t>
  </si>
  <si>
    <t>战斗</t>
  </si>
  <si>
    <t>准备</t>
  </si>
  <si>
    <t>练习I</t>
  </si>
  <si>
    <t>准备I</t>
  </si>
  <si>
    <t>optional uint32 switch</t>
  </si>
  <si>
    <t>optional uint32 id</t>
  </si>
  <si>
    <t>optional uint32 loop_times</t>
  </si>
  <si>
    <t>optional uint32 multiple_type</t>
  </si>
  <si>
    <t>optional uint32 multiple_value</t>
  </si>
  <si>
    <t>optional uint32 award_pack1</t>
  </si>
  <si>
    <t>optional uint32 award_pack2</t>
  </si>
  <si>
    <t>optional uint32 award_pack3</t>
  </si>
  <si>
    <t>optional uint32 award_pack4</t>
  </si>
  <si>
    <t>id</t>
  </si>
  <si>
    <t>career_bg2_sitew</t>
  </si>
  <si>
    <t>career_bg2_community</t>
  </si>
  <si>
    <t>career_bg1_park</t>
  </si>
  <si>
    <t>career_bg1_train</t>
  </si>
  <si>
    <t>career_bg1_roof</t>
  </si>
  <si>
    <t>career_bg1_beach</t>
  </si>
  <si>
    <t>4025&amp;9342</t>
  </si>
  <si>
    <t>4025&amp;9412</t>
  </si>
  <si>
    <t>4025&amp;9313</t>
  </si>
  <si>
    <t>4025&amp;9233</t>
  </si>
  <si>
    <t>4025&amp;9344</t>
  </si>
  <si>
    <t>4025&amp;9214</t>
  </si>
  <si>
    <t>4025&amp;9434</t>
  </si>
  <si>
    <t>4025&amp;9314</t>
  </si>
  <si>
    <t>4025&amp;9125</t>
  </si>
  <si>
    <t>5</t>
  </si>
  <si>
    <t>1</t>
  </si>
  <si>
    <t>2</t>
  </si>
  <si>
    <t>3</t>
  </si>
  <si>
    <t>7</t>
  </si>
  <si>
    <t>6</t>
  </si>
  <si>
    <t>11</t>
  </si>
  <si>
    <t>4</t>
  </si>
  <si>
    <t>8</t>
  </si>
  <si>
    <t>6</t>
    <phoneticPr fontId="1" type="noConversion"/>
  </si>
  <si>
    <t>10002</t>
    <phoneticPr fontId="1" type="noConversion"/>
  </si>
  <si>
    <t>10101</t>
    <phoneticPr fontId="1" type="noConversion"/>
  </si>
  <si>
    <t>10701</t>
    <phoneticPr fontId="1" type="noConversion"/>
  </si>
  <si>
    <t>10801</t>
    <phoneticPr fontId="1" type="noConversion"/>
  </si>
  <si>
    <t>15</t>
    <phoneticPr fontId="1" type="noConversion"/>
  </si>
  <si>
    <t>12</t>
    <phoneticPr fontId="1" type="noConversion"/>
  </si>
  <si>
    <t>20601</t>
    <phoneticPr fontId="1" type="noConversion"/>
  </si>
  <si>
    <t>20701</t>
    <phoneticPr fontId="1" type="noConversion"/>
  </si>
  <si>
    <t>20801</t>
    <phoneticPr fontId="1" type="noConversion"/>
  </si>
  <si>
    <t>20901</t>
    <phoneticPr fontId="1" type="noConversion"/>
  </si>
  <si>
    <t>20702</t>
    <phoneticPr fontId="1" type="noConversion"/>
  </si>
  <si>
    <t>20802</t>
    <phoneticPr fontId="1" type="noConversion"/>
  </si>
  <si>
    <t>20902</t>
    <phoneticPr fontId="1" type="noConversion"/>
  </si>
  <si>
    <t>20703</t>
    <phoneticPr fontId="1" type="noConversion"/>
  </si>
  <si>
    <t>20803</t>
    <phoneticPr fontId="1" type="noConversion"/>
  </si>
  <si>
    <t>20903</t>
    <phoneticPr fontId="1" type="noConversion"/>
  </si>
  <si>
    <t>10901</t>
    <phoneticPr fontId="1" type="noConversion"/>
  </si>
  <si>
    <t>107011</t>
  </si>
  <si>
    <t>107021</t>
  </si>
  <si>
    <t>107031</t>
  </si>
  <si>
    <t>107041</t>
  </si>
  <si>
    <t>107051</t>
  </si>
  <si>
    <t>108011</t>
  </si>
  <si>
    <t>108021</t>
  </si>
  <si>
    <t>108031</t>
  </si>
  <si>
    <t>108041</t>
  </si>
  <si>
    <t>108051</t>
  </si>
  <si>
    <t>109011</t>
  </si>
  <si>
    <t>109021</t>
  </si>
  <si>
    <t>109031</t>
  </si>
  <si>
    <t>109041</t>
  </si>
  <si>
    <t>109051</t>
  </si>
  <si>
    <t>CareerItemDL</t>
  </si>
  <si>
    <t>CareerItemDD</t>
  </si>
  <si>
    <t>CareerItemUR</t>
  </si>
  <si>
    <t>CareerItemDU</t>
  </si>
  <si>
    <t>CareerItemDR</t>
  </si>
  <si>
    <t>CareerItemUU</t>
  </si>
  <si>
    <t>CareerItemUD</t>
  </si>
  <si>
    <t>CareerItemUL</t>
  </si>
  <si>
    <t>career_career_1001</t>
  </si>
  <si>
    <t>career_career_1002</t>
  </si>
  <si>
    <t>career_career_1005</t>
  </si>
  <si>
    <t>career_career_1003</t>
  </si>
  <si>
    <t>career_career_1004</t>
  </si>
  <si>
    <t>20101</t>
    <phoneticPr fontId="1" type="noConversion"/>
  </si>
  <si>
    <t>4025</t>
  </si>
  <si>
    <r>
      <t>career_career_100</t>
    </r>
    <r>
      <rPr>
        <sz val="11"/>
        <color theme="1"/>
        <rFont val="宋体"/>
        <family val="2"/>
        <charset val="134"/>
        <scheme val="minor"/>
      </rPr>
      <t>4</t>
    </r>
  </si>
  <si>
    <r>
      <t>career_career_100</t>
    </r>
    <r>
      <rPr>
        <sz val="11"/>
        <color theme="1"/>
        <rFont val="宋体"/>
        <family val="2"/>
        <charset val="134"/>
        <scheme val="minor"/>
      </rPr>
      <t>5</t>
    </r>
  </si>
  <si>
    <t>switch</t>
  </si>
  <si>
    <t>name</t>
  </si>
  <si>
    <t>type</t>
  </si>
  <si>
    <t>role_gift</t>
  </si>
  <si>
    <t>frame</t>
  </si>
  <si>
    <t>coord_x</t>
  </si>
  <si>
    <t>coord_y</t>
  </si>
  <si>
    <t>next_section_id</t>
  </si>
  <si>
    <t>costing</t>
  </si>
  <si>
    <t>sweep_card</t>
  </si>
  <si>
    <t>daily_times</t>
  </si>
  <si>
    <t>buy_consume</t>
  </si>
  <si>
    <t>member_need</t>
  </si>
  <si>
    <t>space_need</t>
  </si>
  <si>
    <t>condition_value</t>
  </si>
  <si>
    <t>award_id</t>
  </si>
  <si>
    <t>one_star_id</t>
  </si>
  <si>
    <t>one_star_value</t>
  </si>
  <si>
    <t>two_star_id</t>
  </si>
  <si>
    <t>two_star_value</t>
  </si>
  <si>
    <t>three_star_id</t>
  </si>
  <si>
    <t>three_star_value</t>
  </si>
  <si>
    <t>plot_begin_id</t>
  </si>
  <si>
    <t>plot_end_id</t>
  </si>
  <si>
    <t>plot_intro</t>
  </si>
  <si>
    <t>scene</t>
  </si>
  <si>
    <t>music</t>
  </si>
  <si>
    <t>time</t>
  </si>
  <si>
    <t>team_side</t>
  </si>
  <si>
    <t>home_score</t>
  </si>
  <si>
    <t>guest_score</t>
  </si>
  <si>
    <t>npc_id1</t>
  </si>
  <si>
    <t>npc_id2</t>
  </si>
  <si>
    <t>npc_id3</t>
  </si>
  <si>
    <t>assistant_id</t>
  </si>
  <si>
    <t>assistant_level</t>
  </si>
  <si>
    <t>game_mode_id</t>
  </si>
  <si>
    <t>icon_level</t>
  </si>
  <si>
    <t>10001</t>
  </si>
  <si>
    <t>Bg/xisijie</t>
  </si>
  <si>
    <t>120</t>
  </si>
  <si>
    <t>10101</t>
  </si>
  <si>
    <t>240</t>
  </si>
  <si>
    <t>300</t>
  </si>
  <si>
    <t>optional uint32 role_gift</t>
  </si>
  <si>
    <t>180</t>
  </si>
  <si>
    <t>220</t>
  </si>
  <si>
    <t>270</t>
  </si>
  <si>
    <t>optional uint32 coord_x</t>
  </si>
  <si>
    <t>10201</t>
  </si>
  <si>
    <t>optional uint32 coord_y</t>
  </si>
  <si>
    <t>optional uint32 sweep_card</t>
  </si>
  <si>
    <t>optional uint32 member_need</t>
  </si>
  <si>
    <t>10301</t>
  </si>
  <si>
    <t>optional uint32 space_need</t>
  </si>
  <si>
    <r>
      <t>career_career_100</t>
    </r>
    <r>
      <rPr>
        <sz val="11"/>
        <color theme="1"/>
        <rFont val="宋体"/>
        <family val="2"/>
        <charset val="134"/>
        <scheme val="minor"/>
      </rPr>
      <t>3</t>
    </r>
  </si>
  <si>
    <t>optional uint32 award_id</t>
  </si>
  <si>
    <r>
      <t>career_career_100</t>
    </r>
    <r>
      <rPr>
        <sz val="11"/>
        <color theme="1"/>
        <rFont val="宋体"/>
        <family val="2"/>
        <charset val="134"/>
        <scheme val="minor"/>
      </rPr>
      <t>1</t>
    </r>
  </si>
  <si>
    <t xml:space="preserve"> </t>
  </si>
  <si>
    <t>optional uint32 one_star_value</t>
  </si>
  <si>
    <t>10401</t>
  </si>
  <si>
    <t>optional uint32 two_star_id</t>
  </si>
  <si>
    <t>optional uint32 three_star_value</t>
  </si>
  <si>
    <t>optional uint32 plot_intro</t>
  </si>
  <si>
    <t>10501</t>
  </si>
  <si>
    <t>optional uint32 scene</t>
  </si>
  <si>
    <r>
      <t>career_career_100</t>
    </r>
    <r>
      <rPr>
        <sz val="11"/>
        <color theme="1"/>
        <rFont val="宋体"/>
        <family val="2"/>
        <charset val="134"/>
        <scheme val="minor"/>
      </rPr>
      <t>2</t>
    </r>
  </si>
  <si>
    <t>optional uint32 team_side</t>
  </si>
  <si>
    <t>optional uint32 npc_id1</t>
  </si>
  <si>
    <t>10601</t>
  </si>
  <si>
    <t>optional uint32 npc_id2</t>
  </si>
  <si>
    <t>optional uint32 assistant_level</t>
  </si>
  <si>
    <t>磨合</t>
    <phoneticPr fontId="1" type="noConversion"/>
  </si>
  <si>
    <t>城市英雄</t>
    <phoneticPr fontId="1" type="noConversion"/>
  </si>
  <si>
    <t>最后的比赛</t>
    <phoneticPr fontId="1" type="noConversion"/>
  </si>
  <si>
    <t>蜕变</t>
    <phoneticPr fontId="1" type="noConversion"/>
  </si>
</sst>
</file>

<file path=xl/styles.xml><?xml version="1.0" encoding="utf-8"?>
<styleSheet xmlns="http://schemas.openxmlformats.org/spreadsheetml/2006/main">
  <fonts count="25">
    <font>
      <sz val="11"/>
      <color theme="1"/>
      <name val="宋体"/>
      <family val="2"/>
      <charset val="134"/>
      <scheme val="minor"/>
    </font>
    <font>
      <sz val="9"/>
      <name val="宋体"/>
      <family val="2"/>
      <charset val="134"/>
      <scheme val="minor"/>
    </font>
    <font>
      <sz val="9"/>
      <color indexed="81"/>
      <name val="Tahoma"/>
      <family val="2"/>
    </font>
    <font>
      <sz val="9"/>
      <color indexed="81"/>
      <name val="宋体"/>
      <family val="3"/>
      <charset val="134"/>
    </font>
    <font>
      <b/>
      <sz val="9"/>
      <color indexed="81"/>
      <name val="宋体"/>
      <family val="3"/>
      <charset val="134"/>
    </font>
    <font>
      <b/>
      <sz val="9"/>
      <color indexed="81"/>
      <name val="Tahoma"/>
      <family val="2"/>
    </font>
    <font>
      <sz val="11"/>
      <color indexed="8"/>
      <name val="宋体"/>
      <family val="2"/>
      <charset val="134"/>
    </font>
    <font>
      <sz val="11"/>
      <name val="宋体"/>
      <family val="3"/>
      <charset val="134"/>
      <scheme val="minor"/>
    </font>
    <font>
      <sz val="11"/>
      <name val="宋体"/>
      <family val="3"/>
      <charset val="134"/>
    </font>
    <font>
      <sz val="11"/>
      <color rgb="FFFF0000"/>
      <name val="宋体"/>
      <family val="3"/>
      <charset val="134"/>
    </font>
    <font>
      <sz val="11"/>
      <color rgb="FF000000"/>
      <name val="宋体"/>
      <family val="2"/>
      <charset val="134"/>
    </font>
    <font>
      <sz val="9"/>
      <name val="宋体"/>
      <family val="2"/>
      <charset val="134"/>
    </font>
    <font>
      <sz val="11"/>
      <color theme="1"/>
      <name val="宋体"/>
      <family val="2"/>
      <charset val="134"/>
    </font>
    <font>
      <b/>
      <sz val="9"/>
      <color rgb="FF000000"/>
      <name val="宋体"/>
      <family val="2"/>
      <charset val="134"/>
    </font>
    <font>
      <b/>
      <sz val="9"/>
      <color rgb="FF000000"/>
      <name val="宋体"/>
      <family val="3"/>
      <charset val="134"/>
    </font>
    <font>
      <sz val="11"/>
      <color theme="1"/>
      <name val="宋体"/>
      <family val="3"/>
      <charset val="134"/>
    </font>
    <font>
      <sz val="11"/>
      <color theme="1"/>
      <name val="宋体"/>
      <family val="3"/>
      <charset val="134"/>
      <scheme val="minor"/>
    </font>
    <font>
      <sz val="11"/>
      <color rgb="FF333333"/>
      <name val="Arial"/>
      <family val="2"/>
    </font>
    <font>
      <sz val="10.5"/>
      <color theme="1"/>
      <name val="宋体"/>
      <family val="3"/>
      <charset val="134"/>
      <scheme val="minor"/>
    </font>
    <font>
      <sz val="10"/>
      <color theme="1"/>
      <name val="微软雅黑"/>
      <family val="2"/>
      <charset val="134"/>
    </font>
    <font>
      <sz val="11"/>
      <color theme="1"/>
      <name val="宋体"/>
      <family val="2"/>
      <charset val="134"/>
      <scheme val="minor"/>
    </font>
    <font>
      <sz val="11"/>
      <color theme="1"/>
      <name val="Tahoma"/>
      <family val="2"/>
      <charset val="134"/>
    </font>
    <font>
      <sz val="9"/>
      <color theme="1"/>
      <name val="宋体"/>
      <family val="3"/>
      <charset val="134"/>
      <scheme val="minor"/>
    </font>
    <font>
      <sz val="11"/>
      <color indexed="8"/>
      <name val="宋体"/>
      <family val="3"/>
      <charset val="134"/>
    </font>
    <font>
      <b/>
      <sz val="11"/>
      <color theme="0"/>
      <name val="宋体"/>
      <family val="3"/>
      <charset val="134"/>
    </font>
  </fonts>
  <fills count="8">
    <fill>
      <patternFill patternType="none"/>
    </fill>
    <fill>
      <patternFill patternType="gray125"/>
    </fill>
    <fill>
      <patternFill patternType="solid">
        <fgColor theme="0" tint="-0.34998626667073579"/>
        <bgColor indexed="64"/>
      </patternFill>
    </fill>
    <fill>
      <patternFill patternType="solid">
        <fgColor indexed="47"/>
        <bgColor indexed="64"/>
      </patternFill>
    </fill>
    <fill>
      <patternFill patternType="solid">
        <fgColor indexed="22"/>
        <bgColor indexed="64"/>
      </patternFill>
    </fill>
    <fill>
      <patternFill patternType="solid">
        <fgColor rgb="FFFFFF00"/>
        <bgColor indexed="64"/>
      </patternFill>
    </fill>
    <fill>
      <patternFill patternType="solid">
        <fgColor theme="0"/>
        <bgColor indexed="64"/>
      </patternFill>
    </fill>
    <fill>
      <patternFill patternType="solid">
        <fgColor rgb="FFFFCC99"/>
        <bgColor rgb="FF000000"/>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17"/>
      </left>
      <right style="thin">
        <color indexed="17"/>
      </right>
      <top style="thin">
        <color indexed="17"/>
      </top>
      <bottom style="thin">
        <color indexed="17"/>
      </bottom>
      <diagonal/>
    </border>
    <border>
      <left style="thin">
        <color indexed="17"/>
      </left>
      <right style="thin">
        <color indexed="17"/>
      </right>
      <top style="thin">
        <color indexed="17"/>
      </top>
      <bottom/>
      <diagonal/>
    </border>
    <border>
      <left/>
      <right style="thin">
        <color indexed="17"/>
      </right>
      <top style="thin">
        <color indexed="17"/>
      </top>
      <bottom style="thin">
        <color indexed="17"/>
      </bottom>
      <diagonal/>
    </border>
    <border>
      <left style="thin">
        <color indexed="17"/>
      </left>
      <right/>
      <top style="thin">
        <color indexed="17"/>
      </top>
      <bottom style="thin">
        <color indexed="17"/>
      </bottom>
      <diagonal/>
    </border>
    <border>
      <left style="thin">
        <color indexed="17"/>
      </left>
      <right style="thin">
        <color indexed="17"/>
      </right>
      <top/>
      <bottom style="thin">
        <color indexed="17"/>
      </bottom>
      <diagonal/>
    </border>
    <border>
      <left/>
      <right style="thin">
        <color indexed="17"/>
      </right>
      <top style="thin">
        <color indexed="17"/>
      </top>
      <bottom/>
      <diagonal/>
    </border>
    <border>
      <left style="thin">
        <color rgb="FF008000"/>
      </left>
      <right style="thin">
        <color rgb="FF008000"/>
      </right>
      <top style="thin">
        <color rgb="FF008000"/>
      </top>
      <bottom style="thin">
        <color rgb="FF008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17"/>
      </right>
      <top/>
      <bottom style="thin">
        <color indexed="17"/>
      </bottom>
      <diagonal/>
    </border>
    <border>
      <left style="thin">
        <color indexed="17"/>
      </left>
      <right/>
      <top style="thin">
        <color indexed="17"/>
      </top>
      <bottom/>
      <diagonal/>
    </border>
  </borders>
  <cellStyleXfs count="3655">
    <xf numFmtId="0" fontId="0" fillId="0" borderId="0">
      <alignment vertical="center"/>
    </xf>
    <xf numFmtId="0" fontId="6" fillId="0" borderId="0">
      <alignment vertical="center"/>
    </xf>
    <xf numFmtId="0" fontId="21" fillId="0" borderId="0"/>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9" fontId="20" fillId="0" borderId="0" applyFont="0" applyFill="0" applyBorder="0" applyAlignment="0" applyProtection="0">
      <alignment vertical="center"/>
    </xf>
    <xf numFmtId="0" fontId="20" fillId="0" borderId="0">
      <alignment vertical="center"/>
    </xf>
    <xf numFmtId="0" fontId="6" fillId="0" borderId="0">
      <alignment vertical="center"/>
    </xf>
    <xf numFmtId="0" fontId="20" fillId="0" borderId="0">
      <alignment vertical="center"/>
    </xf>
    <xf numFmtId="0" fontId="21" fillId="0" borderId="0"/>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1" fillId="0" borderId="0"/>
    <xf numFmtId="0" fontId="20" fillId="0" borderId="0">
      <alignment vertical="center"/>
    </xf>
    <xf numFmtId="0" fontId="6"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3" fillId="0" borderId="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6" fillId="0" borderId="0">
      <alignment vertical="center"/>
    </xf>
    <xf numFmtId="0" fontId="23"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6" fillId="0" borderId="0">
      <alignment vertical="center"/>
    </xf>
    <xf numFmtId="0" fontId="20" fillId="0" borderId="0">
      <alignment vertical="center"/>
    </xf>
    <xf numFmtId="0" fontId="6"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21" fillId="0" borderId="0"/>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9" fontId="20" fillId="0" borderId="0" applyFont="0" applyFill="0" applyBorder="0" applyAlignment="0" applyProtection="0">
      <alignment vertical="center"/>
    </xf>
    <xf numFmtId="0" fontId="6" fillId="0" borderId="0">
      <alignment vertical="center"/>
    </xf>
    <xf numFmtId="0" fontId="6" fillId="0" borderId="0">
      <alignment vertical="center"/>
    </xf>
    <xf numFmtId="0" fontId="23" fillId="0" borderId="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0" fontId="6" fillId="0" borderId="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3" fillId="0" borderId="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9" fontId="20" fillId="0" borderId="0" applyFont="0" applyFill="0" applyBorder="0" applyAlignment="0" applyProtection="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9" fontId="20" fillId="0" borderId="0" applyFont="0" applyFill="0" applyBorder="0" applyAlignment="0" applyProtection="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6" fillId="0" borderId="0">
      <alignment vertical="center"/>
    </xf>
    <xf numFmtId="0" fontId="23" fillId="0" borderId="0">
      <alignment vertical="center"/>
    </xf>
    <xf numFmtId="0" fontId="6" fillId="0" borderId="0">
      <alignment vertical="center"/>
    </xf>
    <xf numFmtId="0" fontId="23"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6" fillId="0" borderId="0">
      <alignment vertical="center"/>
    </xf>
    <xf numFmtId="0" fontId="23" fillId="0" borderId="0">
      <alignment vertical="center"/>
    </xf>
    <xf numFmtId="0" fontId="6" fillId="0" borderId="0">
      <alignment vertical="center"/>
    </xf>
    <xf numFmtId="0" fontId="23"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3" fillId="0" borderId="0">
      <alignment vertical="center"/>
    </xf>
    <xf numFmtId="0" fontId="20" fillId="0" borderId="0">
      <alignment vertical="center"/>
    </xf>
    <xf numFmtId="0" fontId="6" fillId="0" borderId="0">
      <alignment vertical="center"/>
    </xf>
    <xf numFmtId="0" fontId="6" fillId="0" borderId="0">
      <alignment vertical="center"/>
    </xf>
    <xf numFmtId="0" fontId="20" fillId="0" borderId="0">
      <alignment vertical="center"/>
    </xf>
    <xf numFmtId="0" fontId="23" fillId="0" borderId="0">
      <alignment vertical="center"/>
    </xf>
    <xf numFmtId="0" fontId="6" fillId="0" borderId="0">
      <alignment vertical="center"/>
    </xf>
    <xf numFmtId="0" fontId="23" fillId="0" borderId="0">
      <alignment vertical="center"/>
    </xf>
    <xf numFmtId="0" fontId="6" fillId="0" borderId="0">
      <alignment vertical="center"/>
    </xf>
    <xf numFmtId="0" fontId="6" fillId="0" borderId="0">
      <alignment vertical="center"/>
    </xf>
    <xf numFmtId="0" fontId="6" fillId="0" borderId="0">
      <alignment vertical="center"/>
    </xf>
    <xf numFmtId="0" fontId="20" fillId="0" borderId="0">
      <alignment vertical="center"/>
    </xf>
    <xf numFmtId="0" fontId="6" fillId="0" borderId="0">
      <alignment vertical="center"/>
    </xf>
    <xf numFmtId="0" fontId="6" fillId="0" borderId="0">
      <alignment vertical="center"/>
    </xf>
    <xf numFmtId="0" fontId="23"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3"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6" fillId="0" borderId="0">
      <alignment vertical="center"/>
    </xf>
    <xf numFmtId="0" fontId="20" fillId="0" borderId="0">
      <alignment vertical="center"/>
    </xf>
    <xf numFmtId="0" fontId="20" fillId="0" borderId="0">
      <alignment vertical="center"/>
    </xf>
    <xf numFmtId="0" fontId="23" fillId="0" borderId="0">
      <alignment vertical="center"/>
    </xf>
    <xf numFmtId="0" fontId="6" fillId="0" borderId="0">
      <alignment vertical="center"/>
    </xf>
    <xf numFmtId="0" fontId="23" fillId="0" borderId="0">
      <alignment vertical="center"/>
    </xf>
    <xf numFmtId="0" fontId="23" fillId="0" borderId="0">
      <alignment vertical="center"/>
    </xf>
    <xf numFmtId="0" fontId="6" fillId="0" borderId="0">
      <alignment vertical="center"/>
    </xf>
    <xf numFmtId="0" fontId="6" fillId="0" borderId="0">
      <alignment vertical="center"/>
    </xf>
    <xf numFmtId="0" fontId="6" fillId="0" borderId="0">
      <alignment vertical="center"/>
    </xf>
    <xf numFmtId="0" fontId="20"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23" fillId="0" borderId="0">
      <alignment vertical="center"/>
    </xf>
    <xf numFmtId="0" fontId="6" fillId="0" borderId="0">
      <alignment vertical="center"/>
    </xf>
    <xf numFmtId="0" fontId="23"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6" fillId="0" borderId="0">
      <alignment vertical="center"/>
    </xf>
    <xf numFmtId="0" fontId="23" fillId="0" borderId="0">
      <alignment vertical="center"/>
    </xf>
    <xf numFmtId="0" fontId="6" fillId="0" borderId="0">
      <alignment vertical="center"/>
    </xf>
    <xf numFmtId="0" fontId="23"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6" fillId="0" borderId="0">
      <alignment vertical="center"/>
    </xf>
    <xf numFmtId="0" fontId="23" fillId="0" borderId="0">
      <alignment vertical="center"/>
    </xf>
    <xf numFmtId="0" fontId="6" fillId="0" borderId="0">
      <alignment vertical="center"/>
    </xf>
    <xf numFmtId="0" fontId="23"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21" fillId="0" borderId="0"/>
    <xf numFmtId="0" fontId="20" fillId="0" borderId="0">
      <alignment vertical="center"/>
    </xf>
    <xf numFmtId="0" fontId="21" fillId="0" borderId="0"/>
    <xf numFmtId="0" fontId="6" fillId="0" borderId="0">
      <alignment vertical="center"/>
    </xf>
    <xf numFmtId="0" fontId="6" fillId="0" borderId="0">
      <alignment vertical="center"/>
    </xf>
    <xf numFmtId="0" fontId="6"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1" fillId="0" borderId="0"/>
    <xf numFmtId="0" fontId="6" fillId="0" borderId="0">
      <alignment vertical="center"/>
    </xf>
    <xf numFmtId="0" fontId="21" fillId="0" borderId="0"/>
    <xf numFmtId="0" fontId="20" fillId="0" borderId="0">
      <alignment vertical="center"/>
    </xf>
    <xf numFmtId="0" fontId="6" fillId="0" borderId="0">
      <alignment vertical="center"/>
    </xf>
    <xf numFmtId="0" fontId="6" fillId="0" borderId="0">
      <alignment vertical="center"/>
    </xf>
    <xf numFmtId="0" fontId="21" fillId="0" borderId="0"/>
    <xf numFmtId="0" fontId="6" fillId="0" borderId="0">
      <alignment vertical="center"/>
    </xf>
    <xf numFmtId="0" fontId="6" fillId="0" borderId="0">
      <alignment vertical="center"/>
    </xf>
    <xf numFmtId="0" fontId="20" fillId="0" borderId="0">
      <alignment vertical="center"/>
    </xf>
    <xf numFmtId="0" fontId="6" fillId="0" borderId="0">
      <alignment vertical="center"/>
    </xf>
    <xf numFmtId="0" fontId="21" fillId="0" borderId="0"/>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6" fillId="0" borderId="0">
      <alignment vertical="center"/>
    </xf>
    <xf numFmtId="0" fontId="20" fillId="0" borderId="0">
      <alignment vertical="center"/>
    </xf>
    <xf numFmtId="0" fontId="20" fillId="0" borderId="0">
      <alignment vertical="center"/>
    </xf>
    <xf numFmtId="0" fontId="20" fillId="0" borderId="0">
      <alignment vertical="center"/>
    </xf>
    <xf numFmtId="0" fontId="6" fillId="0" borderId="0">
      <alignment vertical="center"/>
    </xf>
    <xf numFmtId="0" fontId="6" fillId="0" borderId="0">
      <alignment vertical="center"/>
    </xf>
    <xf numFmtId="0" fontId="6" fillId="0" borderId="0">
      <alignment vertical="center"/>
    </xf>
    <xf numFmtId="0" fontId="20" fillId="0" borderId="0">
      <alignment vertical="center"/>
    </xf>
    <xf numFmtId="0" fontId="21" fillId="0" borderId="0"/>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xf numFmtId="0" fontId="24" fillId="0" borderId="0">
      <alignment vertical="center"/>
    </xf>
    <xf numFmtId="0" fontId="21" fillId="0" borderId="0"/>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1"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xf numFmtId="0" fontId="24" fillId="0" borderId="0">
      <alignment vertical="center"/>
    </xf>
    <xf numFmtId="0" fontId="21" fillId="0" borderId="0"/>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1"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xf numFmtId="0" fontId="24" fillId="0" borderId="0">
      <alignment vertical="center"/>
    </xf>
    <xf numFmtId="0" fontId="21" fillId="0" borderId="0"/>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xf numFmtId="0" fontId="24" fillId="0" borderId="0">
      <alignment vertical="center"/>
    </xf>
    <xf numFmtId="0" fontId="21" fillId="0" borderId="0"/>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xf numFmtId="0" fontId="24" fillId="0" borderId="0">
      <alignment vertical="center"/>
    </xf>
    <xf numFmtId="0" fontId="21" fillId="0" borderId="0"/>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1"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xf numFmtId="0" fontId="24" fillId="0" borderId="0">
      <alignment vertical="center"/>
    </xf>
    <xf numFmtId="0" fontId="21" fillId="0" borderId="0"/>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1"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xf numFmtId="0" fontId="24" fillId="0" borderId="0">
      <alignment vertical="center"/>
    </xf>
    <xf numFmtId="0" fontId="21" fillId="0" borderId="0"/>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xf numFmtId="0" fontId="24" fillId="0" borderId="0">
      <alignment vertical="center"/>
    </xf>
    <xf numFmtId="0" fontId="21" fillId="0" borderId="0"/>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9" fontId="21" fillId="0" borderId="0" applyFont="0" applyFill="0" applyBorder="0" applyAlignment="0" applyProtection="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1" fillId="0" borderId="0">
      <alignment vertical="center"/>
    </xf>
    <xf numFmtId="0" fontId="24" fillId="0" borderId="0">
      <alignment vertical="center"/>
    </xf>
    <xf numFmtId="0" fontId="21"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4" fillId="0" borderId="0">
      <alignment vertical="center"/>
    </xf>
    <xf numFmtId="0" fontId="21" fillId="0" borderId="0"/>
    <xf numFmtId="0" fontId="24" fillId="0" borderId="0">
      <alignment vertical="center"/>
    </xf>
    <xf numFmtId="0" fontId="21" fillId="0" borderId="0"/>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9" fontId="23" fillId="0" borderId="0" applyFont="0" applyFill="0" applyBorder="0" applyAlignment="0" applyProtection="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1" fillId="0" borderId="0">
      <alignment vertical="center"/>
    </xf>
    <xf numFmtId="0" fontId="21"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1"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xf numFmtId="0" fontId="23" fillId="0" borderId="0">
      <alignment vertical="center"/>
    </xf>
  </cellStyleXfs>
  <cellXfs count="98">
    <xf numFmtId="0" fontId="0" fillId="0" borderId="0" xfId="0">
      <alignment vertical="center"/>
    </xf>
    <xf numFmtId="0" fontId="0" fillId="2" borderId="1" xfId="0" applyFill="1" applyBorder="1">
      <alignment vertical="center"/>
    </xf>
    <xf numFmtId="0" fontId="6" fillId="3" borderId="2" xfId="1" applyNumberFormat="1" applyFill="1" applyBorder="1" applyAlignment="1">
      <alignment horizontal="center" vertical="center"/>
    </xf>
    <xf numFmtId="0" fontId="6" fillId="0" borderId="0" xfId="1">
      <alignment vertical="center"/>
    </xf>
    <xf numFmtId="0" fontId="6" fillId="0" borderId="0" xfId="1" applyNumberFormat="1" applyBorder="1" applyAlignment="1">
      <alignment horizontal="left" vertical="center"/>
    </xf>
    <xf numFmtId="0" fontId="6" fillId="0" borderId="1" xfId="1" applyNumberFormat="1" applyBorder="1" applyAlignment="1">
      <alignment horizontal="left" vertical="center"/>
    </xf>
    <xf numFmtId="0" fontId="6" fillId="0" borderId="2" xfId="1" applyNumberFormat="1" applyFill="1" applyBorder="1">
      <alignment vertical="center"/>
    </xf>
    <xf numFmtId="0" fontId="6" fillId="0" borderId="2" xfId="1" applyNumberFormat="1" applyFont="1" applyFill="1" applyBorder="1" applyAlignment="1">
      <alignment horizontal="left" vertical="center"/>
    </xf>
    <xf numFmtId="0" fontId="6" fillId="0" borderId="0" xfId="1" applyNumberFormat="1" applyFont="1" applyFill="1" applyAlignment="1">
      <alignment horizontal="left" vertical="center"/>
    </xf>
    <xf numFmtId="0" fontId="6" fillId="4" borderId="2" xfId="1" applyNumberFormat="1" applyFill="1" applyBorder="1">
      <alignment vertical="center"/>
    </xf>
    <xf numFmtId="0" fontId="6" fillId="0" borderId="1" xfId="1" applyBorder="1" applyAlignment="1">
      <alignment horizontal="left" vertical="center"/>
    </xf>
    <xf numFmtId="0" fontId="6" fillId="0" borderId="1" xfId="1" applyBorder="1">
      <alignment vertical="center"/>
    </xf>
    <xf numFmtId="0" fontId="6" fillId="3" borderId="1" xfId="1" applyNumberFormat="1" applyFill="1" applyBorder="1" applyAlignment="1">
      <alignment horizontal="center" vertical="center"/>
    </xf>
    <xf numFmtId="0" fontId="6" fillId="3" borderId="4" xfId="1" applyNumberFormat="1" applyFill="1" applyBorder="1" applyAlignment="1">
      <alignment horizontal="center" vertical="center"/>
    </xf>
    <xf numFmtId="0" fontId="6" fillId="3" borderId="5" xfId="1" applyNumberFormat="1" applyFill="1" applyBorder="1" applyAlignment="1">
      <alignment horizontal="center" vertical="center"/>
    </xf>
    <xf numFmtId="0" fontId="0" fillId="0" borderId="1" xfId="0" applyFill="1" applyBorder="1">
      <alignment vertical="center"/>
    </xf>
    <xf numFmtId="0" fontId="0" fillId="0" borderId="0" xfId="0" applyFill="1">
      <alignment vertical="center"/>
    </xf>
    <xf numFmtId="0" fontId="6" fillId="0" borderId="0" xfId="1" applyFill="1">
      <alignment vertical="center"/>
    </xf>
    <xf numFmtId="0" fontId="8" fillId="0" borderId="0" xfId="1" applyFont="1" applyFill="1">
      <alignment vertical="center"/>
    </xf>
    <xf numFmtId="0" fontId="6" fillId="6" borderId="0" xfId="1" applyFill="1">
      <alignment vertical="center"/>
    </xf>
    <xf numFmtId="0" fontId="6" fillId="0" borderId="1" xfId="1" applyBorder="1" applyAlignment="1">
      <alignment vertical="center" wrapText="1"/>
    </xf>
    <xf numFmtId="0" fontId="9" fillId="0" borderId="0" xfId="1" applyFont="1" applyFill="1">
      <alignment vertical="center"/>
    </xf>
    <xf numFmtId="0" fontId="8" fillId="0" borderId="0" xfId="1" applyFont="1">
      <alignment vertical="center"/>
    </xf>
    <xf numFmtId="0" fontId="8" fillId="6" borderId="0" xfId="1" applyFont="1" applyFill="1">
      <alignment vertical="center"/>
    </xf>
    <xf numFmtId="0" fontId="10" fillId="7" borderId="8" xfId="1" applyNumberFormat="1" applyFont="1" applyFill="1" applyBorder="1" applyAlignment="1">
      <alignment horizontal="center" vertical="center"/>
    </xf>
    <xf numFmtId="0" fontId="10" fillId="0" borderId="8" xfId="1" applyNumberFormat="1" applyFont="1" applyFill="1" applyBorder="1">
      <alignment vertical="center"/>
    </xf>
    <xf numFmtId="0" fontId="12" fillId="0" borderId="0" xfId="0" applyFont="1" applyBorder="1">
      <alignment vertical="center"/>
    </xf>
    <xf numFmtId="0" fontId="15" fillId="0" borderId="0" xfId="0" applyFont="1" applyAlignment="1">
      <alignment horizontal="justify" vertical="center"/>
    </xf>
    <xf numFmtId="0" fontId="16" fillId="0" borderId="0" xfId="0" applyFont="1">
      <alignment vertical="center"/>
    </xf>
    <xf numFmtId="0" fontId="6" fillId="0" borderId="2" xfId="1" applyNumberFormat="1" applyFill="1" applyBorder="1" applyAlignment="1">
      <alignment horizontal="left" vertical="center"/>
    </xf>
    <xf numFmtId="0" fontId="0" fillId="0" borderId="8" xfId="0" applyBorder="1">
      <alignment vertical="center"/>
    </xf>
    <xf numFmtId="49" fontId="6" fillId="3" borderId="9" xfId="1" applyNumberFormat="1" applyFill="1" applyBorder="1" applyAlignment="1">
      <alignment horizontal="center" vertical="center"/>
    </xf>
    <xf numFmtId="49" fontId="6" fillId="3" borderId="7" xfId="1" applyNumberFormat="1" applyFill="1" applyBorder="1" applyAlignment="1">
      <alignment horizontal="center" vertical="center"/>
    </xf>
    <xf numFmtId="49" fontId="6" fillId="3" borderId="3" xfId="1" applyNumberFormat="1" applyFill="1" applyBorder="1" applyAlignment="1">
      <alignment horizontal="center" vertical="center"/>
    </xf>
    <xf numFmtId="49" fontId="0" fillId="0" borderId="0" xfId="0" applyNumberFormat="1">
      <alignment vertical="center"/>
    </xf>
    <xf numFmtId="49" fontId="0" fillId="0" borderId="1" xfId="0" applyNumberFormat="1" applyBorder="1">
      <alignment vertical="center"/>
    </xf>
    <xf numFmtId="49" fontId="6" fillId="0" borderId="1" xfId="1" applyNumberFormat="1" applyBorder="1" applyAlignment="1">
      <alignment horizontal="left" vertical="center"/>
    </xf>
    <xf numFmtId="49" fontId="0" fillId="0" borderId="0" xfId="0" applyNumberFormat="1" applyBorder="1">
      <alignment vertical="center"/>
    </xf>
    <xf numFmtId="49" fontId="0" fillId="0" borderId="0" xfId="0" applyNumberFormat="1" applyBorder="1" applyAlignment="1">
      <alignment horizontal="right" vertical="center"/>
    </xf>
    <xf numFmtId="49" fontId="0" fillId="5" borderId="1" xfId="0" applyNumberFormat="1" applyFill="1" applyBorder="1">
      <alignment vertical="center"/>
    </xf>
    <xf numFmtId="49" fontId="6" fillId="5" borderId="6" xfId="1" applyNumberFormat="1" applyFill="1" applyBorder="1" applyAlignment="1">
      <alignment horizontal="left" vertical="center"/>
    </xf>
    <xf numFmtId="49" fontId="6" fillId="5" borderId="2" xfId="1" applyNumberFormat="1" applyFill="1" applyBorder="1" applyAlignment="1">
      <alignment horizontal="left" vertical="center"/>
    </xf>
    <xf numFmtId="49" fontId="0" fillId="0" borderId="0" xfId="0" applyNumberFormat="1" applyFill="1" applyBorder="1">
      <alignment vertical="center"/>
    </xf>
    <xf numFmtId="49" fontId="6" fillId="0" borderId="5" xfId="1" applyNumberFormat="1" applyBorder="1" applyAlignment="1">
      <alignment horizontal="left" vertical="center"/>
    </xf>
    <xf numFmtId="49" fontId="6" fillId="0" borderId="0" xfId="1" applyNumberFormat="1" applyBorder="1" applyAlignment="1">
      <alignment horizontal="left" vertical="center"/>
    </xf>
    <xf numFmtId="49" fontId="6" fillId="0" borderId="0" xfId="1" applyNumberFormat="1" applyFill="1" applyBorder="1" applyAlignment="1">
      <alignment horizontal="left" vertical="center"/>
    </xf>
    <xf numFmtId="49" fontId="7" fillId="0" borderId="0" xfId="0" applyNumberFormat="1" applyFont="1" applyFill="1" applyBorder="1" applyAlignment="1">
      <alignment horizontal="left" vertical="center"/>
    </xf>
    <xf numFmtId="49" fontId="6" fillId="0" borderId="5" xfId="1" applyNumberFormat="1" applyFill="1" applyBorder="1" applyAlignment="1">
      <alignment horizontal="left" vertical="center"/>
    </xf>
    <xf numFmtId="49" fontId="6" fillId="5" borderId="10" xfId="1" applyNumberFormat="1" applyFill="1" applyBorder="1" applyAlignment="1">
      <alignment horizontal="left" vertical="center"/>
    </xf>
    <xf numFmtId="49" fontId="6" fillId="5" borderId="11" xfId="1" applyNumberFormat="1" applyFill="1" applyBorder="1" applyAlignment="1">
      <alignment horizontal="left" vertical="center"/>
    </xf>
    <xf numFmtId="49" fontId="6" fillId="5" borderId="4" xfId="1" applyNumberFormat="1" applyFill="1" applyBorder="1" applyAlignment="1">
      <alignment horizontal="left" vertical="center"/>
    </xf>
    <xf numFmtId="49" fontId="7" fillId="0" borderId="0" xfId="0" applyNumberFormat="1" applyFont="1" applyFill="1" applyBorder="1">
      <alignment vertical="center"/>
    </xf>
    <xf numFmtId="49" fontId="6" fillId="0" borderId="0" xfId="1" applyNumberFormat="1" applyBorder="1" applyAlignment="1">
      <alignment horizontal="right" vertical="center"/>
    </xf>
    <xf numFmtId="49" fontId="6" fillId="3" borderId="0" xfId="1" applyNumberFormat="1" applyFill="1" applyBorder="1" applyAlignment="1">
      <alignment horizontal="center" vertical="center"/>
    </xf>
    <xf numFmtId="49" fontId="18" fillId="0" borderId="1" xfId="0" applyNumberFormat="1" applyFont="1" applyBorder="1">
      <alignment vertical="center"/>
    </xf>
    <xf numFmtId="49" fontId="16" fillId="0" borderId="1" xfId="0" applyNumberFormat="1" applyFont="1" applyBorder="1">
      <alignment vertical="center"/>
    </xf>
    <xf numFmtId="49" fontId="6" fillId="0" borderId="1" xfId="1" applyNumberFormat="1" applyFill="1" applyBorder="1" applyAlignment="1">
      <alignment horizontal="left" vertical="center"/>
    </xf>
    <xf numFmtId="49" fontId="0" fillId="2" borderId="1" xfId="0" applyNumberFormat="1" applyFill="1" applyBorder="1">
      <alignment vertical="center"/>
    </xf>
    <xf numFmtId="49" fontId="6" fillId="3" borderId="0" xfId="1" applyNumberFormat="1" applyFill="1" applyBorder="1" applyAlignment="1">
      <alignment horizontal="right" vertical="center"/>
    </xf>
    <xf numFmtId="49" fontId="0" fillId="0" borderId="0" xfId="0" applyNumberFormat="1" applyAlignment="1">
      <alignment horizontal="right" vertical="center"/>
    </xf>
    <xf numFmtId="49" fontId="6" fillId="0" borderId="12" xfId="1" applyNumberFormat="1" applyFill="1" applyBorder="1" applyAlignment="1">
      <alignment horizontal="left" vertical="center"/>
    </xf>
    <xf numFmtId="0" fontId="19" fillId="0" borderId="0" xfId="0" applyFont="1">
      <alignment vertical="center"/>
    </xf>
    <xf numFmtId="0" fontId="6" fillId="3" borderId="0" xfId="1" applyNumberFormat="1" applyFill="1" applyBorder="1" applyAlignment="1">
      <alignment horizontal="right" vertical="center"/>
    </xf>
    <xf numFmtId="0" fontId="0" fillId="0" borderId="0" xfId="0" applyNumberFormat="1" applyBorder="1" applyAlignment="1">
      <alignment horizontal="right" vertical="center"/>
    </xf>
    <xf numFmtId="0" fontId="6" fillId="0" borderId="0" xfId="1" applyNumberFormat="1" applyBorder="1" applyAlignment="1">
      <alignment horizontal="right" vertical="center"/>
    </xf>
    <xf numFmtId="0" fontId="0" fillId="0" borderId="0" xfId="0" applyNumberFormat="1" applyAlignment="1">
      <alignment horizontal="right" vertical="center"/>
    </xf>
    <xf numFmtId="0" fontId="15" fillId="0" borderId="0" xfId="516" applyFont="1" applyFill="1" applyBorder="1"/>
    <xf numFmtId="0" fontId="22" fillId="0" borderId="0" xfId="7" applyFont="1" applyFill="1" applyBorder="1">
      <alignment vertical="center"/>
    </xf>
    <xf numFmtId="0" fontId="0" fillId="0" borderId="0" xfId="0">
      <alignment vertical="center"/>
    </xf>
    <xf numFmtId="0" fontId="0" fillId="0" borderId="0" xfId="0" applyFill="1">
      <alignment vertical="center"/>
    </xf>
    <xf numFmtId="0" fontId="6" fillId="0" borderId="2" xfId="1" applyNumberFormat="1" applyFill="1" applyBorder="1" applyAlignment="1">
      <alignment horizontal="left" vertical="center"/>
    </xf>
    <xf numFmtId="49" fontId="6" fillId="3" borderId="1" xfId="1" applyNumberFormat="1" applyFill="1" applyBorder="1" applyAlignment="1">
      <alignment horizontal="center" vertical="center"/>
    </xf>
    <xf numFmtId="49" fontId="6" fillId="3" borderId="3" xfId="1" applyNumberFormat="1" applyFill="1" applyBorder="1" applyAlignment="1">
      <alignment horizontal="center" vertical="center"/>
    </xf>
    <xf numFmtId="49" fontId="7" fillId="0" borderId="1" xfId="0" applyNumberFormat="1" applyFont="1" applyFill="1" applyBorder="1" applyAlignment="1">
      <alignment horizontal="left" vertical="center"/>
    </xf>
    <xf numFmtId="49" fontId="0" fillId="0" borderId="0" xfId="0" applyNumberFormat="1" applyFill="1">
      <alignment vertical="center"/>
    </xf>
    <xf numFmtId="49" fontId="6" fillId="3" borderId="4" xfId="1" applyNumberFormat="1" applyFill="1" applyBorder="1" applyAlignment="1">
      <alignment horizontal="center" vertical="center"/>
    </xf>
    <xf numFmtId="49" fontId="6" fillId="3" borderId="2" xfId="1" applyNumberFormat="1" applyFill="1" applyBorder="1" applyAlignment="1">
      <alignment horizontal="center" vertical="center"/>
    </xf>
    <xf numFmtId="49" fontId="6" fillId="3" borderId="5" xfId="1" applyNumberFormat="1" applyFill="1" applyBorder="1" applyAlignment="1">
      <alignment horizontal="center" vertical="center"/>
    </xf>
    <xf numFmtId="49" fontId="6" fillId="0" borderId="0" xfId="1" applyNumberFormat="1" applyBorder="1" applyAlignment="1">
      <alignment horizontal="left" vertical="center"/>
    </xf>
    <xf numFmtId="49" fontId="6" fillId="0" borderId="0" xfId="1" applyNumberFormat="1" applyFill="1" applyBorder="1" applyAlignment="1">
      <alignment horizontal="left" vertical="center"/>
    </xf>
    <xf numFmtId="49" fontId="6" fillId="0" borderId="5" xfId="1" applyNumberFormat="1" applyFill="1" applyBorder="1" applyAlignment="1">
      <alignment horizontal="left" vertical="center"/>
    </xf>
    <xf numFmtId="49" fontId="6" fillId="0" borderId="1" xfId="1" applyNumberFormat="1" applyFill="1" applyBorder="1" applyAlignment="1">
      <alignment horizontal="left" vertical="center"/>
    </xf>
    <xf numFmtId="0" fontId="6" fillId="0" borderId="0" xfId="1" applyNumberFormat="1" applyFill="1" applyBorder="1" applyAlignment="1">
      <alignment horizontal="left" vertical="center"/>
    </xf>
    <xf numFmtId="0" fontId="0" fillId="0" borderId="1" xfId="0" applyFill="1" applyBorder="1">
      <alignment vertical="center"/>
    </xf>
    <xf numFmtId="49" fontId="6" fillId="0" borderId="4" xfId="1" applyNumberFormat="1" applyFill="1" applyBorder="1" applyAlignment="1">
      <alignment horizontal="left" vertical="center"/>
    </xf>
    <xf numFmtId="49" fontId="6" fillId="0" borderId="2" xfId="1" applyNumberFormat="1" applyFill="1" applyBorder="1" applyAlignment="1">
      <alignment horizontal="left" vertical="center"/>
    </xf>
    <xf numFmtId="49" fontId="0" fillId="0" borderId="1" xfId="0" applyNumberFormat="1" applyFill="1" applyBorder="1">
      <alignment vertical="center"/>
    </xf>
    <xf numFmtId="49" fontId="6" fillId="0" borderId="3" xfId="1" applyNumberFormat="1" applyFill="1" applyBorder="1" applyAlignment="1">
      <alignment horizontal="left" vertical="center"/>
    </xf>
    <xf numFmtId="49" fontId="6" fillId="0" borderId="6" xfId="1" applyNumberFormat="1" applyFill="1" applyBorder="1" applyAlignment="1">
      <alignment horizontal="left" vertical="center"/>
    </xf>
    <xf numFmtId="0" fontId="17" fillId="0" borderId="1" xfId="0" applyFont="1" applyFill="1" applyBorder="1">
      <alignment vertical="center"/>
    </xf>
    <xf numFmtId="0" fontId="16" fillId="0" borderId="1" xfId="0" applyFont="1" applyFill="1" applyBorder="1">
      <alignment vertical="center"/>
    </xf>
    <xf numFmtId="0" fontId="21" fillId="0" borderId="0" xfId="2" applyFill="1" applyBorder="1"/>
    <xf numFmtId="0" fontId="21" fillId="0" borderId="0" xfId="13" applyFill="1" applyBorder="1"/>
    <xf numFmtId="0" fontId="15" fillId="0" borderId="0" xfId="528" applyFont="1" applyFill="1" applyBorder="1"/>
    <xf numFmtId="0" fontId="21" fillId="0" borderId="0" xfId="537"/>
    <xf numFmtId="0" fontId="20" fillId="0" borderId="0" xfId="2240" applyFont="1"/>
    <xf numFmtId="0" fontId="20" fillId="0" borderId="0" xfId="2969" applyFont="1"/>
    <xf numFmtId="0" fontId="20" fillId="0" borderId="0" xfId="3312" applyFont="1"/>
  </cellXfs>
  <cellStyles count="3655">
    <cellStyle name="百分比 3" xfId="46"/>
    <cellStyle name="百分比 3 10" xfId="136"/>
    <cellStyle name="百分比 3 10 10" xfId="3209"/>
    <cellStyle name="百分比 3 10 11" xfId="3552"/>
    <cellStyle name="百分比 3 10 2" xfId="401"/>
    <cellStyle name="百分比 3 10 3" xfId="810"/>
    <cellStyle name="百分比 3 10 4" xfId="1153"/>
    <cellStyle name="百分比 3 10 5" xfId="1495"/>
    <cellStyle name="百分比 3 10 6" xfId="1838"/>
    <cellStyle name="百分比 3 10 7" xfId="2181"/>
    <cellStyle name="百分比 3 10 8" xfId="2524"/>
    <cellStyle name="百分比 3 10 9" xfId="2866"/>
    <cellStyle name="百分比 3 11" xfId="64"/>
    <cellStyle name="百分比 3 11 10" xfId="3270"/>
    <cellStyle name="百分比 3 11 11" xfId="3613"/>
    <cellStyle name="百分比 3 11 2" xfId="364"/>
    <cellStyle name="百分比 3 11 3" xfId="872"/>
    <cellStyle name="百分比 3 11 4" xfId="1215"/>
    <cellStyle name="百分比 3 11 5" xfId="1556"/>
    <cellStyle name="百分比 3 11 6" xfId="1899"/>
    <cellStyle name="百分比 3 11 7" xfId="2243"/>
    <cellStyle name="百分比 3 11 8" xfId="2586"/>
    <cellStyle name="百分比 3 11 9" xfId="2927"/>
    <cellStyle name="百分比 3 12" xfId="358"/>
    <cellStyle name="百分比 3 13" xfId="884"/>
    <cellStyle name="百分比 3 14" xfId="1227"/>
    <cellStyle name="百分比 3 15" xfId="1568"/>
    <cellStyle name="百分比 3 16" xfId="1911"/>
    <cellStyle name="百分比 3 17" xfId="2255"/>
    <cellStyle name="百分比 3 18" xfId="2598"/>
    <cellStyle name="百分比 3 19" xfId="2939"/>
    <cellStyle name="百分比 3 2" xfId="60"/>
    <cellStyle name="百分比 3 2 10" xfId="3125"/>
    <cellStyle name="百分比 3 2 11" xfId="3468"/>
    <cellStyle name="百分比 3 2 2" xfId="362"/>
    <cellStyle name="百分比 3 2 3" xfId="725"/>
    <cellStyle name="百分比 3 2 4" xfId="1068"/>
    <cellStyle name="百分比 3 2 5" xfId="1411"/>
    <cellStyle name="百分比 3 2 6" xfId="1754"/>
    <cellStyle name="百分比 3 2 7" xfId="2096"/>
    <cellStyle name="百分比 3 2 8" xfId="2439"/>
    <cellStyle name="百分比 3 2 9" xfId="2782"/>
    <cellStyle name="百分比 3 20" xfId="3282"/>
    <cellStyle name="百分比 3 21" xfId="3625"/>
    <cellStyle name="百分比 3 3" xfId="72"/>
    <cellStyle name="百分比 3 3 10" xfId="3124"/>
    <cellStyle name="百分比 3 3 11" xfId="3467"/>
    <cellStyle name="百分比 3 3 2" xfId="368"/>
    <cellStyle name="百分比 3 3 3" xfId="724"/>
    <cellStyle name="百分比 3 3 4" xfId="1067"/>
    <cellStyle name="百分比 3 3 5" xfId="1410"/>
    <cellStyle name="百分比 3 3 6" xfId="1753"/>
    <cellStyle name="百分比 3 3 7" xfId="2095"/>
    <cellStyle name="百分比 3 3 8" xfId="2438"/>
    <cellStyle name="百分比 3 3 9" xfId="2781"/>
    <cellStyle name="百分比 3 4" xfId="85"/>
    <cellStyle name="百分比 3 4 10" xfId="3145"/>
    <cellStyle name="百分比 3 4 11" xfId="3488"/>
    <cellStyle name="百分比 3 4 2" xfId="373"/>
    <cellStyle name="百分比 3 4 3" xfId="745"/>
    <cellStyle name="百分比 3 4 4" xfId="1088"/>
    <cellStyle name="百分比 3 4 5" xfId="1431"/>
    <cellStyle name="百分比 3 4 6" xfId="1774"/>
    <cellStyle name="百分比 3 4 7" xfId="2116"/>
    <cellStyle name="百分比 3 4 8" xfId="2459"/>
    <cellStyle name="百分比 3 4 9" xfId="2802"/>
    <cellStyle name="百分比 3 5" xfId="92"/>
    <cellStyle name="百分比 3 5 10" xfId="3248"/>
    <cellStyle name="百分比 3 5 11" xfId="3591"/>
    <cellStyle name="百分比 3 5 2" xfId="376"/>
    <cellStyle name="百分比 3 5 3" xfId="849"/>
    <cellStyle name="百分比 3 5 4" xfId="1192"/>
    <cellStyle name="百分比 3 5 5" xfId="1534"/>
    <cellStyle name="百分比 3 5 6" xfId="1877"/>
    <cellStyle name="百分比 3 5 7" xfId="2220"/>
    <cellStyle name="百分比 3 5 8" xfId="2563"/>
    <cellStyle name="百分比 3 5 9" xfId="2905"/>
    <cellStyle name="百分比 3 6" xfId="101"/>
    <cellStyle name="百分比 3 6 10" xfId="3044"/>
    <cellStyle name="百分比 3 6 11" xfId="3387"/>
    <cellStyle name="百分比 3 6 2" xfId="381"/>
    <cellStyle name="百分比 3 6 3" xfId="644"/>
    <cellStyle name="百分比 3 6 4" xfId="987"/>
    <cellStyle name="百分比 3 6 5" xfId="1330"/>
    <cellStyle name="百分比 3 6 6" xfId="1673"/>
    <cellStyle name="百分比 3 6 7" xfId="2015"/>
    <cellStyle name="百分比 3 6 8" xfId="2358"/>
    <cellStyle name="百分比 3 6 9" xfId="2701"/>
    <cellStyle name="百分比 3 7" xfId="110"/>
    <cellStyle name="百分比 3 7 10" xfId="3126"/>
    <cellStyle name="百分比 3 7 11" xfId="3469"/>
    <cellStyle name="百分比 3 7 2" xfId="386"/>
    <cellStyle name="百分比 3 7 3" xfId="726"/>
    <cellStyle name="百分比 3 7 4" xfId="1069"/>
    <cellStyle name="百分比 3 7 5" xfId="1412"/>
    <cellStyle name="百分比 3 7 6" xfId="1755"/>
    <cellStyle name="百分比 3 7 7" xfId="2097"/>
    <cellStyle name="百分比 3 7 8" xfId="2440"/>
    <cellStyle name="百分比 3 7 9" xfId="2783"/>
    <cellStyle name="百分比 3 8" xfId="119"/>
    <cellStyle name="百分比 3 8 10" xfId="3056"/>
    <cellStyle name="百分比 3 8 11" xfId="3399"/>
    <cellStyle name="百分比 3 8 2" xfId="391"/>
    <cellStyle name="百分比 3 8 3" xfId="656"/>
    <cellStyle name="百分比 3 8 4" xfId="999"/>
    <cellStyle name="百分比 3 8 5" xfId="1342"/>
    <cellStyle name="百分比 3 8 6" xfId="1685"/>
    <cellStyle name="百分比 3 8 7" xfId="2027"/>
    <cellStyle name="百分比 3 8 8" xfId="2370"/>
    <cellStyle name="百分比 3 8 9" xfId="2713"/>
    <cellStyle name="百分比 3 9" xfId="128"/>
    <cellStyle name="百分比 3 9 10" xfId="3062"/>
    <cellStyle name="百分比 3 9 11" xfId="3405"/>
    <cellStyle name="百分比 3 9 2" xfId="396"/>
    <cellStyle name="百分比 3 9 3" xfId="662"/>
    <cellStyle name="百分比 3 9 4" xfId="1005"/>
    <cellStyle name="百分比 3 9 5" xfId="1348"/>
    <cellStyle name="百分比 3 9 6" xfId="1691"/>
    <cellStyle name="百分比 3 9 7" xfId="2033"/>
    <cellStyle name="百分比 3 9 8" xfId="2376"/>
    <cellStyle name="百分比 3 9 9" xfId="2719"/>
    <cellStyle name="百分比 4" xfId="9"/>
    <cellStyle name="百分比 4 10" xfId="134"/>
    <cellStyle name="百分比 4 10 10" xfId="2972"/>
    <cellStyle name="百分比 4 10 11" xfId="3315"/>
    <cellStyle name="百分比 4 10 2" xfId="399"/>
    <cellStyle name="百分比 4 10 3" xfId="572"/>
    <cellStyle name="百分比 4 10 4" xfId="915"/>
    <cellStyle name="百分比 4 10 5" xfId="1258"/>
    <cellStyle name="百分比 4 10 6" xfId="1601"/>
    <cellStyle name="百分比 4 10 7" xfId="1943"/>
    <cellStyle name="百分比 4 10 8" xfId="2286"/>
    <cellStyle name="百分比 4 10 9" xfId="2629"/>
    <cellStyle name="百分比 4 11" xfId="62"/>
    <cellStyle name="百分比 4 11 10" xfId="3274"/>
    <cellStyle name="百分比 4 11 11" xfId="3617"/>
    <cellStyle name="百分比 4 11 2" xfId="363"/>
    <cellStyle name="百分比 4 11 3" xfId="876"/>
    <cellStyle name="百分比 4 11 4" xfId="1219"/>
    <cellStyle name="百分比 4 11 5" xfId="1560"/>
    <cellStyle name="百分比 4 11 6" xfId="1903"/>
    <cellStyle name="百分比 4 11 7" xfId="2247"/>
    <cellStyle name="百分比 4 11 8" xfId="2590"/>
    <cellStyle name="百分比 4 11 9" xfId="2931"/>
    <cellStyle name="百分比 4 12" xfId="153"/>
    <cellStyle name="百分比 4 12 10" xfId="3565"/>
    <cellStyle name="百分比 4 12 2" xfId="823"/>
    <cellStyle name="百分比 4 12 3" xfId="1166"/>
    <cellStyle name="百分比 4 12 4" xfId="1508"/>
    <cellStyle name="百分比 4 12 5" xfId="1851"/>
    <cellStyle name="百分比 4 12 6" xfId="2194"/>
    <cellStyle name="百分比 4 12 7" xfId="2537"/>
    <cellStyle name="百分比 4 12 8" xfId="2879"/>
    <cellStyle name="百分比 4 12 9" xfId="3222"/>
    <cellStyle name="百分比 4 13" xfId="910"/>
    <cellStyle name="百分比 4 14" xfId="1253"/>
    <cellStyle name="百分比 4 15" xfId="1594"/>
    <cellStyle name="百分比 4 16" xfId="1937"/>
    <cellStyle name="百分比 4 17" xfId="2281"/>
    <cellStyle name="百分比 4 18" xfId="2624"/>
    <cellStyle name="百分比 4 19" xfId="2965"/>
    <cellStyle name="百分比 4 2" xfId="29"/>
    <cellStyle name="百分比 4 2 10" xfId="2951"/>
    <cellStyle name="百分比 4 2 11" xfId="3294"/>
    <cellStyle name="百分比 4 2 12" xfId="3637"/>
    <cellStyle name="百分比 4 2 2" xfId="61"/>
    <cellStyle name="百分比 4 2 2 10" xfId="2975"/>
    <cellStyle name="百分比 4 2 2 11" xfId="3318"/>
    <cellStyle name="百分比 4 2 2 2" xfId="277"/>
    <cellStyle name="百分比 4 2 2 2 10" xfId="3333"/>
    <cellStyle name="百分比 4 2 2 2 2" xfId="590"/>
    <cellStyle name="百分比 4 2 2 2 3" xfId="933"/>
    <cellStyle name="百分比 4 2 2 2 4" xfId="1276"/>
    <cellStyle name="百分比 4 2 2 2 5" xfId="1619"/>
    <cellStyle name="百分比 4 2 2 2 6" xfId="1961"/>
    <cellStyle name="百分比 4 2 2 2 7" xfId="2304"/>
    <cellStyle name="百分比 4 2 2 2 8" xfId="2647"/>
    <cellStyle name="百分比 4 2 2 2 9" xfId="2990"/>
    <cellStyle name="百分比 4 2 2 3" xfId="575"/>
    <cellStyle name="百分比 4 2 2 4" xfId="918"/>
    <cellStyle name="百分比 4 2 2 5" xfId="1261"/>
    <cellStyle name="百分比 4 2 2 6" xfId="1604"/>
    <cellStyle name="百分比 4 2 2 7" xfId="1946"/>
    <cellStyle name="百分比 4 2 2 8" xfId="2289"/>
    <cellStyle name="百分比 4 2 2 9" xfId="2632"/>
    <cellStyle name="百分比 4 2 3" xfId="168"/>
    <cellStyle name="百分比 4 2 3 10" xfId="3323"/>
    <cellStyle name="百分比 4 2 3 2" xfId="580"/>
    <cellStyle name="百分比 4 2 3 3" xfId="923"/>
    <cellStyle name="百分比 4 2 3 4" xfId="1266"/>
    <cellStyle name="百分比 4 2 3 5" xfId="1609"/>
    <cellStyle name="百分比 4 2 3 6" xfId="1951"/>
    <cellStyle name="百分比 4 2 3 7" xfId="2294"/>
    <cellStyle name="百分比 4 2 3 8" xfId="2637"/>
    <cellStyle name="百分比 4 2 3 9" xfId="2980"/>
    <cellStyle name="百分比 4 2 4" xfId="896"/>
    <cellStyle name="百分比 4 2 5" xfId="1239"/>
    <cellStyle name="百分比 4 2 6" xfId="1580"/>
    <cellStyle name="百分比 4 2 7" xfId="1923"/>
    <cellStyle name="百分比 4 2 8" xfId="2267"/>
    <cellStyle name="百分比 4 2 9" xfId="2610"/>
    <cellStyle name="百分比 4 20" xfId="3308"/>
    <cellStyle name="百分比 4 21" xfId="3651"/>
    <cellStyle name="百分比 4 3" xfId="47"/>
    <cellStyle name="百分比 4 3 10" xfId="3281"/>
    <cellStyle name="百分比 4 3 11" xfId="3624"/>
    <cellStyle name="百分比 4 3 2" xfId="265"/>
    <cellStyle name="百分比 4 3 2 10" xfId="3338"/>
    <cellStyle name="百分比 4 3 2 2" xfId="595"/>
    <cellStyle name="百分比 4 3 2 3" xfId="938"/>
    <cellStyle name="百分比 4 3 2 4" xfId="1281"/>
    <cellStyle name="百分比 4 3 2 5" xfId="1624"/>
    <cellStyle name="百分比 4 3 2 6" xfId="1966"/>
    <cellStyle name="百分比 4 3 2 7" xfId="2309"/>
    <cellStyle name="百分比 4 3 2 8" xfId="2652"/>
    <cellStyle name="百分比 4 3 2 9" xfId="2995"/>
    <cellStyle name="百分比 4 3 3" xfId="883"/>
    <cellStyle name="百分比 4 3 4" xfId="1226"/>
    <cellStyle name="百分比 4 3 5" xfId="1567"/>
    <cellStyle name="百分比 4 3 6" xfId="1910"/>
    <cellStyle name="百分比 4 3 7" xfId="2254"/>
    <cellStyle name="百分比 4 3 8" xfId="2597"/>
    <cellStyle name="百分比 4 3 9" xfId="2938"/>
    <cellStyle name="百分比 4 4" xfId="82"/>
    <cellStyle name="百分比 4 4 10" xfId="3253"/>
    <cellStyle name="百分比 4 4 11" xfId="3596"/>
    <cellStyle name="百分比 4 4 2" xfId="372"/>
    <cellStyle name="百分比 4 4 3" xfId="854"/>
    <cellStyle name="百分比 4 4 4" xfId="1197"/>
    <cellStyle name="百分比 4 4 5" xfId="1539"/>
    <cellStyle name="百分比 4 4 6" xfId="1882"/>
    <cellStyle name="百分比 4 4 7" xfId="2225"/>
    <cellStyle name="百分比 4 4 8" xfId="2568"/>
    <cellStyle name="百分比 4 4 9" xfId="2910"/>
    <cellStyle name="百分比 4 5" xfId="89"/>
    <cellStyle name="百分比 4 5 10" xfId="3252"/>
    <cellStyle name="百分比 4 5 11" xfId="3595"/>
    <cellStyle name="百分比 4 5 2" xfId="374"/>
    <cellStyle name="百分比 4 5 3" xfId="853"/>
    <cellStyle name="百分比 4 5 4" xfId="1196"/>
    <cellStyle name="百分比 4 5 5" xfId="1538"/>
    <cellStyle name="百分比 4 5 6" xfId="1881"/>
    <cellStyle name="百分比 4 5 7" xfId="2224"/>
    <cellStyle name="百分比 4 5 8" xfId="2567"/>
    <cellStyle name="百分比 4 5 9" xfId="2909"/>
    <cellStyle name="百分比 4 6" xfId="98"/>
    <cellStyle name="百分比 4 6 10" xfId="3047"/>
    <cellStyle name="百分比 4 6 11" xfId="3390"/>
    <cellStyle name="百分比 4 6 2" xfId="379"/>
    <cellStyle name="百分比 4 6 3" xfId="647"/>
    <cellStyle name="百分比 4 6 4" xfId="990"/>
    <cellStyle name="百分比 4 6 5" xfId="1333"/>
    <cellStyle name="百分比 4 6 6" xfId="1676"/>
    <cellStyle name="百分比 4 6 7" xfId="2018"/>
    <cellStyle name="百分比 4 6 8" xfId="2361"/>
    <cellStyle name="百分比 4 6 9" xfId="2704"/>
    <cellStyle name="百分比 4 7" xfId="107"/>
    <cellStyle name="百分比 4 7 10" xfId="3152"/>
    <cellStyle name="百分比 4 7 11" xfId="3495"/>
    <cellStyle name="百分比 4 7 2" xfId="384"/>
    <cellStyle name="百分比 4 7 3" xfId="752"/>
    <cellStyle name="百分比 4 7 4" xfId="1095"/>
    <cellStyle name="百分比 4 7 5" xfId="1438"/>
    <cellStyle name="百分比 4 7 6" xfId="1781"/>
    <cellStyle name="百分比 4 7 7" xfId="2123"/>
    <cellStyle name="百分比 4 7 8" xfId="2466"/>
    <cellStyle name="百分比 4 7 9" xfId="2809"/>
    <cellStyle name="百分比 4 8" xfId="116"/>
    <cellStyle name="百分比 4 8 10" xfId="3078"/>
    <cellStyle name="百分比 4 8 11" xfId="3421"/>
    <cellStyle name="百分比 4 8 2" xfId="389"/>
    <cellStyle name="百分比 4 8 3" xfId="678"/>
    <cellStyle name="百分比 4 8 4" xfId="1021"/>
    <cellStyle name="百分比 4 8 5" xfId="1364"/>
    <cellStyle name="百分比 4 8 6" xfId="1707"/>
    <cellStyle name="百分比 4 8 7" xfId="2049"/>
    <cellStyle name="百分比 4 8 8" xfId="2392"/>
    <cellStyle name="百分比 4 8 9" xfId="2735"/>
    <cellStyle name="百分比 4 9" xfId="125"/>
    <cellStyle name="百分比 4 9 10" xfId="3088"/>
    <cellStyle name="百分比 4 9 11" xfId="3431"/>
    <cellStyle name="百分比 4 9 2" xfId="394"/>
    <cellStyle name="百分比 4 9 3" xfId="688"/>
    <cellStyle name="百分比 4 9 4" xfId="1031"/>
    <cellStyle name="百分比 4 9 5" xfId="1374"/>
    <cellStyle name="百分比 4 9 6" xfId="1717"/>
    <cellStyle name="百分比 4 9 7" xfId="2059"/>
    <cellStyle name="百分比 4 9 8" xfId="2402"/>
    <cellStyle name="百分比 4 9 9" xfId="2745"/>
    <cellStyle name="常规" xfId="0" builtinId="0"/>
    <cellStyle name="常规 10" xfId="43"/>
    <cellStyle name="常规 10 10" xfId="3285"/>
    <cellStyle name="常规 10 11" xfId="3628"/>
    <cellStyle name="常规 10 2" xfId="237"/>
    <cellStyle name="常规 10 2 10" xfId="3376"/>
    <cellStyle name="常规 10 2 2" xfId="633"/>
    <cellStyle name="常规 10 2 3" xfId="976"/>
    <cellStyle name="常规 10 2 4" xfId="1319"/>
    <cellStyle name="常规 10 2 5" xfId="1662"/>
    <cellStyle name="常规 10 2 6" xfId="2004"/>
    <cellStyle name="常规 10 2 7" xfId="2347"/>
    <cellStyle name="常规 10 2 8" xfId="2690"/>
    <cellStyle name="常规 10 2 9" xfId="3033"/>
    <cellStyle name="常规 10 3" xfId="887"/>
    <cellStyle name="常规 10 4" xfId="1230"/>
    <cellStyle name="常规 10 5" xfId="1571"/>
    <cellStyle name="常规 10 6" xfId="1914"/>
    <cellStyle name="常规 10 7" xfId="2258"/>
    <cellStyle name="常规 10 8" xfId="2601"/>
    <cellStyle name="常规 10 9" xfId="2942"/>
    <cellStyle name="常规 11" xfId="44"/>
    <cellStyle name="常规 11 10" xfId="3284"/>
    <cellStyle name="常规 11 11" xfId="3627"/>
    <cellStyle name="常规 11 2" xfId="238"/>
    <cellStyle name="常规 11 2 10" xfId="3373"/>
    <cellStyle name="常规 11 2 2" xfId="630"/>
    <cellStyle name="常规 11 2 3" xfId="973"/>
    <cellStyle name="常规 11 2 4" xfId="1316"/>
    <cellStyle name="常规 11 2 5" xfId="1659"/>
    <cellStyle name="常规 11 2 6" xfId="2001"/>
    <cellStyle name="常规 11 2 7" xfId="2344"/>
    <cellStyle name="常规 11 2 8" xfId="2687"/>
    <cellStyle name="常规 11 2 9" xfId="3030"/>
    <cellStyle name="常规 11 3" xfId="886"/>
    <cellStyle name="常规 11 4" xfId="1229"/>
    <cellStyle name="常规 11 5" xfId="1570"/>
    <cellStyle name="常规 11 6" xfId="1913"/>
    <cellStyle name="常规 11 7" xfId="2257"/>
    <cellStyle name="常规 11 8" xfId="2600"/>
    <cellStyle name="常规 11 9" xfId="2941"/>
    <cellStyle name="常规 12" xfId="13"/>
    <cellStyle name="常规 13" xfId="528"/>
    <cellStyle name="常规 14" xfId="516"/>
    <cellStyle name="常规 15" xfId="569"/>
    <cellStyle name="常规 16" xfId="532"/>
    <cellStyle name="常规 17" xfId="514"/>
    <cellStyle name="常规 18" xfId="526"/>
    <cellStyle name="常规 19" xfId="537"/>
    <cellStyle name="常规 2" xfId="1"/>
    <cellStyle name="常规 2 10" xfId="45"/>
    <cellStyle name="常规 2 10 10" xfId="2940"/>
    <cellStyle name="常规 2 10 11" xfId="3283"/>
    <cellStyle name="常规 2 10 12" xfId="3626"/>
    <cellStyle name="常规 2 10 2" xfId="56"/>
    <cellStyle name="常规 2 10 2 10" xfId="3612"/>
    <cellStyle name="常规 2 10 2 2" xfId="871"/>
    <cellStyle name="常规 2 10 2 3" xfId="1214"/>
    <cellStyle name="常规 2 10 2 4" xfId="1555"/>
    <cellStyle name="常规 2 10 2 5" xfId="1898"/>
    <cellStyle name="常规 2 10 2 6" xfId="2242"/>
    <cellStyle name="常规 2 10 2 7" xfId="2585"/>
    <cellStyle name="常规 2 10 2 8" xfId="2926"/>
    <cellStyle name="常规 2 10 2 9" xfId="3269"/>
    <cellStyle name="常规 2 10 3" xfId="180"/>
    <cellStyle name="常规 2 10 3 10" xfId="3380"/>
    <cellStyle name="常规 2 10 3 2" xfId="637"/>
    <cellStyle name="常规 2 10 3 3" xfId="980"/>
    <cellStyle name="常规 2 10 3 4" xfId="1323"/>
    <cellStyle name="常规 2 10 3 5" xfId="1666"/>
    <cellStyle name="常规 2 10 3 6" xfId="2008"/>
    <cellStyle name="常规 2 10 3 7" xfId="2351"/>
    <cellStyle name="常规 2 10 3 8" xfId="2694"/>
    <cellStyle name="常规 2 10 3 9" xfId="3037"/>
    <cellStyle name="常规 2 10 4" xfId="885"/>
    <cellStyle name="常规 2 10 5" xfId="1228"/>
    <cellStyle name="常规 2 10 6" xfId="1569"/>
    <cellStyle name="常规 2 10 7" xfId="1912"/>
    <cellStyle name="常规 2 10 8" xfId="2256"/>
    <cellStyle name="常规 2 10 9" xfId="2599"/>
    <cellStyle name="常规 2 11" xfId="59"/>
    <cellStyle name="常规 2 11 10" xfId="3251"/>
    <cellStyle name="常规 2 11 11" xfId="3594"/>
    <cellStyle name="常规 2 11 2" xfId="184"/>
    <cellStyle name="常规 2 11 2 10" xfId="3374"/>
    <cellStyle name="常规 2 11 2 2" xfId="631"/>
    <cellStyle name="常规 2 11 2 3" xfId="974"/>
    <cellStyle name="常规 2 11 2 4" xfId="1317"/>
    <cellStyle name="常规 2 11 2 5" xfId="1660"/>
    <cellStyle name="常规 2 11 2 6" xfId="2002"/>
    <cellStyle name="常规 2 11 2 7" xfId="2345"/>
    <cellStyle name="常规 2 11 2 8" xfId="2688"/>
    <cellStyle name="常规 2 11 2 9" xfId="3031"/>
    <cellStyle name="常规 2 11 3" xfId="852"/>
    <cellStyle name="常规 2 11 4" xfId="1195"/>
    <cellStyle name="常规 2 11 5" xfId="1537"/>
    <cellStyle name="常规 2 11 6" xfId="1880"/>
    <cellStyle name="常规 2 11 7" xfId="2223"/>
    <cellStyle name="常规 2 11 8" xfId="2566"/>
    <cellStyle name="常规 2 11 9" xfId="2908"/>
    <cellStyle name="常规 2 12" xfId="87"/>
    <cellStyle name="常规 2 12 10" xfId="3256"/>
    <cellStyle name="常规 2 12 11" xfId="3599"/>
    <cellStyle name="常规 2 12 2" xfId="188"/>
    <cellStyle name="常规 2 12 2 10" xfId="3367"/>
    <cellStyle name="常规 2 12 2 2" xfId="624"/>
    <cellStyle name="常规 2 12 2 3" xfId="967"/>
    <cellStyle name="常规 2 12 2 4" xfId="1310"/>
    <cellStyle name="常规 2 12 2 5" xfId="1653"/>
    <cellStyle name="常规 2 12 2 6" xfId="1995"/>
    <cellStyle name="常规 2 12 2 7" xfId="2338"/>
    <cellStyle name="常规 2 12 2 8" xfId="2681"/>
    <cellStyle name="常规 2 12 2 9" xfId="3024"/>
    <cellStyle name="常规 2 12 3" xfId="857"/>
    <cellStyle name="常规 2 12 4" xfId="1200"/>
    <cellStyle name="常规 2 12 5" xfId="1542"/>
    <cellStyle name="常规 2 12 6" xfId="1885"/>
    <cellStyle name="常规 2 12 7" xfId="2228"/>
    <cellStyle name="常规 2 12 8" xfId="2571"/>
    <cellStyle name="常规 2 12 9" xfId="2913"/>
    <cellStyle name="常规 2 13" xfId="95"/>
    <cellStyle name="常规 2 13 10" xfId="3050"/>
    <cellStyle name="常规 2 13 11" xfId="3393"/>
    <cellStyle name="常规 2 13 2" xfId="192"/>
    <cellStyle name="常规 2 13 2 10" xfId="3359"/>
    <cellStyle name="常规 2 13 2 2" xfId="616"/>
    <cellStyle name="常规 2 13 2 3" xfId="959"/>
    <cellStyle name="常规 2 13 2 4" xfId="1302"/>
    <cellStyle name="常规 2 13 2 5" xfId="1645"/>
    <cellStyle name="常规 2 13 2 6" xfId="1987"/>
    <cellStyle name="常规 2 13 2 7" xfId="2330"/>
    <cellStyle name="常规 2 13 2 8" xfId="2673"/>
    <cellStyle name="常规 2 13 2 9" xfId="3016"/>
    <cellStyle name="常规 2 13 3" xfId="650"/>
    <cellStyle name="常规 2 13 4" xfId="993"/>
    <cellStyle name="常规 2 13 5" xfId="1336"/>
    <cellStyle name="常规 2 13 6" xfId="1679"/>
    <cellStyle name="常规 2 13 7" xfId="2021"/>
    <cellStyle name="常规 2 13 8" xfId="2364"/>
    <cellStyle name="常规 2 13 9" xfId="2707"/>
    <cellStyle name="常规 2 14" xfId="104"/>
    <cellStyle name="常规 2 14 10" xfId="3052"/>
    <cellStyle name="常规 2 14 11" xfId="3395"/>
    <cellStyle name="常规 2 14 2" xfId="196"/>
    <cellStyle name="常规 2 14 2 10" xfId="3351"/>
    <cellStyle name="常规 2 14 2 2" xfId="608"/>
    <cellStyle name="常规 2 14 2 3" xfId="951"/>
    <cellStyle name="常规 2 14 2 4" xfId="1294"/>
    <cellStyle name="常规 2 14 2 5" xfId="1637"/>
    <cellStyle name="常规 2 14 2 6" xfId="1979"/>
    <cellStyle name="常规 2 14 2 7" xfId="2322"/>
    <cellStyle name="常规 2 14 2 8" xfId="2665"/>
    <cellStyle name="常规 2 14 2 9" xfId="3008"/>
    <cellStyle name="常规 2 14 3" xfId="652"/>
    <cellStyle name="常规 2 14 4" xfId="995"/>
    <cellStyle name="常规 2 14 5" xfId="1338"/>
    <cellStyle name="常规 2 14 6" xfId="1681"/>
    <cellStyle name="常规 2 14 7" xfId="2023"/>
    <cellStyle name="常规 2 14 8" xfId="2366"/>
    <cellStyle name="常规 2 14 9" xfId="2709"/>
    <cellStyle name="常规 2 15" xfId="113"/>
    <cellStyle name="常规 2 15 10" xfId="3101"/>
    <cellStyle name="常规 2 15 11" xfId="3444"/>
    <cellStyle name="常规 2 15 2" xfId="200"/>
    <cellStyle name="常规 2 15 2 10" xfId="3437"/>
    <cellStyle name="常规 2 15 2 2" xfId="694"/>
    <cellStyle name="常规 2 15 2 3" xfId="1037"/>
    <cellStyle name="常规 2 15 2 4" xfId="1380"/>
    <cellStyle name="常规 2 15 2 5" xfId="1723"/>
    <cellStyle name="常规 2 15 2 6" xfId="2065"/>
    <cellStyle name="常规 2 15 2 7" xfId="2408"/>
    <cellStyle name="常规 2 15 2 8" xfId="2751"/>
    <cellStyle name="常规 2 15 2 9" xfId="3094"/>
    <cellStyle name="常规 2 15 3" xfId="701"/>
    <cellStyle name="常规 2 15 4" xfId="1044"/>
    <cellStyle name="常规 2 15 5" xfId="1387"/>
    <cellStyle name="常规 2 15 6" xfId="1730"/>
    <cellStyle name="常规 2 15 7" xfId="2072"/>
    <cellStyle name="常规 2 15 8" xfId="2415"/>
    <cellStyle name="常规 2 15 9" xfId="2758"/>
    <cellStyle name="常规 2 16" xfId="122"/>
    <cellStyle name="常规 2 16 10" xfId="3241"/>
    <cellStyle name="常规 2 16 11" xfId="3584"/>
    <cellStyle name="常规 2 16 2" xfId="204"/>
    <cellStyle name="常规 2 16 2 10" xfId="3417"/>
    <cellStyle name="常规 2 16 2 2" xfId="674"/>
    <cellStyle name="常规 2 16 2 3" xfId="1017"/>
    <cellStyle name="常规 2 16 2 4" xfId="1360"/>
    <cellStyle name="常规 2 16 2 5" xfId="1703"/>
    <cellStyle name="常规 2 16 2 6" xfId="2045"/>
    <cellStyle name="常规 2 16 2 7" xfId="2388"/>
    <cellStyle name="常规 2 16 2 8" xfId="2731"/>
    <cellStyle name="常规 2 16 2 9" xfId="3074"/>
    <cellStyle name="常规 2 16 3" xfId="842"/>
    <cellStyle name="常规 2 16 4" xfId="1185"/>
    <cellStyle name="常规 2 16 5" xfId="1527"/>
    <cellStyle name="常规 2 16 6" xfId="1870"/>
    <cellStyle name="常规 2 16 7" xfId="2213"/>
    <cellStyle name="常规 2 16 8" xfId="2556"/>
    <cellStyle name="常规 2 16 9" xfId="2898"/>
    <cellStyle name="常规 2 17" xfId="131"/>
    <cellStyle name="常规 2 17 10" xfId="3110"/>
    <cellStyle name="常规 2 17 11" xfId="3453"/>
    <cellStyle name="常规 2 17 2" xfId="208"/>
    <cellStyle name="常规 2 17 2 10" xfId="3435"/>
    <cellStyle name="常规 2 17 2 2" xfId="692"/>
    <cellStyle name="常规 2 17 2 3" xfId="1035"/>
    <cellStyle name="常规 2 17 2 4" xfId="1378"/>
    <cellStyle name="常规 2 17 2 5" xfId="1721"/>
    <cellStyle name="常规 2 17 2 6" xfId="2063"/>
    <cellStyle name="常规 2 17 2 7" xfId="2406"/>
    <cellStyle name="常规 2 17 2 8" xfId="2749"/>
    <cellStyle name="常规 2 17 2 9" xfId="3092"/>
    <cellStyle name="常规 2 17 3" xfId="710"/>
    <cellStyle name="常规 2 17 4" xfId="1053"/>
    <cellStyle name="常规 2 17 5" xfId="1396"/>
    <cellStyle name="常规 2 17 6" xfId="1739"/>
    <cellStyle name="常规 2 17 7" xfId="2081"/>
    <cellStyle name="常规 2 17 8" xfId="2424"/>
    <cellStyle name="常规 2 17 9" xfId="2767"/>
    <cellStyle name="常规 2 18" xfId="139"/>
    <cellStyle name="常规 2 18 10" xfId="3236"/>
    <cellStyle name="常规 2 18 11" xfId="3579"/>
    <cellStyle name="常规 2 18 2" xfId="212"/>
    <cellStyle name="常规 2 18 2 10" xfId="3400"/>
    <cellStyle name="常规 2 18 2 2" xfId="657"/>
    <cellStyle name="常规 2 18 2 3" xfId="1000"/>
    <cellStyle name="常规 2 18 2 4" xfId="1343"/>
    <cellStyle name="常规 2 18 2 5" xfId="1686"/>
    <cellStyle name="常规 2 18 2 6" xfId="2028"/>
    <cellStyle name="常规 2 18 2 7" xfId="2371"/>
    <cellStyle name="常规 2 18 2 8" xfId="2714"/>
    <cellStyle name="常规 2 18 2 9" xfId="3057"/>
    <cellStyle name="常规 2 18 3" xfId="837"/>
    <cellStyle name="常规 2 18 4" xfId="1180"/>
    <cellStyle name="常规 2 18 5" xfId="1522"/>
    <cellStyle name="常规 2 18 6" xfId="1865"/>
    <cellStyle name="常规 2 18 7" xfId="2208"/>
    <cellStyle name="常规 2 18 8" xfId="2551"/>
    <cellStyle name="常规 2 18 9" xfId="2893"/>
    <cellStyle name="常规 2 19" xfId="143"/>
    <cellStyle name="常规 2 19 10" xfId="495"/>
    <cellStyle name="常规 2 19 11" xfId="506"/>
    <cellStyle name="常规 2 19 12" xfId="831"/>
    <cellStyle name="常规 2 19 13" xfId="1174"/>
    <cellStyle name="常规 2 19 14" xfId="1516"/>
    <cellStyle name="常规 2 19 15" xfId="1859"/>
    <cellStyle name="常规 2 19 16" xfId="2202"/>
    <cellStyle name="常规 2 19 17" xfId="2545"/>
    <cellStyle name="常规 2 19 18" xfId="2887"/>
    <cellStyle name="常规 2 19 19" xfId="3230"/>
    <cellStyle name="常规 2 19 2" xfId="217"/>
    <cellStyle name="常规 2 19 2 10" xfId="3217"/>
    <cellStyle name="常规 2 19 2 11" xfId="3560"/>
    <cellStyle name="常规 2 19 2 2" xfId="405"/>
    <cellStyle name="常规 2 19 2 3" xfId="818"/>
    <cellStyle name="常规 2 19 2 4" xfId="1161"/>
    <cellStyle name="常规 2 19 2 5" xfId="1503"/>
    <cellStyle name="常规 2 19 2 6" xfId="1846"/>
    <cellStyle name="常规 2 19 2 7" xfId="2189"/>
    <cellStyle name="常规 2 19 2 8" xfId="2532"/>
    <cellStyle name="常规 2 19 2 9" xfId="2874"/>
    <cellStyle name="常规 2 19 20" xfId="3573"/>
    <cellStyle name="常规 2 19 3" xfId="418"/>
    <cellStyle name="常规 2 19 4" xfId="429"/>
    <cellStyle name="常规 2 19 5" xfId="449"/>
    <cellStyle name="常规 2 19 6" xfId="451"/>
    <cellStyle name="常规 2 19 7" xfId="479"/>
    <cellStyle name="常规 2 19 8" xfId="482"/>
    <cellStyle name="常规 2 19 9" xfId="484"/>
    <cellStyle name="常规 2 2" xfId="3"/>
    <cellStyle name="常规 2 2 10" xfId="130"/>
    <cellStyle name="常规 2 2 10 10" xfId="3461"/>
    <cellStyle name="常规 2 2 10 2" xfId="718"/>
    <cellStyle name="常规 2 2 10 3" xfId="1061"/>
    <cellStyle name="常规 2 2 10 4" xfId="1404"/>
    <cellStyle name="常规 2 2 10 5" xfId="1747"/>
    <cellStyle name="常规 2 2 10 6" xfId="2089"/>
    <cellStyle name="常规 2 2 10 7" xfId="2432"/>
    <cellStyle name="常规 2 2 10 8" xfId="2775"/>
    <cellStyle name="常规 2 2 10 9" xfId="3118"/>
    <cellStyle name="常规 2 2 11" xfId="138"/>
    <cellStyle name="常规 2 2 11 10" xfId="3581"/>
    <cellStyle name="常规 2 2 11 2" xfId="839"/>
    <cellStyle name="常规 2 2 11 3" xfId="1182"/>
    <cellStyle name="常规 2 2 11 4" xfId="1524"/>
    <cellStyle name="常规 2 2 11 5" xfId="1867"/>
    <cellStyle name="常规 2 2 11 6" xfId="2210"/>
    <cellStyle name="常规 2 2 11 7" xfId="2553"/>
    <cellStyle name="常规 2 2 11 8" xfId="2895"/>
    <cellStyle name="常规 2 2 11 9" xfId="3238"/>
    <cellStyle name="常规 2 2 12" xfId="75"/>
    <cellStyle name="常规 2 2 12 10" xfId="494"/>
    <cellStyle name="常规 2 2 12 11" xfId="505"/>
    <cellStyle name="常规 2 2 12 2" xfId="213"/>
    <cellStyle name="常规 2 2 12 2 10" xfId="3121"/>
    <cellStyle name="常规 2 2 12 2 11" xfId="3464"/>
    <cellStyle name="常规 2 2 12 2 2" xfId="369"/>
    <cellStyle name="常规 2 2 12 2 3" xfId="721"/>
    <cellStyle name="常规 2 2 12 2 4" xfId="1064"/>
    <cellStyle name="常规 2 2 12 2 5" xfId="1407"/>
    <cellStyle name="常规 2 2 12 2 6" xfId="1750"/>
    <cellStyle name="常规 2 2 12 2 7" xfId="2092"/>
    <cellStyle name="常规 2 2 12 2 8" xfId="2435"/>
    <cellStyle name="常规 2 2 12 2 9" xfId="2778"/>
    <cellStyle name="常规 2 2 12 3" xfId="417"/>
    <cellStyle name="常规 2 2 12 4" xfId="428"/>
    <cellStyle name="常规 2 2 12 5" xfId="443"/>
    <cellStyle name="常规 2 2 12 6" xfId="450"/>
    <cellStyle name="常规 2 2 12 7" xfId="469"/>
    <cellStyle name="常规 2 2 12 8" xfId="481"/>
    <cellStyle name="常规 2 2 12 9" xfId="483"/>
    <cellStyle name="常规 2 2 13" xfId="150"/>
    <cellStyle name="常规 2 2 13 10" xfId="3134"/>
    <cellStyle name="常规 2 2 13 11" xfId="3477"/>
    <cellStyle name="常规 2 2 13 2" xfId="218"/>
    <cellStyle name="常规 2 2 13 2 10" xfId="3334"/>
    <cellStyle name="常规 2 2 13 2 2" xfId="591"/>
    <cellStyle name="常规 2 2 13 2 3" xfId="934"/>
    <cellStyle name="常规 2 2 13 2 4" xfId="1277"/>
    <cellStyle name="常规 2 2 13 2 5" xfId="1620"/>
    <cellStyle name="常规 2 2 13 2 6" xfId="1962"/>
    <cellStyle name="常规 2 2 13 2 7" xfId="2305"/>
    <cellStyle name="常规 2 2 13 2 8" xfId="2648"/>
    <cellStyle name="常规 2 2 13 2 9" xfId="2991"/>
    <cellStyle name="常规 2 2 13 3" xfId="734"/>
    <cellStyle name="常规 2 2 13 4" xfId="1077"/>
    <cellStyle name="常规 2 2 13 5" xfId="1420"/>
    <cellStyle name="常规 2 2 13 6" xfId="1763"/>
    <cellStyle name="常规 2 2 13 7" xfId="2105"/>
    <cellStyle name="常规 2 2 13 8" xfId="2448"/>
    <cellStyle name="常规 2 2 13 9" xfId="2791"/>
    <cellStyle name="常规 2 2 14" xfId="220"/>
    <cellStyle name="常规 2 2 14 10" xfId="3330"/>
    <cellStyle name="常规 2 2 14 2" xfId="587"/>
    <cellStyle name="常规 2 2 14 3" xfId="930"/>
    <cellStyle name="常规 2 2 14 4" xfId="1273"/>
    <cellStyle name="常规 2 2 14 5" xfId="1616"/>
    <cellStyle name="常规 2 2 14 6" xfId="1958"/>
    <cellStyle name="常规 2 2 14 7" xfId="2301"/>
    <cellStyle name="常规 2 2 14 8" xfId="2644"/>
    <cellStyle name="常规 2 2 14 9" xfId="2987"/>
    <cellStyle name="常规 2 2 15" xfId="228"/>
    <cellStyle name="常规 2 2 15 10" xfId="3324"/>
    <cellStyle name="常规 2 2 15 2" xfId="581"/>
    <cellStyle name="常规 2 2 15 3" xfId="924"/>
    <cellStyle name="常规 2 2 15 4" xfId="1267"/>
    <cellStyle name="常规 2 2 15 5" xfId="1610"/>
    <cellStyle name="常规 2 2 15 6" xfId="1952"/>
    <cellStyle name="常规 2 2 15 7" xfId="2295"/>
    <cellStyle name="常规 2 2 15 8" xfId="2638"/>
    <cellStyle name="常规 2 2 15 9" xfId="2981"/>
    <cellStyle name="常规 2 2 16" xfId="233"/>
    <cellStyle name="常规 2 2 16 10" xfId="3384"/>
    <cellStyle name="常规 2 2 16 2" xfId="641"/>
    <cellStyle name="常规 2 2 16 3" xfId="984"/>
    <cellStyle name="常规 2 2 16 4" xfId="1327"/>
    <cellStyle name="常规 2 2 16 5" xfId="1670"/>
    <cellStyle name="常规 2 2 16 6" xfId="2012"/>
    <cellStyle name="常规 2 2 16 7" xfId="2355"/>
    <cellStyle name="常规 2 2 16 8" xfId="2698"/>
    <cellStyle name="常规 2 2 16 9" xfId="3041"/>
    <cellStyle name="常规 2 2 17" xfId="240"/>
    <cellStyle name="常规 2 2 17 10" xfId="3372"/>
    <cellStyle name="常规 2 2 17 2" xfId="629"/>
    <cellStyle name="常规 2 2 17 3" xfId="972"/>
    <cellStyle name="常规 2 2 17 4" xfId="1315"/>
    <cellStyle name="常规 2 2 17 5" xfId="1658"/>
    <cellStyle name="常规 2 2 17 6" xfId="2000"/>
    <cellStyle name="常规 2 2 17 7" xfId="2343"/>
    <cellStyle name="常规 2 2 17 8" xfId="2686"/>
    <cellStyle name="常规 2 2 17 9" xfId="3029"/>
    <cellStyle name="常规 2 2 18" xfId="245"/>
    <cellStyle name="常规 2 2 18 10" xfId="3361"/>
    <cellStyle name="常规 2 2 18 2" xfId="618"/>
    <cellStyle name="常规 2 2 18 3" xfId="961"/>
    <cellStyle name="常规 2 2 18 4" xfId="1304"/>
    <cellStyle name="常规 2 2 18 5" xfId="1647"/>
    <cellStyle name="常规 2 2 18 6" xfId="1989"/>
    <cellStyle name="常规 2 2 18 7" xfId="2332"/>
    <cellStyle name="常规 2 2 18 8" xfId="2675"/>
    <cellStyle name="常规 2 2 18 9" xfId="3018"/>
    <cellStyle name="常规 2 2 19" xfId="250"/>
    <cellStyle name="常规 2 2 19 10" xfId="3352"/>
    <cellStyle name="常规 2 2 19 2" xfId="609"/>
    <cellStyle name="常规 2 2 19 3" xfId="952"/>
    <cellStyle name="常规 2 2 19 4" xfId="1295"/>
    <cellStyle name="常规 2 2 19 5" xfId="1638"/>
    <cellStyle name="常规 2 2 19 6" xfId="1980"/>
    <cellStyle name="常规 2 2 19 7" xfId="2323"/>
    <cellStyle name="常规 2 2 19 8" xfId="2666"/>
    <cellStyle name="常规 2 2 19 9" xfId="3009"/>
    <cellStyle name="常规 2 2 2" xfId="4"/>
    <cellStyle name="常规 2 2 2 10" xfId="210"/>
    <cellStyle name="常规 2 2 2 10 10" xfId="3418"/>
    <cellStyle name="常规 2 2 2 10 2" xfId="675"/>
    <cellStyle name="常规 2 2 2 10 3" xfId="1018"/>
    <cellStyle name="常规 2 2 2 10 4" xfId="1361"/>
    <cellStyle name="常规 2 2 2 10 5" xfId="1704"/>
    <cellStyle name="常规 2 2 2 10 6" xfId="2046"/>
    <cellStyle name="常规 2 2 2 10 7" xfId="2389"/>
    <cellStyle name="常规 2 2 2 10 8" xfId="2732"/>
    <cellStyle name="常规 2 2 2 10 9" xfId="3075"/>
    <cellStyle name="常规 2 2 2 11" xfId="215"/>
    <cellStyle name="常规 2 2 2 11 10" xfId="3463"/>
    <cellStyle name="常规 2 2 2 11 2" xfId="720"/>
    <cellStyle name="常规 2 2 2 11 3" xfId="1063"/>
    <cellStyle name="常规 2 2 2 11 4" xfId="1406"/>
    <cellStyle name="常规 2 2 2 11 5" xfId="1749"/>
    <cellStyle name="常规 2 2 2 11 6" xfId="2091"/>
    <cellStyle name="常规 2 2 2 11 7" xfId="2434"/>
    <cellStyle name="常规 2 2 2 11 8" xfId="2777"/>
    <cellStyle name="常规 2 2 2 11 9" xfId="3120"/>
    <cellStyle name="常规 2 2 2 12" xfId="222"/>
    <cellStyle name="常规 2 2 2 12 10" xfId="3326"/>
    <cellStyle name="常规 2 2 2 12 2" xfId="583"/>
    <cellStyle name="常规 2 2 2 12 3" xfId="926"/>
    <cellStyle name="常规 2 2 2 12 4" xfId="1269"/>
    <cellStyle name="常规 2 2 2 12 5" xfId="1612"/>
    <cellStyle name="常规 2 2 2 12 6" xfId="1954"/>
    <cellStyle name="常规 2 2 2 12 7" xfId="2297"/>
    <cellStyle name="常规 2 2 2 12 8" xfId="2640"/>
    <cellStyle name="常规 2 2 2 12 9" xfId="2983"/>
    <cellStyle name="常规 2 2 2 13" xfId="221"/>
    <cellStyle name="常规 2 2 2 13 10" xfId="3328"/>
    <cellStyle name="常规 2 2 2 13 2" xfId="585"/>
    <cellStyle name="常规 2 2 2 13 3" xfId="928"/>
    <cellStyle name="常规 2 2 2 13 4" xfId="1271"/>
    <cellStyle name="常规 2 2 2 13 5" xfId="1614"/>
    <cellStyle name="常规 2 2 2 13 6" xfId="1956"/>
    <cellStyle name="常规 2 2 2 13 7" xfId="2299"/>
    <cellStyle name="常规 2 2 2 13 8" xfId="2642"/>
    <cellStyle name="常规 2 2 2 13 9" xfId="2985"/>
    <cellStyle name="常规 2 2 2 14" xfId="230"/>
    <cellStyle name="常规 2 2 2 14 10" xfId="3413"/>
    <cellStyle name="常规 2 2 2 14 2" xfId="670"/>
    <cellStyle name="常规 2 2 2 14 3" xfId="1013"/>
    <cellStyle name="常规 2 2 2 14 4" xfId="1356"/>
    <cellStyle name="常规 2 2 2 14 5" xfId="1699"/>
    <cellStyle name="常规 2 2 2 14 6" xfId="2041"/>
    <cellStyle name="常规 2 2 2 14 7" xfId="2384"/>
    <cellStyle name="常规 2 2 2 14 8" xfId="2727"/>
    <cellStyle name="常规 2 2 2 14 9" xfId="3070"/>
    <cellStyle name="常规 2 2 2 15" xfId="235"/>
    <cellStyle name="常规 2 2 2 15 10" xfId="3381"/>
    <cellStyle name="常规 2 2 2 15 2" xfId="638"/>
    <cellStyle name="常规 2 2 2 15 3" xfId="981"/>
    <cellStyle name="常规 2 2 2 15 4" xfId="1324"/>
    <cellStyle name="常规 2 2 2 15 5" xfId="1667"/>
    <cellStyle name="常规 2 2 2 15 6" xfId="2009"/>
    <cellStyle name="常规 2 2 2 15 7" xfId="2352"/>
    <cellStyle name="常规 2 2 2 15 8" xfId="2695"/>
    <cellStyle name="常规 2 2 2 15 9" xfId="3038"/>
    <cellStyle name="常规 2 2 2 16" xfId="242"/>
    <cellStyle name="常规 2 2 2 16 10" xfId="3368"/>
    <cellStyle name="常规 2 2 2 16 2" xfId="625"/>
    <cellStyle name="常规 2 2 2 16 3" xfId="968"/>
    <cellStyle name="常规 2 2 2 16 4" xfId="1311"/>
    <cellStyle name="常规 2 2 2 16 5" xfId="1654"/>
    <cellStyle name="常规 2 2 2 16 6" xfId="1996"/>
    <cellStyle name="常规 2 2 2 16 7" xfId="2339"/>
    <cellStyle name="常规 2 2 2 16 8" xfId="2682"/>
    <cellStyle name="常规 2 2 2 16 9" xfId="3025"/>
    <cellStyle name="常规 2 2 2 17" xfId="247"/>
    <cellStyle name="常规 2 2 2 17 10" xfId="3358"/>
    <cellStyle name="常规 2 2 2 17 2" xfId="615"/>
    <cellStyle name="常规 2 2 2 17 3" xfId="958"/>
    <cellStyle name="常规 2 2 2 17 4" xfId="1301"/>
    <cellStyle name="常规 2 2 2 17 5" xfId="1644"/>
    <cellStyle name="常规 2 2 2 17 6" xfId="1986"/>
    <cellStyle name="常规 2 2 2 17 7" xfId="2329"/>
    <cellStyle name="常规 2 2 2 17 8" xfId="2672"/>
    <cellStyle name="常规 2 2 2 17 9" xfId="3015"/>
    <cellStyle name="常规 2 2 2 18" xfId="252"/>
    <cellStyle name="常规 2 2 2 18 10" xfId="3348"/>
    <cellStyle name="常规 2 2 2 18 2" xfId="605"/>
    <cellStyle name="常规 2 2 2 18 3" xfId="948"/>
    <cellStyle name="常规 2 2 2 18 4" xfId="1291"/>
    <cellStyle name="常规 2 2 2 18 5" xfId="1634"/>
    <cellStyle name="常规 2 2 2 18 6" xfId="1976"/>
    <cellStyle name="常规 2 2 2 18 7" xfId="2319"/>
    <cellStyle name="常规 2 2 2 18 8" xfId="2662"/>
    <cellStyle name="常规 2 2 2 18 9" xfId="3005"/>
    <cellStyle name="常规 2 2 2 19" xfId="257"/>
    <cellStyle name="常规 2 2 2 19 10" xfId="3339"/>
    <cellStyle name="常规 2 2 2 19 2" xfId="596"/>
    <cellStyle name="常规 2 2 2 19 3" xfId="939"/>
    <cellStyle name="常规 2 2 2 19 4" xfId="1282"/>
    <cellStyle name="常规 2 2 2 19 5" xfId="1625"/>
    <cellStyle name="常规 2 2 2 19 6" xfId="1967"/>
    <cellStyle name="常规 2 2 2 19 7" xfId="2310"/>
    <cellStyle name="常规 2 2 2 19 8" xfId="2653"/>
    <cellStyle name="常规 2 2 2 19 9" xfId="2996"/>
    <cellStyle name="常规 2 2 2 2" xfId="26"/>
    <cellStyle name="常规 2 2 2 2 10" xfId="211"/>
    <cellStyle name="常规 2 2 2 2 10 10" xfId="3408"/>
    <cellStyle name="常规 2 2 2 2 10 2" xfId="665"/>
    <cellStyle name="常规 2 2 2 2 10 3" xfId="1008"/>
    <cellStyle name="常规 2 2 2 2 10 4" xfId="1351"/>
    <cellStyle name="常规 2 2 2 2 10 5" xfId="1694"/>
    <cellStyle name="常规 2 2 2 2 10 6" xfId="2036"/>
    <cellStyle name="常规 2 2 2 2 10 7" xfId="2379"/>
    <cellStyle name="常规 2 2 2 2 10 8" xfId="2722"/>
    <cellStyle name="常规 2 2 2 2 10 9" xfId="3065"/>
    <cellStyle name="常规 2 2 2 2 11" xfId="216"/>
    <cellStyle name="常规 2 2 2 2 11 10" xfId="3455"/>
    <cellStyle name="常规 2 2 2 2 11 2" xfId="712"/>
    <cellStyle name="常规 2 2 2 2 11 3" xfId="1055"/>
    <cellStyle name="常规 2 2 2 2 11 4" xfId="1398"/>
    <cellStyle name="常规 2 2 2 2 11 5" xfId="1741"/>
    <cellStyle name="常规 2 2 2 2 11 6" xfId="2083"/>
    <cellStyle name="常规 2 2 2 2 11 7" xfId="2426"/>
    <cellStyle name="常规 2 2 2 2 11 8" xfId="2769"/>
    <cellStyle name="常规 2 2 2 2 11 9" xfId="3112"/>
    <cellStyle name="常规 2 2 2 2 12" xfId="223"/>
    <cellStyle name="常规 2 2 2 2 12 10" xfId="3460"/>
    <cellStyle name="常规 2 2 2 2 12 2" xfId="717"/>
    <cellStyle name="常规 2 2 2 2 12 3" xfId="1060"/>
    <cellStyle name="常规 2 2 2 2 12 4" xfId="1403"/>
    <cellStyle name="常规 2 2 2 2 12 5" xfId="1746"/>
    <cellStyle name="常规 2 2 2 2 12 6" xfId="2088"/>
    <cellStyle name="常规 2 2 2 2 12 7" xfId="2431"/>
    <cellStyle name="常规 2 2 2 2 12 8" xfId="2774"/>
    <cellStyle name="常规 2 2 2 2 12 9" xfId="3117"/>
    <cellStyle name="常规 2 2 2 2 13" xfId="224"/>
    <cellStyle name="常规 2 2 2 2 13 10" xfId="3452"/>
    <cellStyle name="常规 2 2 2 2 13 2" xfId="709"/>
    <cellStyle name="常规 2 2 2 2 13 3" xfId="1052"/>
    <cellStyle name="常规 2 2 2 2 13 4" xfId="1395"/>
    <cellStyle name="常规 2 2 2 2 13 5" xfId="1738"/>
    <cellStyle name="常规 2 2 2 2 13 6" xfId="2080"/>
    <cellStyle name="常规 2 2 2 2 13 7" xfId="2423"/>
    <cellStyle name="常规 2 2 2 2 13 8" xfId="2766"/>
    <cellStyle name="常规 2 2 2 2 13 9" xfId="3109"/>
    <cellStyle name="常规 2 2 2 2 14" xfId="231"/>
    <cellStyle name="常规 2 2 2 2 14 10" xfId="3404"/>
    <cellStyle name="常规 2 2 2 2 14 2" xfId="661"/>
    <cellStyle name="常规 2 2 2 2 14 3" xfId="1004"/>
    <cellStyle name="常规 2 2 2 2 14 4" xfId="1347"/>
    <cellStyle name="常规 2 2 2 2 14 5" xfId="1690"/>
    <cellStyle name="常规 2 2 2 2 14 6" xfId="2032"/>
    <cellStyle name="常规 2 2 2 2 14 7" xfId="2375"/>
    <cellStyle name="常规 2 2 2 2 14 8" xfId="2718"/>
    <cellStyle name="常规 2 2 2 2 14 9" xfId="3061"/>
    <cellStyle name="常规 2 2 2 2 15" xfId="236"/>
    <cellStyle name="常规 2 2 2 2 15 10" xfId="3378"/>
    <cellStyle name="常规 2 2 2 2 15 2" xfId="635"/>
    <cellStyle name="常规 2 2 2 2 15 3" xfId="978"/>
    <cellStyle name="常规 2 2 2 2 15 4" xfId="1321"/>
    <cellStyle name="常规 2 2 2 2 15 5" xfId="1664"/>
    <cellStyle name="常规 2 2 2 2 15 6" xfId="2006"/>
    <cellStyle name="常规 2 2 2 2 15 7" xfId="2349"/>
    <cellStyle name="常规 2 2 2 2 15 8" xfId="2692"/>
    <cellStyle name="常规 2 2 2 2 15 9" xfId="3035"/>
    <cellStyle name="常规 2 2 2 2 16" xfId="243"/>
    <cellStyle name="常规 2 2 2 2 16 10" xfId="3366"/>
    <cellStyle name="常规 2 2 2 2 16 2" xfId="623"/>
    <cellStyle name="常规 2 2 2 2 16 3" xfId="966"/>
    <cellStyle name="常规 2 2 2 2 16 4" xfId="1309"/>
    <cellStyle name="常规 2 2 2 2 16 5" xfId="1652"/>
    <cellStyle name="常规 2 2 2 2 16 6" xfId="1994"/>
    <cellStyle name="常规 2 2 2 2 16 7" xfId="2337"/>
    <cellStyle name="常规 2 2 2 2 16 8" xfId="2680"/>
    <cellStyle name="常规 2 2 2 2 16 9" xfId="3023"/>
    <cellStyle name="常规 2 2 2 2 17" xfId="248"/>
    <cellStyle name="常规 2 2 2 2 17 10" xfId="3356"/>
    <cellStyle name="常规 2 2 2 2 17 2" xfId="613"/>
    <cellStyle name="常规 2 2 2 2 17 3" xfId="956"/>
    <cellStyle name="常规 2 2 2 2 17 4" xfId="1299"/>
    <cellStyle name="常规 2 2 2 2 17 5" xfId="1642"/>
    <cellStyle name="常规 2 2 2 2 17 6" xfId="1984"/>
    <cellStyle name="常规 2 2 2 2 17 7" xfId="2327"/>
    <cellStyle name="常规 2 2 2 2 17 8" xfId="2670"/>
    <cellStyle name="常规 2 2 2 2 17 9" xfId="3013"/>
    <cellStyle name="常规 2 2 2 2 18" xfId="253"/>
    <cellStyle name="常规 2 2 2 2 18 10" xfId="3346"/>
    <cellStyle name="常规 2 2 2 2 18 2" xfId="603"/>
    <cellStyle name="常规 2 2 2 2 18 3" xfId="946"/>
    <cellStyle name="常规 2 2 2 2 18 4" xfId="1289"/>
    <cellStyle name="常规 2 2 2 2 18 5" xfId="1632"/>
    <cellStyle name="常规 2 2 2 2 18 6" xfId="1974"/>
    <cellStyle name="常规 2 2 2 2 18 7" xfId="2317"/>
    <cellStyle name="常规 2 2 2 2 18 8" xfId="2660"/>
    <cellStyle name="常规 2 2 2 2 18 9" xfId="3003"/>
    <cellStyle name="常规 2 2 2 2 19" xfId="258"/>
    <cellStyle name="常规 2 2 2 2 19 10" xfId="3337"/>
    <cellStyle name="常规 2 2 2 2 19 2" xfId="594"/>
    <cellStyle name="常规 2 2 2 2 19 3" xfId="937"/>
    <cellStyle name="常规 2 2 2 2 19 4" xfId="1280"/>
    <cellStyle name="常规 2 2 2 2 19 5" xfId="1623"/>
    <cellStyle name="常规 2 2 2 2 19 6" xfId="1965"/>
    <cellStyle name="常规 2 2 2 2 19 7" xfId="2308"/>
    <cellStyle name="常规 2 2 2 2 19 8" xfId="2651"/>
    <cellStyle name="常规 2 2 2 2 19 9" xfId="2994"/>
    <cellStyle name="常规 2 2 2 2 2" xfId="27"/>
    <cellStyle name="常规 2 2 2 2 2 10" xfId="515"/>
    <cellStyle name="常规 2 2 2 2 2 11" xfId="586"/>
    <cellStyle name="常规 2 2 2 2 2 12" xfId="929"/>
    <cellStyle name="常规 2 2 2 2 2 13" xfId="1272"/>
    <cellStyle name="常规 2 2 2 2 2 14" xfId="1615"/>
    <cellStyle name="常规 2 2 2 2 2 15" xfId="1957"/>
    <cellStyle name="常规 2 2 2 2 2 16" xfId="2300"/>
    <cellStyle name="常规 2 2 2 2 2 17" xfId="2643"/>
    <cellStyle name="常规 2 2 2 2 2 18" xfId="2986"/>
    <cellStyle name="常规 2 2 2 2 2 19" xfId="3329"/>
    <cellStyle name="常规 2 2 2 2 2 2" xfId="165"/>
    <cellStyle name="常规 2 2 2 2 2 2 10" xfId="552"/>
    <cellStyle name="常规 2 2 2 2 2 2 11" xfId="584"/>
    <cellStyle name="常规 2 2 2 2 2 2 12" xfId="927"/>
    <cellStyle name="常规 2 2 2 2 2 2 13" xfId="1270"/>
    <cellStyle name="常规 2 2 2 2 2 2 14" xfId="1613"/>
    <cellStyle name="常规 2 2 2 2 2 2 15" xfId="1955"/>
    <cellStyle name="常规 2 2 2 2 2 2 16" xfId="2298"/>
    <cellStyle name="常规 2 2 2 2 2 2 17" xfId="2641"/>
    <cellStyle name="常规 2 2 2 2 2 2 18" xfId="2984"/>
    <cellStyle name="常规 2 2 2 2 2 2 19" xfId="3327"/>
    <cellStyle name="常规 2 2 2 2 2 2 2" xfId="166"/>
    <cellStyle name="常规 2 2 2 2 2 2 3" xfId="530"/>
    <cellStyle name="常规 2 2 2 2 2 2 4" xfId="534"/>
    <cellStyle name="常规 2 2 2 2 2 2 5" xfId="513"/>
    <cellStyle name="常规 2 2 2 2 2 2 6" xfId="531"/>
    <cellStyle name="常规 2 2 2 2 2 2 7" xfId="517"/>
    <cellStyle name="常规 2 2 2 2 2 2 8" xfId="525"/>
    <cellStyle name="常规 2 2 2 2 2 2 9" xfId="539"/>
    <cellStyle name="常规 2 2 2 2 2 3" xfId="529"/>
    <cellStyle name="常规 2 2 2 2 2 4" xfId="522"/>
    <cellStyle name="常规 2 2 2 2 2 5" xfId="551"/>
    <cellStyle name="常规 2 2 2 2 2 6" xfId="535"/>
    <cellStyle name="常规 2 2 2 2 2 7" xfId="524"/>
    <cellStyle name="常规 2 2 2 2 2 8" xfId="540"/>
    <cellStyle name="常规 2 2 2 2 2 9" xfId="549"/>
    <cellStyle name="常规 2 2 2 2 20" xfId="263"/>
    <cellStyle name="常规 2 2 2 2 20 10" xfId="3343"/>
    <cellStyle name="常规 2 2 2 2 20 2" xfId="600"/>
    <cellStyle name="常规 2 2 2 2 20 3" xfId="943"/>
    <cellStyle name="常规 2 2 2 2 20 4" xfId="1286"/>
    <cellStyle name="常规 2 2 2 2 20 5" xfId="1629"/>
    <cellStyle name="常规 2 2 2 2 20 6" xfId="1971"/>
    <cellStyle name="常规 2 2 2 2 20 7" xfId="2314"/>
    <cellStyle name="常规 2 2 2 2 20 8" xfId="2657"/>
    <cellStyle name="常规 2 2 2 2 20 9" xfId="3000"/>
    <cellStyle name="常规 2 2 2 2 21" xfId="286"/>
    <cellStyle name="常规 2 2 2 2 21 10" xfId="3458"/>
    <cellStyle name="常规 2 2 2 2 21 2" xfId="715"/>
    <cellStyle name="常规 2 2 2 2 21 3" xfId="1058"/>
    <cellStyle name="常规 2 2 2 2 21 4" xfId="1401"/>
    <cellStyle name="常规 2 2 2 2 21 5" xfId="1744"/>
    <cellStyle name="常规 2 2 2 2 21 6" xfId="2086"/>
    <cellStyle name="常规 2 2 2 2 21 7" xfId="2429"/>
    <cellStyle name="常规 2 2 2 2 21 8" xfId="2772"/>
    <cellStyle name="常规 2 2 2 2 21 9" xfId="3115"/>
    <cellStyle name="常规 2 2 2 2 22" xfId="291"/>
    <cellStyle name="常规 2 2 2 2 22 10" xfId="3553"/>
    <cellStyle name="常规 2 2 2 2 22 2" xfId="811"/>
    <cellStyle name="常规 2 2 2 2 22 3" xfId="1154"/>
    <cellStyle name="常规 2 2 2 2 22 4" xfId="1496"/>
    <cellStyle name="常规 2 2 2 2 22 5" xfId="1839"/>
    <cellStyle name="常规 2 2 2 2 22 6" xfId="2182"/>
    <cellStyle name="常规 2 2 2 2 22 7" xfId="2525"/>
    <cellStyle name="常规 2 2 2 2 22 8" xfId="2867"/>
    <cellStyle name="常规 2 2 2 2 22 9" xfId="3210"/>
    <cellStyle name="常规 2 2 2 2 23" xfId="298"/>
    <cellStyle name="常规 2 2 2 2 23 10" xfId="3527"/>
    <cellStyle name="常规 2 2 2 2 23 2" xfId="785"/>
    <cellStyle name="常规 2 2 2 2 23 3" xfId="1128"/>
    <cellStyle name="常规 2 2 2 2 23 4" xfId="1470"/>
    <cellStyle name="常规 2 2 2 2 23 5" xfId="1813"/>
    <cellStyle name="常规 2 2 2 2 23 6" xfId="2156"/>
    <cellStyle name="常规 2 2 2 2 23 7" xfId="2499"/>
    <cellStyle name="常规 2 2 2 2 23 8" xfId="2841"/>
    <cellStyle name="常规 2 2 2 2 23 9" xfId="3184"/>
    <cellStyle name="常规 2 2 2 2 24" xfId="299"/>
    <cellStyle name="常规 2 2 2 2 24 10" xfId="3537"/>
    <cellStyle name="常规 2 2 2 2 24 2" xfId="795"/>
    <cellStyle name="常规 2 2 2 2 24 3" xfId="1138"/>
    <cellStyle name="常规 2 2 2 2 24 4" xfId="1480"/>
    <cellStyle name="常规 2 2 2 2 24 5" xfId="1823"/>
    <cellStyle name="常规 2 2 2 2 24 6" xfId="2166"/>
    <cellStyle name="常规 2 2 2 2 24 7" xfId="2509"/>
    <cellStyle name="常规 2 2 2 2 24 8" xfId="2851"/>
    <cellStyle name="常规 2 2 2 2 24 9" xfId="3194"/>
    <cellStyle name="常规 2 2 2 2 25" xfId="306"/>
    <cellStyle name="常规 2 2 2 2 25 10" xfId="3534"/>
    <cellStyle name="常规 2 2 2 2 25 2" xfId="792"/>
    <cellStyle name="常规 2 2 2 2 25 3" xfId="1135"/>
    <cellStyle name="常规 2 2 2 2 25 4" xfId="1477"/>
    <cellStyle name="常规 2 2 2 2 25 5" xfId="1820"/>
    <cellStyle name="常规 2 2 2 2 25 6" xfId="2163"/>
    <cellStyle name="常规 2 2 2 2 25 7" xfId="2506"/>
    <cellStyle name="常规 2 2 2 2 25 8" xfId="2848"/>
    <cellStyle name="常规 2 2 2 2 25 9" xfId="3191"/>
    <cellStyle name="常规 2 2 2 2 26" xfId="311"/>
    <cellStyle name="常规 2 2 2 2 26 10" xfId="3472"/>
    <cellStyle name="常规 2 2 2 2 26 2" xfId="729"/>
    <cellStyle name="常规 2 2 2 2 26 3" xfId="1072"/>
    <cellStyle name="常规 2 2 2 2 26 4" xfId="1415"/>
    <cellStyle name="常规 2 2 2 2 26 5" xfId="1758"/>
    <cellStyle name="常规 2 2 2 2 26 6" xfId="2100"/>
    <cellStyle name="常规 2 2 2 2 26 7" xfId="2443"/>
    <cellStyle name="常规 2 2 2 2 26 8" xfId="2786"/>
    <cellStyle name="常规 2 2 2 2 26 9" xfId="3129"/>
    <cellStyle name="常规 2 2 2 2 27" xfId="316"/>
    <cellStyle name="常规 2 2 2 2 27 10" xfId="3522"/>
    <cellStyle name="常规 2 2 2 2 27 2" xfId="780"/>
    <cellStyle name="常规 2 2 2 2 27 3" xfId="1123"/>
    <cellStyle name="常规 2 2 2 2 27 4" xfId="1465"/>
    <cellStyle name="常规 2 2 2 2 27 5" xfId="1808"/>
    <cellStyle name="常规 2 2 2 2 27 6" xfId="2151"/>
    <cellStyle name="常规 2 2 2 2 27 7" xfId="2494"/>
    <cellStyle name="常规 2 2 2 2 27 8" xfId="2836"/>
    <cellStyle name="常规 2 2 2 2 27 9" xfId="3179"/>
    <cellStyle name="常规 2 2 2 2 28" xfId="321"/>
    <cellStyle name="常规 2 2 2 2 28 10" xfId="3514"/>
    <cellStyle name="常规 2 2 2 2 28 2" xfId="771"/>
    <cellStyle name="常规 2 2 2 2 28 3" xfId="1114"/>
    <cellStyle name="常规 2 2 2 2 28 4" xfId="1457"/>
    <cellStyle name="常规 2 2 2 2 28 5" xfId="1800"/>
    <cellStyle name="常规 2 2 2 2 28 6" xfId="2142"/>
    <cellStyle name="常规 2 2 2 2 28 7" xfId="2485"/>
    <cellStyle name="常规 2 2 2 2 28 8" xfId="2828"/>
    <cellStyle name="常规 2 2 2 2 28 9" xfId="3171"/>
    <cellStyle name="常规 2 2 2 2 29" xfId="326"/>
    <cellStyle name="常规 2 2 2 2 29 10" xfId="3474"/>
    <cellStyle name="常规 2 2 2 2 29 2" xfId="731"/>
    <cellStyle name="常规 2 2 2 2 29 3" xfId="1074"/>
    <cellStyle name="常规 2 2 2 2 29 4" xfId="1417"/>
    <cellStyle name="常规 2 2 2 2 29 5" xfId="1760"/>
    <cellStyle name="常规 2 2 2 2 29 6" xfId="2102"/>
    <cellStyle name="常规 2 2 2 2 29 7" xfId="2445"/>
    <cellStyle name="常规 2 2 2 2 29 8" xfId="2788"/>
    <cellStyle name="常规 2 2 2 2 29 9" xfId="3131"/>
    <cellStyle name="常规 2 2 2 2 3" xfId="183"/>
    <cellStyle name="常规 2 2 2 2 3 10" xfId="3375"/>
    <cellStyle name="常规 2 2 2 2 3 2" xfId="632"/>
    <cellStyle name="常规 2 2 2 2 3 3" xfId="975"/>
    <cellStyle name="常规 2 2 2 2 3 4" xfId="1318"/>
    <cellStyle name="常规 2 2 2 2 3 5" xfId="1661"/>
    <cellStyle name="常规 2 2 2 2 3 6" xfId="2003"/>
    <cellStyle name="常规 2 2 2 2 3 7" xfId="2346"/>
    <cellStyle name="常规 2 2 2 2 3 8" xfId="2689"/>
    <cellStyle name="常规 2 2 2 2 3 9" xfId="3032"/>
    <cellStyle name="常规 2 2 2 2 30" xfId="329"/>
    <cellStyle name="常规 2 2 2 2 30 10" xfId="3498"/>
    <cellStyle name="常规 2 2 2 2 30 2" xfId="755"/>
    <cellStyle name="常规 2 2 2 2 30 3" xfId="1098"/>
    <cellStyle name="常规 2 2 2 2 30 4" xfId="1441"/>
    <cellStyle name="常规 2 2 2 2 30 5" xfId="1784"/>
    <cellStyle name="常规 2 2 2 2 30 6" xfId="2126"/>
    <cellStyle name="常规 2 2 2 2 30 7" xfId="2469"/>
    <cellStyle name="常规 2 2 2 2 30 8" xfId="2812"/>
    <cellStyle name="常规 2 2 2 2 30 9" xfId="3155"/>
    <cellStyle name="常规 2 2 2 2 31" xfId="337"/>
    <cellStyle name="常规 2 2 2 2 31 10" xfId="3493"/>
    <cellStyle name="常规 2 2 2 2 31 2" xfId="750"/>
    <cellStyle name="常规 2 2 2 2 31 3" xfId="1093"/>
    <cellStyle name="常规 2 2 2 2 31 4" xfId="1436"/>
    <cellStyle name="常规 2 2 2 2 31 5" xfId="1779"/>
    <cellStyle name="常规 2 2 2 2 31 6" xfId="2121"/>
    <cellStyle name="常规 2 2 2 2 31 7" xfId="2464"/>
    <cellStyle name="常规 2 2 2 2 31 8" xfId="2807"/>
    <cellStyle name="常规 2 2 2 2 31 9" xfId="3150"/>
    <cellStyle name="常规 2 2 2 2 32" xfId="342"/>
    <cellStyle name="常规 2 2 2 2 32 10" xfId="3486"/>
    <cellStyle name="常规 2 2 2 2 32 2" xfId="743"/>
    <cellStyle name="常规 2 2 2 2 32 3" xfId="1086"/>
    <cellStyle name="常规 2 2 2 2 32 4" xfId="1429"/>
    <cellStyle name="常规 2 2 2 2 32 5" xfId="1772"/>
    <cellStyle name="常规 2 2 2 2 32 6" xfId="2114"/>
    <cellStyle name="常规 2 2 2 2 32 7" xfId="2457"/>
    <cellStyle name="常规 2 2 2 2 32 8" xfId="2800"/>
    <cellStyle name="常规 2 2 2 2 32 9" xfId="3143"/>
    <cellStyle name="常规 2 2 2 2 33" xfId="349"/>
    <cellStyle name="常规 2 2 2 2 34" xfId="350"/>
    <cellStyle name="常规 2 2 2 2 35" xfId="357"/>
    <cellStyle name="常规 2 2 2 2 36" xfId="412"/>
    <cellStyle name="常规 2 2 2 2 37" xfId="423"/>
    <cellStyle name="常规 2 2 2 2 38" xfId="435"/>
    <cellStyle name="常规 2 2 2 2 39" xfId="446"/>
    <cellStyle name="常规 2 2 2 2 4" xfId="187"/>
    <cellStyle name="常规 2 2 2 2 4 10" xfId="3369"/>
    <cellStyle name="常规 2 2 2 2 4 2" xfId="626"/>
    <cellStyle name="常规 2 2 2 2 4 3" xfId="969"/>
    <cellStyle name="常规 2 2 2 2 4 4" xfId="1312"/>
    <cellStyle name="常规 2 2 2 2 4 5" xfId="1655"/>
    <cellStyle name="常规 2 2 2 2 4 6" xfId="1997"/>
    <cellStyle name="常规 2 2 2 2 4 7" xfId="2340"/>
    <cellStyle name="常规 2 2 2 2 4 8" xfId="2683"/>
    <cellStyle name="常规 2 2 2 2 4 9" xfId="3026"/>
    <cellStyle name="常规 2 2 2 2 40" xfId="458"/>
    <cellStyle name="常规 2 2 2 2 41" xfId="473"/>
    <cellStyle name="常规 2 2 2 2 42" xfId="477"/>
    <cellStyle name="常规 2 2 2 2 43" xfId="489"/>
    <cellStyle name="常规 2 2 2 2 44" xfId="500"/>
    <cellStyle name="常规 2 2 2 2 45" xfId="512"/>
    <cellStyle name="常规 2 2 2 2 46" xfId="521"/>
    <cellStyle name="常规 2 2 2 2 47" xfId="566"/>
    <cellStyle name="常规 2 2 2 2 48" xfId="554"/>
    <cellStyle name="常规 2 2 2 2 49" xfId="545"/>
    <cellStyle name="常规 2 2 2 2 5" xfId="191"/>
    <cellStyle name="常规 2 2 2 2 5 10" xfId="3362"/>
    <cellStyle name="常规 2 2 2 2 5 2" xfId="619"/>
    <cellStyle name="常规 2 2 2 2 5 3" xfId="962"/>
    <cellStyle name="常规 2 2 2 2 5 4" xfId="1305"/>
    <cellStyle name="常规 2 2 2 2 5 5" xfId="1648"/>
    <cellStyle name="常规 2 2 2 2 5 6" xfId="1990"/>
    <cellStyle name="常规 2 2 2 2 5 7" xfId="2333"/>
    <cellStyle name="常规 2 2 2 2 5 8" xfId="2676"/>
    <cellStyle name="常规 2 2 2 2 5 9" xfId="3019"/>
    <cellStyle name="常规 2 2 2 2 50" xfId="533"/>
    <cellStyle name="常规 2 2 2 2 51" xfId="567"/>
    <cellStyle name="常规 2 2 2 2 52" xfId="553"/>
    <cellStyle name="常规 2 2 2 2 53" xfId="898"/>
    <cellStyle name="常规 2 2 2 2 54" xfId="1241"/>
    <cellStyle name="常规 2 2 2 2 55" xfId="1582"/>
    <cellStyle name="常规 2 2 2 2 56" xfId="1925"/>
    <cellStyle name="常规 2 2 2 2 57" xfId="2269"/>
    <cellStyle name="常规 2 2 2 2 58" xfId="2612"/>
    <cellStyle name="常规 2 2 2 2 59" xfId="2953"/>
    <cellStyle name="常规 2 2 2 2 6" xfId="195"/>
    <cellStyle name="常规 2 2 2 2 6 10" xfId="3353"/>
    <cellStyle name="常规 2 2 2 2 6 2" xfId="610"/>
    <cellStyle name="常规 2 2 2 2 6 3" xfId="953"/>
    <cellStyle name="常规 2 2 2 2 6 4" xfId="1296"/>
    <cellStyle name="常规 2 2 2 2 6 5" xfId="1639"/>
    <cellStyle name="常规 2 2 2 2 6 6" xfId="1981"/>
    <cellStyle name="常规 2 2 2 2 6 7" xfId="2324"/>
    <cellStyle name="常规 2 2 2 2 6 8" xfId="2667"/>
    <cellStyle name="常规 2 2 2 2 6 9" xfId="3010"/>
    <cellStyle name="常规 2 2 2 2 60" xfId="3296"/>
    <cellStyle name="常规 2 2 2 2 61" xfId="3639"/>
    <cellStyle name="常规 2 2 2 2 7" xfId="199"/>
    <cellStyle name="常规 2 2 2 2 7 10" xfId="3562"/>
    <cellStyle name="常规 2 2 2 2 7 2" xfId="820"/>
    <cellStyle name="常规 2 2 2 2 7 3" xfId="1163"/>
    <cellStyle name="常规 2 2 2 2 7 4" xfId="1505"/>
    <cellStyle name="常规 2 2 2 2 7 5" xfId="1848"/>
    <cellStyle name="常规 2 2 2 2 7 6" xfId="2191"/>
    <cellStyle name="常规 2 2 2 2 7 7" xfId="2534"/>
    <cellStyle name="常规 2 2 2 2 7 8" xfId="2876"/>
    <cellStyle name="常规 2 2 2 2 7 9" xfId="3219"/>
    <cellStyle name="常规 2 2 2 2 8" xfId="203"/>
    <cellStyle name="常规 2 2 2 2 8 10" xfId="3414"/>
    <cellStyle name="常规 2 2 2 2 8 2" xfId="671"/>
    <cellStyle name="常规 2 2 2 2 8 3" xfId="1014"/>
    <cellStyle name="常规 2 2 2 2 8 4" xfId="1357"/>
    <cellStyle name="常规 2 2 2 2 8 5" xfId="1700"/>
    <cellStyle name="常规 2 2 2 2 8 6" xfId="2042"/>
    <cellStyle name="常规 2 2 2 2 8 7" xfId="2385"/>
    <cellStyle name="常规 2 2 2 2 8 8" xfId="2728"/>
    <cellStyle name="常规 2 2 2 2 8 9" xfId="3071"/>
    <cellStyle name="常规 2 2 2 2 9" xfId="207"/>
    <cellStyle name="常规 2 2 2 2 9 10" xfId="3442"/>
    <cellStyle name="常规 2 2 2 2 9 2" xfId="699"/>
    <cellStyle name="常规 2 2 2 2 9 3" xfId="1042"/>
    <cellStyle name="常规 2 2 2 2 9 4" xfId="1385"/>
    <cellStyle name="常规 2 2 2 2 9 5" xfId="1728"/>
    <cellStyle name="常规 2 2 2 2 9 6" xfId="2070"/>
    <cellStyle name="常规 2 2 2 2 9 7" xfId="2413"/>
    <cellStyle name="常规 2 2 2 2 9 8" xfId="2756"/>
    <cellStyle name="常规 2 2 2 2 9 9" xfId="3099"/>
    <cellStyle name="常规 2 2 2 20" xfId="262"/>
    <cellStyle name="常规 2 2 2 20 10" xfId="3345"/>
    <cellStyle name="常规 2 2 2 20 2" xfId="602"/>
    <cellStyle name="常规 2 2 2 20 3" xfId="945"/>
    <cellStyle name="常规 2 2 2 20 4" xfId="1288"/>
    <cellStyle name="常规 2 2 2 20 5" xfId="1631"/>
    <cellStyle name="常规 2 2 2 20 6" xfId="1973"/>
    <cellStyle name="常规 2 2 2 20 7" xfId="2316"/>
    <cellStyle name="常规 2 2 2 20 8" xfId="2659"/>
    <cellStyle name="常规 2 2 2 20 9" xfId="3002"/>
    <cellStyle name="常规 2 2 2 21" xfId="285"/>
    <cellStyle name="常规 2 2 2 21 10" xfId="3466"/>
    <cellStyle name="常规 2 2 2 21 2" xfId="723"/>
    <cellStyle name="常规 2 2 2 21 3" xfId="1066"/>
    <cellStyle name="常规 2 2 2 21 4" xfId="1409"/>
    <cellStyle name="常规 2 2 2 21 5" xfId="1752"/>
    <cellStyle name="常规 2 2 2 21 6" xfId="2094"/>
    <cellStyle name="常规 2 2 2 21 7" xfId="2437"/>
    <cellStyle name="常规 2 2 2 21 8" xfId="2780"/>
    <cellStyle name="常规 2 2 2 21 9" xfId="3123"/>
    <cellStyle name="常规 2 2 2 22" xfId="290"/>
    <cellStyle name="常规 2 2 2 22 10" xfId="3555"/>
    <cellStyle name="常规 2 2 2 22 2" xfId="813"/>
    <cellStyle name="常规 2 2 2 22 3" xfId="1156"/>
    <cellStyle name="常规 2 2 2 22 4" xfId="1498"/>
    <cellStyle name="常规 2 2 2 22 5" xfId="1841"/>
    <cellStyle name="常规 2 2 2 22 6" xfId="2184"/>
    <cellStyle name="常规 2 2 2 22 7" xfId="2527"/>
    <cellStyle name="常规 2 2 2 22 8" xfId="2869"/>
    <cellStyle name="常规 2 2 2 22 9" xfId="3212"/>
    <cellStyle name="常规 2 2 2 23" xfId="297"/>
    <cellStyle name="常规 2 2 2 23 10" xfId="3540"/>
    <cellStyle name="常规 2 2 2 23 2" xfId="798"/>
    <cellStyle name="常规 2 2 2 23 3" xfId="1141"/>
    <cellStyle name="常规 2 2 2 23 4" xfId="1483"/>
    <cellStyle name="常规 2 2 2 23 5" xfId="1826"/>
    <cellStyle name="常规 2 2 2 23 6" xfId="2169"/>
    <cellStyle name="常规 2 2 2 23 7" xfId="2512"/>
    <cellStyle name="常规 2 2 2 23 8" xfId="2854"/>
    <cellStyle name="常规 2 2 2 23 9" xfId="3197"/>
    <cellStyle name="常规 2 2 2 24" xfId="295"/>
    <cellStyle name="常规 2 2 2 24 10" xfId="3548"/>
    <cellStyle name="常规 2 2 2 24 2" xfId="806"/>
    <cellStyle name="常规 2 2 2 24 3" xfId="1149"/>
    <cellStyle name="常规 2 2 2 24 4" xfId="1491"/>
    <cellStyle name="常规 2 2 2 24 5" xfId="1834"/>
    <cellStyle name="常规 2 2 2 24 6" xfId="2177"/>
    <cellStyle name="常规 2 2 2 24 7" xfId="2520"/>
    <cellStyle name="常规 2 2 2 24 8" xfId="2862"/>
    <cellStyle name="常规 2 2 2 24 9" xfId="3205"/>
    <cellStyle name="常规 2 2 2 25" xfId="305"/>
    <cellStyle name="常规 2 2 2 25 10" xfId="3536"/>
    <cellStyle name="常规 2 2 2 25 2" xfId="794"/>
    <cellStyle name="常规 2 2 2 25 3" xfId="1137"/>
    <cellStyle name="常规 2 2 2 25 4" xfId="1479"/>
    <cellStyle name="常规 2 2 2 25 5" xfId="1822"/>
    <cellStyle name="常规 2 2 2 25 6" xfId="2165"/>
    <cellStyle name="常规 2 2 2 25 7" xfId="2508"/>
    <cellStyle name="常规 2 2 2 25 8" xfId="2850"/>
    <cellStyle name="常规 2 2 2 25 9" xfId="3193"/>
    <cellStyle name="常规 2 2 2 26" xfId="310"/>
    <cellStyle name="常规 2 2 2 26 10" xfId="3530"/>
    <cellStyle name="常规 2 2 2 26 2" xfId="788"/>
    <cellStyle name="常规 2 2 2 26 3" xfId="1131"/>
    <cellStyle name="常规 2 2 2 26 4" xfId="1473"/>
    <cellStyle name="常规 2 2 2 26 5" xfId="1816"/>
    <cellStyle name="常规 2 2 2 26 6" xfId="2159"/>
    <cellStyle name="常规 2 2 2 26 7" xfId="2502"/>
    <cellStyle name="常规 2 2 2 26 8" xfId="2844"/>
    <cellStyle name="常规 2 2 2 26 9" xfId="3187"/>
    <cellStyle name="常规 2 2 2 27" xfId="315"/>
    <cellStyle name="常规 2 2 2 27 10" xfId="3524"/>
    <cellStyle name="常规 2 2 2 27 2" xfId="782"/>
    <cellStyle name="常规 2 2 2 27 3" xfId="1125"/>
    <cellStyle name="常规 2 2 2 27 4" xfId="1467"/>
    <cellStyle name="常规 2 2 2 27 5" xfId="1810"/>
    <cellStyle name="常规 2 2 2 27 6" xfId="2153"/>
    <cellStyle name="常规 2 2 2 27 7" xfId="2496"/>
    <cellStyle name="常规 2 2 2 27 8" xfId="2838"/>
    <cellStyle name="常规 2 2 2 27 9" xfId="3181"/>
    <cellStyle name="常规 2 2 2 28" xfId="320"/>
    <cellStyle name="常规 2 2 2 28 10" xfId="3517"/>
    <cellStyle name="常规 2 2 2 28 2" xfId="774"/>
    <cellStyle name="常规 2 2 2 28 3" xfId="1117"/>
    <cellStyle name="常规 2 2 2 28 4" xfId="1460"/>
    <cellStyle name="常规 2 2 2 28 5" xfId="1803"/>
    <cellStyle name="常规 2 2 2 28 6" xfId="2145"/>
    <cellStyle name="常规 2 2 2 28 7" xfId="2488"/>
    <cellStyle name="常规 2 2 2 28 8" xfId="2831"/>
    <cellStyle name="常规 2 2 2 28 9" xfId="3174"/>
    <cellStyle name="常规 2 2 2 29" xfId="325"/>
    <cellStyle name="常规 2 2 2 29 10" xfId="3509"/>
    <cellStyle name="常规 2 2 2 29 2" xfId="766"/>
    <cellStyle name="常规 2 2 2 29 3" xfId="1109"/>
    <cellStyle name="常规 2 2 2 29 4" xfId="1452"/>
    <cellStyle name="常规 2 2 2 29 5" xfId="1795"/>
    <cellStyle name="常规 2 2 2 29 6" xfId="2137"/>
    <cellStyle name="常规 2 2 2 29 7" xfId="2480"/>
    <cellStyle name="常规 2 2 2 29 8" xfId="2823"/>
    <cellStyle name="常规 2 2 2 29 9" xfId="3166"/>
    <cellStyle name="常规 2 2 2 3" xfId="57"/>
    <cellStyle name="常规 2 2 2 3 10" xfId="492"/>
    <cellStyle name="常规 2 2 2 3 11" xfId="503"/>
    <cellStyle name="常规 2 2 2 3 2" xfId="66"/>
    <cellStyle name="常规 2 2 2 3 2 10" xfId="493"/>
    <cellStyle name="常规 2 2 2 3 2 11" xfId="504"/>
    <cellStyle name="常规 2 2 2 3 2 12" xfId="868"/>
    <cellStyle name="常规 2 2 2 3 2 13" xfId="1211"/>
    <cellStyle name="常规 2 2 2 3 2 14" xfId="1553"/>
    <cellStyle name="常规 2 2 2 3 2 15" xfId="1896"/>
    <cellStyle name="常规 2 2 2 3 2 16" xfId="2239"/>
    <cellStyle name="常规 2 2 2 3 2 17" xfId="2582"/>
    <cellStyle name="常规 2 2 2 3 2 18" xfId="2924"/>
    <cellStyle name="常规 2 2 2 3 2 19" xfId="3267"/>
    <cellStyle name="常规 2 2 2 3 2 2" xfId="361"/>
    <cellStyle name="常规 2 2 2 3 2 2 2" xfId="365"/>
    <cellStyle name="常规 2 2 2 3 2 20" xfId="3610"/>
    <cellStyle name="常规 2 2 2 3 2 3" xfId="416"/>
    <cellStyle name="常规 2 2 2 3 2 4" xfId="427"/>
    <cellStyle name="常规 2 2 2 3 2 5" xfId="442"/>
    <cellStyle name="常规 2 2 2 3 2 6" xfId="448"/>
    <cellStyle name="常规 2 2 2 3 2 7" xfId="468"/>
    <cellStyle name="常规 2 2 2 3 2 8" xfId="476"/>
    <cellStyle name="常规 2 2 2 3 2 9" xfId="475"/>
    <cellStyle name="常规 2 2 2 3 3" xfId="182"/>
    <cellStyle name="常规 2 2 2 3 3 10" xfId="3034"/>
    <cellStyle name="常规 2 2 2 3 3 11" xfId="3377"/>
    <cellStyle name="常规 2 2 2 3 3 2" xfId="415"/>
    <cellStyle name="常规 2 2 2 3 3 3" xfId="634"/>
    <cellStyle name="常规 2 2 2 3 3 4" xfId="977"/>
    <cellStyle name="常规 2 2 2 3 3 5" xfId="1320"/>
    <cellStyle name="常规 2 2 2 3 3 6" xfId="1663"/>
    <cellStyle name="常规 2 2 2 3 3 7" xfId="2005"/>
    <cellStyle name="常规 2 2 2 3 3 8" xfId="2348"/>
    <cellStyle name="常规 2 2 2 3 3 9" xfId="2691"/>
    <cellStyle name="常规 2 2 2 3 4" xfId="426"/>
    <cellStyle name="常规 2 2 2 3 5" xfId="441"/>
    <cellStyle name="常规 2 2 2 3 6" xfId="436"/>
    <cellStyle name="常规 2 2 2 3 7" xfId="467"/>
    <cellStyle name="常规 2 2 2 3 8" xfId="459"/>
    <cellStyle name="常规 2 2 2 3 9" xfId="470"/>
    <cellStyle name="常规 2 2 2 30" xfId="327"/>
    <cellStyle name="常规 2 2 2 30 10" xfId="3508"/>
    <cellStyle name="常规 2 2 2 30 2" xfId="765"/>
    <cellStyle name="常规 2 2 2 30 3" xfId="1108"/>
    <cellStyle name="常规 2 2 2 30 4" xfId="1451"/>
    <cellStyle name="常规 2 2 2 30 5" xfId="1794"/>
    <cellStyle name="常规 2 2 2 30 6" xfId="2136"/>
    <cellStyle name="常规 2 2 2 30 7" xfId="2479"/>
    <cellStyle name="常规 2 2 2 30 8" xfId="2822"/>
    <cellStyle name="常规 2 2 2 30 9" xfId="3165"/>
    <cellStyle name="常规 2 2 2 31" xfId="336"/>
    <cellStyle name="常规 2 2 2 31 10" xfId="3499"/>
    <cellStyle name="常规 2 2 2 31 2" xfId="756"/>
    <cellStyle name="常规 2 2 2 31 3" xfId="1099"/>
    <cellStyle name="常规 2 2 2 31 4" xfId="1442"/>
    <cellStyle name="常规 2 2 2 31 5" xfId="1785"/>
    <cellStyle name="常规 2 2 2 31 6" xfId="2127"/>
    <cellStyle name="常规 2 2 2 31 7" xfId="2470"/>
    <cellStyle name="常规 2 2 2 31 8" xfId="2813"/>
    <cellStyle name="常规 2 2 2 31 9" xfId="3156"/>
    <cellStyle name="常规 2 2 2 32" xfId="341"/>
    <cellStyle name="常规 2 2 2 32 10" xfId="3489"/>
    <cellStyle name="常规 2 2 2 32 2" xfId="746"/>
    <cellStyle name="常规 2 2 2 32 3" xfId="1089"/>
    <cellStyle name="常规 2 2 2 32 4" xfId="1432"/>
    <cellStyle name="常规 2 2 2 32 5" xfId="1775"/>
    <cellStyle name="常规 2 2 2 32 6" xfId="2117"/>
    <cellStyle name="常规 2 2 2 32 7" xfId="2460"/>
    <cellStyle name="常规 2 2 2 32 8" xfId="2803"/>
    <cellStyle name="常规 2 2 2 32 9" xfId="3146"/>
    <cellStyle name="常规 2 2 2 33" xfId="348"/>
    <cellStyle name="常规 2 2 2 34" xfId="347"/>
    <cellStyle name="常规 2 2 2 35" xfId="356"/>
    <cellStyle name="常规 2 2 2 36" xfId="411"/>
    <cellStyle name="常规 2 2 2 37" xfId="422"/>
    <cellStyle name="常规 2 2 2 38" xfId="434"/>
    <cellStyle name="常规 2 2 2 39" xfId="447"/>
    <cellStyle name="常规 2 2 2 4" xfId="151"/>
    <cellStyle name="常规 2 2 2 4 10" xfId="3226"/>
    <cellStyle name="常规 2 2 2 4 11" xfId="3569"/>
    <cellStyle name="常规 2 2 2 4 2" xfId="186"/>
    <cellStyle name="常规 2 2 2 4 2 10" xfId="3319"/>
    <cellStyle name="常规 2 2 2 4 2 2" xfId="576"/>
    <cellStyle name="常规 2 2 2 4 2 3" xfId="919"/>
    <cellStyle name="常规 2 2 2 4 2 4" xfId="1262"/>
    <cellStyle name="常规 2 2 2 4 2 5" xfId="1605"/>
    <cellStyle name="常规 2 2 2 4 2 6" xfId="1947"/>
    <cellStyle name="常规 2 2 2 4 2 7" xfId="2290"/>
    <cellStyle name="常规 2 2 2 4 2 8" xfId="2633"/>
    <cellStyle name="常规 2 2 2 4 2 9" xfId="2976"/>
    <cellStyle name="常规 2 2 2 4 3" xfId="827"/>
    <cellStyle name="常规 2 2 2 4 4" xfId="1170"/>
    <cellStyle name="常规 2 2 2 4 5" xfId="1512"/>
    <cellStyle name="常规 2 2 2 4 6" xfId="1855"/>
    <cellStyle name="常规 2 2 2 4 7" xfId="2198"/>
    <cellStyle name="常规 2 2 2 4 8" xfId="2541"/>
    <cellStyle name="常规 2 2 2 4 9" xfId="2883"/>
    <cellStyle name="常规 2 2 2 40" xfId="457"/>
    <cellStyle name="常规 2 2 2 41" xfId="474"/>
    <cellStyle name="常规 2 2 2 42" xfId="466"/>
    <cellStyle name="常规 2 2 2 43" xfId="488"/>
    <cellStyle name="常规 2 2 2 44" xfId="499"/>
    <cellStyle name="常规 2 2 2 45" xfId="511"/>
    <cellStyle name="常规 2 2 2 46" xfId="555"/>
    <cellStyle name="常规 2 2 2 47" xfId="542"/>
    <cellStyle name="常规 2 2 2 48" xfId="538"/>
    <cellStyle name="常规 2 2 2 49" xfId="559"/>
    <cellStyle name="常规 2 2 2 5" xfId="190"/>
    <cellStyle name="常规 2 2 2 5 10" xfId="3363"/>
    <cellStyle name="常规 2 2 2 5 2" xfId="620"/>
    <cellStyle name="常规 2 2 2 5 3" xfId="963"/>
    <cellStyle name="常规 2 2 2 5 4" xfId="1306"/>
    <cellStyle name="常规 2 2 2 5 5" xfId="1649"/>
    <cellStyle name="常规 2 2 2 5 6" xfId="1991"/>
    <cellStyle name="常规 2 2 2 5 7" xfId="2334"/>
    <cellStyle name="常规 2 2 2 5 8" xfId="2677"/>
    <cellStyle name="常规 2 2 2 5 9" xfId="3020"/>
    <cellStyle name="常规 2 2 2 50" xfId="564"/>
    <cellStyle name="常规 2 2 2 51" xfId="520"/>
    <cellStyle name="常规 2 2 2 52" xfId="568"/>
    <cellStyle name="常规 2 2 2 53" xfId="899"/>
    <cellStyle name="常规 2 2 2 54" xfId="1242"/>
    <cellStyle name="常规 2 2 2 55" xfId="1583"/>
    <cellStyle name="常规 2 2 2 56" xfId="1926"/>
    <cellStyle name="常规 2 2 2 57" xfId="2270"/>
    <cellStyle name="常规 2 2 2 58" xfId="2613"/>
    <cellStyle name="常规 2 2 2 59" xfId="2954"/>
    <cellStyle name="常规 2 2 2 6" xfId="194"/>
    <cellStyle name="常规 2 2 2 6 10" xfId="3355"/>
    <cellStyle name="常规 2 2 2 6 2" xfId="612"/>
    <cellStyle name="常规 2 2 2 6 3" xfId="955"/>
    <cellStyle name="常规 2 2 2 6 4" xfId="1298"/>
    <cellStyle name="常规 2 2 2 6 5" xfId="1641"/>
    <cellStyle name="常规 2 2 2 6 6" xfId="1983"/>
    <cellStyle name="常规 2 2 2 6 7" xfId="2326"/>
    <cellStyle name="常规 2 2 2 6 8" xfId="2669"/>
    <cellStyle name="常规 2 2 2 6 9" xfId="3012"/>
    <cellStyle name="常规 2 2 2 60" xfId="3297"/>
    <cellStyle name="常规 2 2 2 61" xfId="3640"/>
    <cellStyle name="常规 2 2 2 7" xfId="198"/>
    <cellStyle name="常规 2 2 2 7 10" xfId="3563"/>
    <cellStyle name="常规 2 2 2 7 2" xfId="821"/>
    <cellStyle name="常规 2 2 2 7 3" xfId="1164"/>
    <cellStyle name="常规 2 2 2 7 4" xfId="1506"/>
    <cellStyle name="常规 2 2 2 7 5" xfId="1849"/>
    <cellStyle name="常规 2 2 2 7 6" xfId="2192"/>
    <cellStyle name="常规 2 2 2 7 7" xfId="2535"/>
    <cellStyle name="常规 2 2 2 7 8" xfId="2877"/>
    <cellStyle name="常规 2 2 2 7 9" xfId="3220"/>
    <cellStyle name="常规 2 2 2 8" xfId="202"/>
    <cellStyle name="常规 2 2 2 8 10" xfId="3434"/>
    <cellStyle name="常规 2 2 2 8 2" xfId="691"/>
    <cellStyle name="常规 2 2 2 8 3" xfId="1034"/>
    <cellStyle name="常规 2 2 2 8 4" xfId="1377"/>
    <cellStyle name="常规 2 2 2 8 5" xfId="1720"/>
    <cellStyle name="常规 2 2 2 8 6" xfId="2062"/>
    <cellStyle name="常规 2 2 2 8 7" xfId="2405"/>
    <cellStyle name="常规 2 2 2 8 8" xfId="2748"/>
    <cellStyle name="常规 2 2 2 8 9" xfId="3091"/>
    <cellStyle name="常规 2 2 2 9" xfId="206"/>
    <cellStyle name="常规 2 2 2 9 10" xfId="3441"/>
    <cellStyle name="常规 2 2 2 9 2" xfId="698"/>
    <cellStyle name="常规 2 2 2 9 3" xfId="1041"/>
    <cellStyle name="常规 2 2 2 9 4" xfId="1384"/>
    <cellStyle name="常规 2 2 2 9 5" xfId="1727"/>
    <cellStyle name="常规 2 2 2 9 6" xfId="2069"/>
    <cellStyle name="常规 2 2 2 9 7" xfId="2412"/>
    <cellStyle name="常规 2 2 2 9 8" xfId="2755"/>
    <cellStyle name="常规 2 2 2 9 9" xfId="3098"/>
    <cellStyle name="常规 2 2 20" xfId="255"/>
    <cellStyle name="常规 2 2 20 10" xfId="3342"/>
    <cellStyle name="常规 2 2 20 2" xfId="599"/>
    <cellStyle name="常规 2 2 20 3" xfId="942"/>
    <cellStyle name="常规 2 2 20 4" xfId="1285"/>
    <cellStyle name="常规 2 2 20 5" xfId="1628"/>
    <cellStyle name="常规 2 2 20 6" xfId="1970"/>
    <cellStyle name="常规 2 2 20 7" xfId="2313"/>
    <cellStyle name="常规 2 2 20 8" xfId="2656"/>
    <cellStyle name="常规 2 2 20 9" xfId="2999"/>
    <cellStyle name="常规 2 2 21" xfId="260"/>
    <cellStyle name="常规 2 2 21 10" xfId="3349"/>
    <cellStyle name="常规 2 2 21 2" xfId="606"/>
    <cellStyle name="常规 2 2 21 3" xfId="949"/>
    <cellStyle name="常规 2 2 21 4" xfId="1292"/>
    <cellStyle name="常规 2 2 21 5" xfId="1635"/>
    <cellStyle name="常规 2 2 21 6" xfId="1977"/>
    <cellStyle name="常规 2 2 21 7" xfId="2320"/>
    <cellStyle name="常规 2 2 21 8" xfId="2663"/>
    <cellStyle name="常规 2 2 21 9" xfId="3006"/>
    <cellStyle name="常规 2 2 22" xfId="283"/>
    <cellStyle name="常规 2 2 22 10" xfId="3410"/>
    <cellStyle name="常规 2 2 22 2" xfId="667"/>
    <cellStyle name="常规 2 2 22 3" xfId="1010"/>
    <cellStyle name="常规 2 2 22 4" xfId="1353"/>
    <cellStyle name="常规 2 2 22 5" xfId="1696"/>
    <cellStyle name="常规 2 2 22 6" xfId="2038"/>
    <cellStyle name="常规 2 2 22 7" xfId="2381"/>
    <cellStyle name="常规 2 2 22 8" xfId="2724"/>
    <cellStyle name="常规 2 2 22 9" xfId="3067"/>
    <cellStyle name="常规 2 2 23" xfId="288"/>
    <cellStyle name="常规 2 2 23 10" xfId="3543"/>
    <cellStyle name="常规 2 2 23 2" xfId="801"/>
    <cellStyle name="常规 2 2 23 3" xfId="1144"/>
    <cellStyle name="常规 2 2 23 4" xfId="1486"/>
    <cellStyle name="常规 2 2 23 5" xfId="1829"/>
    <cellStyle name="常规 2 2 23 6" xfId="2172"/>
    <cellStyle name="常规 2 2 23 7" xfId="2515"/>
    <cellStyle name="常规 2 2 23 8" xfId="2857"/>
    <cellStyle name="常规 2 2 23 9" xfId="3200"/>
    <cellStyle name="常规 2 2 24" xfId="293"/>
    <cellStyle name="常规 2 2 24 10" xfId="3551"/>
    <cellStyle name="常规 2 2 24 2" xfId="809"/>
    <cellStyle name="常规 2 2 24 3" xfId="1152"/>
    <cellStyle name="常规 2 2 24 4" xfId="1494"/>
    <cellStyle name="常规 2 2 24 5" xfId="1837"/>
    <cellStyle name="常规 2 2 24 6" xfId="2180"/>
    <cellStyle name="常规 2 2 24 7" xfId="2523"/>
    <cellStyle name="常规 2 2 24 8" xfId="2865"/>
    <cellStyle name="常规 2 2 24 9" xfId="3208"/>
    <cellStyle name="常规 2 2 25" xfId="300"/>
    <cellStyle name="常规 2 2 25 10" xfId="3535"/>
    <cellStyle name="常规 2 2 25 2" xfId="793"/>
    <cellStyle name="常规 2 2 25 3" xfId="1136"/>
    <cellStyle name="常规 2 2 25 4" xfId="1478"/>
    <cellStyle name="常规 2 2 25 5" xfId="1821"/>
    <cellStyle name="常规 2 2 25 6" xfId="2164"/>
    <cellStyle name="常规 2 2 25 7" xfId="2507"/>
    <cellStyle name="常规 2 2 25 8" xfId="2849"/>
    <cellStyle name="常规 2 2 25 9" xfId="3192"/>
    <cellStyle name="常规 2 2 26" xfId="303"/>
    <cellStyle name="常规 2 2 26 10" xfId="3526"/>
    <cellStyle name="常规 2 2 26 2" xfId="784"/>
    <cellStyle name="常规 2 2 26 3" xfId="1127"/>
    <cellStyle name="常规 2 2 26 4" xfId="1469"/>
    <cellStyle name="常规 2 2 26 5" xfId="1812"/>
    <cellStyle name="常规 2 2 26 6" xfId="2155"/>
    <cellStyle name="常规 2 2 26 7" xfId="2498"/>
    <cellStyle name="常规 2 2 26 8" xfId="2840"/>
    <cellStyle name="常规 2 2 26 9" xfId="3183"/>
    <cellStyle name="常规 2 2 27" xfId="308"/>
    <cellStyle name="常规 2 2 27 10" xfId="3532"/>
    <cellStyle name="常规 2 2 27 2" xfId="790"/>
    <cellStyle name="常规 2 2 27 3" xfId="1133"/>
    <cellStyle name="常规 2 2 27 4" xfId="1475"/>
    <cellStyle name="常规 2 2 27 5" xfId="1818"/>
    <cellStyle name="常规 2 2 27 6" xfId="2161"/>
    <cellStyle name="常规 2 2 27 7" xfId="2504"/>
    <cellStyle name="常规 2 2 27 8" xfId="2846"/>
    <cellStyle name="常规 2 2 27 9" xfId="3189"/>
    <cellStyle name="常规 2 2 28" xfId="313"/>
    <cellStyle name="常规 2 2 28 10" xfId="3494"/>
    <cellStyle name="常规 2 2 28 2" xfId="751"/>
    <cellStyle name="常规 2 2 28 3" xfId="1094"/>
    <cellStyle name="常规 2 2 28 4" xfId="1437"/>
    <cellStyle name="常规 2 2 28 5" xfId="1780"/>
    <cellStyle name="常规 2 2 28 6" xfId="2122"/>
    <cellStyle name="常规 2 2 28 7" xfId="2465"/>
    <cellStyle name="常规 2 2 28 8" xfId="2808"/>
    <cellStyle name="常规 2 2 28 9" xfId="3151"/>
    <cellStyle name="常规 2 2 29" xfId="318"/>
    <cellStyle name="常规 2 2 29 10" xfId="3520"/>
    <cellStyle name="常规 2 2 29 2" xfId="778"/>
    <cellStyle name="常规 2 2 29 3" xfId="1121"/>
    <cellStyle name="常规 2 2 29 4" xfId="1463"/>
    <cellStyle name="常规 2 2 29 5" xfId="1806"/>
    <cellStyle name="常规 2 2 29 6" xfId="2149"/>
    <cellStyle name="常规 2 2 29 7" xfId="2492"/>
    <cellStyle name="常规 2 2 29 8" xfId="2834"/>
    <cellStyle name="常规 2 2 29 9" xfId="3177"/>
    <cellStyle name="常规 2 2 3" xfId="39"/>
    <cellStyle name="常规 2 2 3 10" xfId="3630"/>
    <cellStyle name="常规 2 2 3 2" xfId="889"/>
    <cellStyle name="常规 2 2 3 3" xfId="1232"/>
    <cellStyle name="常规 2 2 3 4" xfId="1573"/>
    <cellStyle name="常规 2 2 3 5" xfId="1916"/>
    <cellStyle name="常规 2 2 3 6" xfId="2260"/>
    <cellStyle name="常规 2 2 3 7" xfId="2603"/>
    <cellStyle name="常规 2 2 3 8" xfId="2944"/>
    <cellStyle name="常规 2 2 3 9" xfId="3287"/>
    <cellStyle name="常规 2 2 30" xfId="323"/>
    <cellStyle name="常规 2 2 30 10" xfId="3471"/>
    <cellStyle name="常规 2 2 30 2" xfId="728"/>
    <cellStyle name="常规 2 2 30 3" xfId="1071"/>
    <cellStyle name="常规 2 2 30 4" xfId="1414"/>
    <cellStyle name="常规 2 2 30 5" xfId="1757"/>
    <cellStyle name="常规 2 2 30 6" xfId="2099"/>
    <cellStyle name="常规 2 2 30 7" xfId="2442"/>
    <cellStyle name="常规 2 2 30 8" xfId="2785"/>
    <cellStyle name="常规 2 2 30 9" xfId="3128"/>
    <cellStyle name="常规 2 2 31" xfId="330"/>
    <cellStyle name="常规 2 2 31 10" xfId="3497"/>
    <cellStyle name="常规 2 2 31 2" xfId="754"/>
    <cellStyle name="常规 2 2 31 3" xfId="1097"/>
    <cellStyle name="常规 2 2 31 4" xfId="1440"/>
    <cellStyle name="常规 2 2 31 5" xfId="1783"/>
    <cellStyle name="常规 2 2 31 6" xfId="2125"/>
    <cellStyle name="常规 2 2 31 7" xfId="2468"/>
    <cellStyle name="常规 2 2 31 8" xfId="2811"/>
    <cellStyle name="常规 2 2 31 9" xfId="3154"/>
    <cellStyle name="常规 2 2 32" xfId="334"/>
    <cellStyle name="常规 2 2 32 10" xfId="3501"/>
    <cellStyle name="常规 2 2 32 2" xfId="758"/>
    <cellStyle name="常规 2 2 32 3" xfId="1101"/>
    <cellStyle name="常规 2 2 32 4" xfId="1444"/>
    <cellStyle name="常规 2 2 32 5" xfId="1787"/>
    <cellStyle name="常规 2 2 32 6" xfId="2129"/>
    <cellStyle name="常规 2 2 32 7" xfId="2472"/>
    <cellStyle name="常规 2 2 32 8" xfId="2815"/>
    <cellStyle name="常规 2 2 32 9" xfId="3158"/>
    <cellStyle name="常规 2 2 33" xfId="339"/>
    <cellStyle name="常规 2 2 33 10" xfId="3473"/>
    <cellStyle name="常规 2 2 33 2" xfId="730"/>
    <cellStyle name="常规 2 2 33 3" xfId="1073"/>
    <cellStyle name="常规 2 2 33 4" xfId="1416"/>
    <cellStyle name="常规 2 2 33 5" xfId="1759"/>
    <cellStyle name="常规 2 2 33 6" xfId="2101"/>
    <cellStyle name="常规 2 2 33 7" xfId="2444"/>
    <cellStyle name="常规 2 2 33 8" xfId="2787"/>
    <cellStyle name="常规 2 2 33 9" xfId="3130"/>
    <cellStyle name="常规 2 2 34" xfId="344"/>
    <cellStyle name="常规 2 2 34 10" xfId="3480"/>
    <cellStyle name="常规 2 2 34 2" xfId="737"/>
    <cellStyle name="常规 2 2 34 3" xfId="1080"/>
    <cellStyle name="常规 2 2 34 4" xfId="1423"/>
    <cellStyle name="常规 2 2 34 5" xfId="1766"/>
    <cellStyle name="常规 2 2 34 6" xfId="2108"/>
    <cellStyle name="常规 2 2 34 7" xfId="2451"/>
    <cellStyle name="常规 2 2 34 8" xfId="2794"/>
    <cellStyle name="常规 2 2 34 9" xfId="3137"/>
    <cellStyle name="常规 2 2 35" xfId="346"/>
    <cellStyle name="常规 2 2 35 10" xfId="3475"/>
    <cellStyle name="常规 2 2 35 2" xfId="732"/>
    <cellStyle name="常规 2 2 35 3" xfId="1075"/>
    <cellStyle name="常规 2 2 35 4" xfId="1418"/>
    <cellStyle name="常规 2 2 35 5" xfId="1761"/>
    <cellStyle name="常规 2 2 35 6" xfId="2103"/>
    <cellStyle name="常规 2 2 35 7" xfId="2446"/>
    <cellStyle name="常规 2 2 35 8" xfId="2789"/>
    <cellStyle name="常规 2 2 35 9" xfId="3132"/>
    <cellStyle name="常规 2 2 36" xfId="354"/>
    <cellStyle name="常规 2 2 37" xfId="409"/>
    <cellStyle name="常规 2 2 38" xfId="420"/>
    <cellStyle name="常规 2 2 39" xfId="431"/>
    <cellStyle name="常规 2 2 4" xfId="74"/>
    <cellStyle name="常规 2 2 4 10" xfId="3490"/>
    <cellStyle name="常规 2 2 4 2" xfId="747"/>
    <cellStyle name="常规 2 2 4 3" xfId="1090"/>
    <cellStyle name="常规 2 2 4 4" xfId="1433"/>
    <cellStyle name="常规 2 2 4 5" xfId="1776"/>
    <cellStyle name="常规 2 2 4 6" xfId="2118"/>
    <cellStyle name="常规 2 2 4 7" xfId="2461"/>
    <cellStyle name="常规 2 2 4 8" xfId="2804"/>
    <cellStyle name="常规 2 2 4 9" xfId="3147"/>
    <cellStyle name="常规 2 2 40" xfId="444"/>
    <cellStyle name="常规 2 2 41" xfId="453"/>
    <cellStyle name="常规 2 2 42" xfId="471"/>
    <cellStyle name="常规 2 2 43" xfId="480"/>
    <cellStyle name="常规 2 2 44" xfId="486"/>
    <cellStyle name="常规 2 2 45" xfId="497"/>
    <cellStyle name="常规 2 2 46" xfId="508"/>
    <cellStyle name="常规 2 2 47" xfId="527"/>
    <cellStyle name="常规 2 2 48" xfId="536"/>
    <cellStyle name="常规 2 2 49" xfId="561"/>
    <cellStyle name="常规 2 2 5" xfId="86"/>
    <cellStyle name="常规 2 2 5 10" xfId="3485"/>
    <cellStyle name="常规 2 2 5 2" xfId="742"/>
    <cellStyle name="常规 2 2 5 3" xfId="1085"/>
    <cellStyle name="常规 2 2 5 4" xfId="1428"/>
    <cellStyle name="常规 2 2 5 5" xfId="1771"/>
    <cellStyle name="常规 2 2 5 6" xfId="2113"/>
    <cellStyle name="常规 2 2 5 7" xfId="2456"/>
    <cellStyle name="常规 2 2 5 8" xfId="2799"/>
    <cellStyle name="常规 2 2 5 9" xfId="3142"/>
    <cellStyle name="常规 2 2 50" xfId="558"/>
    <cellStyle name="常规 2 2 51" xfId="565"/>
    <cellStyle name="常规 2 2 52" xfId="518"/>
    <cellStyle name="常规 2 2 53" xfId="519"/>
    <cellStyle name="常规 2 2 54" xfId="805"/>
    <cellStyle name="常规 2 2 55" xfId="1148"/>
    <cellStyle name="常规 2 2 56" xfId="1490"/>
    <cellStyle name="常规 2 2 57" xfId="1833"/>
    <cellStyle name="常规 2 2 58" xfId="2176"/>
    <cellStyle name="常规 2 2 59" xfId="2519"/>
    <cellStyle name="常规 2 2 6" xfId="94"/>
    <cellStyle name="常规 2 2 6 10" xfId="3588"/>
    <cellStyle name="常规 2 2 6 2" xfId="846"/>
    <cellStyle name="常规 2 2 6 3" xfId="1189"/>
    <cellStyle name="常规 2 2 6 4" xfId="1531"/>
    <cellStyle name="常规 2 2 6 5" xfId="1874"/>
    <cellStyle name="常规 2 2 6 6" xfId="2217"/>
    <cellStyle name="常规 2 2 6 7" xfId="2560"/>
    <cellStyle name="常规 2 2 6 8" xfId="2902"/>
    <cellStyle name="常规 2 2 6 9" xfId="3245"/>
    <cellStyle name="常规 2 2 60" xfId="2861"/>
    <cellStyle name="常规 2 2 61" xfId="3204"/>
    <cellStyle name="常规 2 2 62" xfId="3547"/>
    <cellStyle name="常规 2 2 7" xfId="103"/>
    <cellStyle name="常规 2 2 7 10" xfId="3586"/>
    <cellStyle name="常规 2 2 7 2" xfId="844"/>
    <cellStyle name="常规 2 2 7 3" xfId="1187"/>
    <cellStyle name="常规 2 2 7 4" xfId="1529"/>
    <cellStyle name="常规 2 2 7 5" xfId="1872"/>
    <cellStyle name="常规 2 2 7 6" xfId="2215"/>
    <cellStyle name="常规 2 2 7 7" xfId="2558"/>
    <cellStyle name="常规 2 2 7 8" xfId="2900"/>
    <cellStyle name="常规 2 2 7 9" xfId="3243"/>
    <cellStyle name="常规 2 2 8" xfId="112"/>
    <cellStyle name="常规 2 2 8 10" xfId="3316"/>
    <cellStyle name="常规 2 2 8 2" xfId="573"/>
    <cellStyle name="常规 2 2 8 3" xfId="916"/>
    <cellStyle name="常规 2 2 8 4" xfId="1259"/>
    <cellStyle name="常规 2 2 8 5" xfId="1602"/>
    <cellStyle name="常规 2 2 8 6" xfId="1944"/>
    <cellStyle name="常规 2 2 8 7" xfId="2287"/>
    <cellStyle name="常规 2 2 8 8" xfId="2630"/>
    <cellStyle name="常规 2 2 8 9" xfId="2973"/>
    <cellStyle name="常规 2 2 9" xfId="121"/>
    <cellStyle name="常规 2 2 9 10" xfId="3454"/>
    <cellStyle name="常规 2 2 9 2" xfId="711"/>
    <cellStyle name="常规 2 2 9 3" xfId="1054"/>
    <cellStyle name="常规 2 2 9 4" xfId="1397"/>
    <cellStyle name="常规 2 2 9 5" xfId="1740"/>
    <cellStyle name="常规 2 2 9 6" xfId="2082"/>
    <cellStyle name="常规 2 2 9 7" xfId="2425"/>
    <cellStyle name="常规 2 2 9 8" xfId="2768"/>
    <cellStyle name="常规 2 2 9 9" xfId="3111"/>
    <cellStyle name="常规 2 20" xfId="68"/>
    <cellStyle name="常规 2 20 10" xfId="3176"/>
    <cellStyle name="常规 2 20 11" xfId="3519"/>
    <cellStyle name="常规 2 20 2" xfId="226"/>
    <cellStyle name="常规 2 20 2 10" xfId="3440"/>
    <cellStyle name="常规 2 20 2 2" xfId="697"/>
    <cellStyle name="常规 2 20 2 3" xfId="1040"/>
    <cellStyle name="常规 2 20 2 4" xfId="1383"/>
    <cellStyle name="常规 2 20 2 5" xfId="1726"/>
    <cellStyle name="常规 2 20 2 6" xfId="2068"/>
    <cellStyle name="常规 2 20 2 7" xfId="2411"/>
    <cellStyle name="常规 2 20 2 8" xfId="2754"/>
    <cellStyle name="常规 2 20 2 9" xfId="3097"/>
    <cellStyle name="常规 2 20 3" xfId="776"/>
    <cellStyle name="常规 2 20 4" xfId="1119"/>
    <cellStyle name="常规 2 20 5" xfId="1462"/>
    <cellStyle name="常规 2 20 6" xfId="1805"/>
    <cellStyle name="常规 2 20 7" xfId="2147"/>
    <cellStyle name="常规 2 20 8" xfId="2490"/>
    <cellStyle name="常规 2 20 9" xfId="2833"/>
    <cellStyle name="常规 2 21" xfId="148"/>
    <cellStyle name="常规 2 21 10" xfId="3229"/>
    <cellStyle name="常规 2 21 11" xfId="3572"/>
    <cellStyle name="常规 2 21 2" xfId="227"/>
    <cellStyle name="常规 2 21 2 10" xfId="3429"/>
    <cellStyle name="常规 2 21 2 2" xfId="686"/>
    <cellStyle name="常规 2 21 2 3" xfId="1029"/>
    <cellStyle name="常规 2 21 2 4" xfId="1372"/>
    <cellStyle name="常规 2 21 2 5" xfId="1715"/>
    <cellStyle name="常规 2 21 2 6" xfId="2057"/>
    <cellStyle name="常规 2 21 2 7" xfId="2400"/>
    <cellStyle name="常规 2 21 2 8" xfId="2743"/>
    <cellStyle name="常规 2 21 2 9" xfId="3086"/>
    <cellStyle name="常规 2 21 3" xfId="830"/>
    <cellStyle name="常规 2 21 4" xfId="1173"/>
    <cellStyle name="常规 2 21 5" xfId="1515"/>
    <cellStyle name="常规 2 21 6" xfId="1858"/>
    <cellStyle name="常规 2 21 7" xfId="2201"/>
    <cellStyle name="常规 2 21 8" xfId="2544"/>
    <cellStyle name="常规 2 21 9" xfId="2886"/>
    <cellStyle name="常规 2 22" xfId="232"/>
    <cellStyle name="常规 2 22 10" xfId="3397"/>
    <cellStyle name="常规 2 22 2" xfId="654"/>
    <cellStyle name="常规 2 22 3" xfId="997"/>
    <cellStyle name="常规 2 22 4" xfId="1340"/>
    <cellStyle name="常规 2 22 5" xfId="1683"/>
    <cellStyle name="常规 2 22 6" xfId="2025"/>
    <cellStyle name="常规 2 22 7" xfId="2368"/>
    <cellStyle name="常规 2 22 8" xfId="2711"/>
    <cellStyle name="常规 2 22 9" xfId="3054"/>
    <cellStyle name="常规 2 23" xfId="239"/>
    <cellStyle name="常规 2 23 10" xfId="3322"/>
    <cellStyle name="常规 2 23 2" xfId="579"/>
    <cellStyle name="常规 2 23 3" xfId="922"/>
    <cellStyle name="常规 2 23 4" xfId="1265"/>
    <cellStyle name="常规 2 23 5" xfId="1608"/>
    <cellStyle name="常规 2 23 6" xfId="1950"/>
    <cellStyle name="常规 2 23 7" xfId="2293"/>
    <cellStyle name="常规 2 23 8" xfId="2636"/>
    <cellStyle name="常规 2 23 9" xfId="2979"/>
    <cellStyle name="常规 2 24" xfId="244"/>
    <cellStyle name="常规 2 24 10" xfId="3364"/>
    <cellStyle name="常规 2 24 2" xfId="621"/>
    <cellStyle name="常规 2 24 3" xfId="964"/>
    <cellStyle name="常规 2 24 4" xfId="1307"/>
    <cellStyle name="常规 2 24 5" xfId="1650"/>
    <cellStyle name="常规 2 24 6" xfId="1992"/>
    <cellStyle name="常规 2 24 7" xfId="2335"/>
    <cellStyle name="常规 2 24 8" xfId="2678"/>
    <cellStyle name="常规 2 24 9" xfId="3021"/>
    <cellStyle name="常规 2 25" xfId="249"/>
    <cellStyle name="常规 2 25 10" xfId="3354"/>
    <cellStyle name="常规 2 25 2" xfId="611"/>
    <cellStyle name="常规 2 25 3" xfId="954"/>
    <cellStyle name="常规 2 25 4" xfId="1297"/>
    <cellStyle name="常规 2 25 5" xfId="1640"/>
    <cellStyle name="常规 2 25 6" xfId="1982"/>
    <cellStyle name="常规 2 25 7" xfId="2325"/>
    <cellStyle name="常规 2 25 8" xfId="2668"/>
    <cellStyle name="常规 2 25 9" xfId="3011"/>
    <cellStyle name="常规 2 26" xfId="254"/>
    <cellStyle name="常规 2 26 10" xfId="3344"/>
    <cellStyle name="常规 2 26 2" xfId="601"/>
    <cellStyle name="常规 2 26 3" xfId="944"/>
    <cellStyle name="常规 2 26 4" xfId="1287"/>
    <cellStyle name="常规 2 26 5" xfId="1630"/>
    <cellStyle name="常规 2 26 6" xfId="1972"/>
    <cellStyle name="常规 2 26 7" xfId="2315"/>
    <cellStyle name="常规 2 26 8" xfId="2658"/>
    <cellStyle name="常规 2 26 9" xfId="3001"/>
    <cellStyle name="常规 2 27" xfId="259"/>
    <cellStyle name="常规 2 27 10" xfId="3336"/>
    <cellStyle name="常规 2 27 2" xfId="593"/>
    <cellStyle name="常规 2 27 3" xfId="936"/>
    <cellStyle name="常规 2 27 4" xfId="1279"/>
    <cellStyle name="常规 2 27 5" xfId="1622"/>
    <cellStyle name="常规 2 27 6" xfId="1964"/>
    <cellStyle name="常规 2 27 7" xfId="2307"/>
    <cellStyle name="常规 2 27 8" xfId="2650"/>
    <cellStyle name="常规 2 27 9" xfId="2993"/>
    <cellStyle name="常规 2 28" xfId="282"/>
    <cellStyle name="常规 2 28 10" xfId="3424"/>
    <cellStyle name="常规 2 28 2" xfId="681"/>
    <cellStyle name="常规 2 28 3" xfId="1024"/>
    <cellStyle name="常规 2 28 4" xfId="1367"/>
    <cellStyle name="常规 2 28 5" xfId="1710"/>
    <cellStyle name="常规 2 28 6" xfId="2052"/>
    <cellStyle name="常规 2 28 7" xfId="2395"/>
    <cellStyle name="常规 2 28 8" xfId="2738"/>
    <cellStyle name="常规 2 28 9" xfId="3081"/>
    <cellStyle name="常规 2 29" xfId="287"/>
    <cellStyle name="常规 2 29 10" xfId="3545"/>
    <cellStyle name="常规 2 29 2" xfId="803"/>
    <cellStyle name="常规 2 29 3" xfId="1146"/>
    <cellStyle name="常规 2 29 4" xfId="1488"/>
    <cellStyle name="常规 2 29 5" xfId="1831"/>
    <cellStyle name="常规 2 29 6" xfId="2174"/>
    <cellStyle name="常规 2 29 7" xfId="2517"/>
    <cellStyle name="常规 2 29 8" xfId="2859"/>
    <cellStyle name="常规 2 29 9" xfId="3202"/>
    <cellStyle name="常规 2 3" xfId="6"/>
    <cellStyle name="常规 2 3 10" xfId="3505"/>
    <cellStyle name="常规 2 3 2" xfId="762"/>
    <cellStyle name="常规 2 3 3" xfId="1105"/>
    <cellStyle name="常规 2 3 4" xfId="1448"/>
    <cellStyle name="常规 2 3 5" xfId="1791"/>
    <cellStyle name="常规 2 3 6" xfId="2133"/>
    <cellStyle name="常规 2 3 7" xfId="2476"/>
    <cellStyle name="常规 2 3 8" xfId="2819"/>
    <cellStyle name="常规 2 3 9" xfId="3162"/>
    <cellStyle name="常规 2 30" xfId="292"/>
    <cellStyle name="常规 2 30 10" xfId="3510"/>
    <cellStyle name="常规 2 30 2" xfId="767"/>
    <cellStyle name="常规 2 30 3" xfId="1110"/>
    <cellStyle name="常规 2 30 4" xfId="1453"/>
    <cellStyle name="常规 2 30 5" xfId="1796"/>
    <cellStyle name="常规 2 30 6" xfId="2138"/>
    <cellStyle name="常规 2 30 7" xfId="2481"/>
    <cellStyle name="常规 2 30 8" xfId="2824"/>
    <cellStyle name="常规 2 30 9" xfId="3167"/>
    <cellStyle name="常规 2 31" xfId="296"/>
    <cellStyle name="常规 2 31 10" xfId="3538"/>
    <cellStyle name="常规 2 31 2" xfId="796"/>
    <cellStyle name="常规 2 31 3" xfId="1139"/>
    <cellStyle name="常规 2 31 4" xfId="1481"/>
    <cellStyle name="常规 2 31 5" xfId="1824"/>
    <cellStyle name="常规 2 31 6" xfId="2167"/>
    <cellStyle name="常规 2 31 7" xfId="2510"/>
    <cellStyle name="常规 2 31 8" xfId="2852"/>
    <cellStyle name="常规 2 31 9" xfId="3195"/>
    <cellStyle name="常规 2 32" xfId="302"/>
    <cellStyle name="常规 2 32 10" xfId="3539"/>
    <cellStyle name="常规 2 32 2" xfId="797"/>
    <cellStyle name="常规 2 32 3" xfId="1140"/>
    <cellStyle name="常规 2 32 4" xfId="1482"/>
    <cellStyle name="常规 2 32 5" xfId="1825"/>
    <cellStyle name="常规 2 32 6" xfId="2168"/>
    <cellStyle name="常规 2 32 7" xfId="2511"/>
    <cellStyle name="常规 2 32 8" xfId="2853"/>
    <cellStyle name="常规 2 32 9" xfId="3196"/>
    <cellStyle name="常规 2 33" xfId="307"/>
    <cellStyle name="常规 2 33 10" xfId="3533"/>
    <cellStyle name="常规 2 33 2" xfId="791"/>
    <cellStyle name="常规 2 33 3" xfId="1134"/>
    <cellStyle name="常规 2 33 4" xfId="1476"/>
    <cellStyle name="常规 2 33 5" xfId="1819"/>
    <cellStyle name="常规 2 33 6" xfId="2162"/>
    <cellStyle name="常规 2 33 7" xfId="2505"/>
    <cellStyle name="常规 2 33 8" xfId="2847"/>
    <cellStyle name="常规 2 33 9" xfId="3190"/>
    <cellStyle name="常规 2 34" xfId="312"/>
    <cellStyle name="常规 2 34 10" xfId="3529"/>
    <cellStyle name="常规 2 34 2" xfId="787"/>
    <cellStyle name="常规 2 34 3" xfId="1130"/>
    <cellStyle name="常规 2 34 4" xfId="1472"/>
    <cellStyle name="常规 2 34 5" xfId="1815"/>
    <cellStyle name="常规 2 34 6" xfId="2158"/>
    <cellStyle name="常规 2 34 7" xfId="2501"/>
    <cellStyle name="常规 2 34 8" xfId="2843"/>
    <cellStyle name="常规 2 34 9" xfId="3186"/>
    <cellStyle name="常规 2 35" xfId="317"/>
    <cellStyle name="常规 2 35 10" xfId="3521"/>
    <cellStyle name="常规 2 35 2" xfId="779"/>
    <cellStyle name="常规 2 35 3" xfId="1122"/>
    <cellStyle name="常规 2 35 4" xfId="1464"/>
    <cellStyle name="常规 2 35 5" xfId="1807"/>
    <cellStyle name="常规 2 35 6" xfId="2150"/>
    <cellStyle name="常规 2 35 7" xfId="2493"/>
    <cellStyle name="常规 2 35 8" xfId="2835"/>
    <cellStyle name="常规 2 35 9" xfId="3178"/>
    <cellStyle name="常规 2 36" xfId="322"/>
    <cellStyle name="常规 2 36 10" xfId="3513"/>
    <cellStyle name="常规 2 36 2" xfId="770"/>
    <cellStyle name="常规 2 36 3" xfId="1113"/>
    <cellStyle name="常规 2 36 4" xfId="1456"/>
    <cellStyle name="常规 2 36 5" xfId="1799"/>
    <cellStyle name="常规 2 36 6" xfId="2141"/>
    <cellStyle name="常规 2 36 7" xfId="2484"/>
    <cellStyle name="常规 2 36 8" xfId="2827"/>
    <cellStyle name="常规 2 36 9" xfId="3170"/>
    <cellStyle name="常规 2 37" xfId="328"/>
    <cellStyle name="常规 2 37 10" xfId="3507"/>
    <cellStyle name="常规 2 37 2" xfId="764"/>
    <cellStyle name="常规 2 37 3" xfId="1107"/>
    <cellStyle name="常规 2 37 4" xfId="1450"/>
    <cellStyle name="常规 2 37 5" xfId="1793"/>
    <cellStyle name="常规 2 37 6" xfId="2135"/>
    <cellStyle name="常规 2 37 7" xfId="2478"/>
    <cellStyle name="常规 2 37 8" xfId="2821"/>
    <cellStyle name="常规 2 37 9" xfId="3164"/>
    <cellStyle name="常规 2 38" xfId="333"/>
    <cellStyle name="常规 2 38 10" xfId="3502"/>
    <cellStyle name="常规 2 38 2" xfId="759"/>
    <cellStyle name="常规 2 38 3" xfId="1102"/>
    <cellStyle name="常规 2 38 4" xfId="1445"/>
    <cellStyle name="常规 2 38 5" xfId="1788"/>
    <cellStyle name="常规 2 38 6" xfId="2130"/>
    <cellStyle name="常规 2 38 7" xfId="2473"/>
    <cellStyle name="常规 2 38 8" xfId="2816"/>
    <cellStyle name="常规 2 38 9" xfId="3159"/>
    <cellStyle name="常规 2 39" xfId="338"/>
    <cellStyle name="常规 2 39 10" xfId="3492"/>
    <cellStyle name="常规 2 39 2" xfId="749"/>
    <cellStyle name="常规 2 39 3" xfId="1092"/>
    <cellStyle name="常规 2 39 4" xfId="1435"/>
    <cellStyle name="常规 2 39 5" xfId="1778"/>
    <cellStyle name="常规 2 39 6" xfId="2120"/>
    <cellStyle name="常规 2 39 7" xfId="2463"/>
    <cellStyle name="常规 2 39 8" xfId="2806"/>
    <cellStyle name="常规 2 39 9" xfId="3149"/>
    <cellStyle name="常规 2 4" xfId="8"/>
    <cellStyle name="常规 2 4 10" xfId="3638"/>
    <cellStyle name="常规 2 4 2" xfId="897"/>
    <cellStyle name="常规 2 4 3" xfId="1240"/>
    <cellStyle name="常规 2 4 4" xfId="1581"/>
    <cellStyle name="常规 2 4 5" xfId="1924"/>
    <cellStyle name="常规 2 4 6" xfId="2268"/>
    <cellStyle name="常规 2 4 7" xfId="2611"/>
    <cellStyle name="常规 2 4 8" xfId="2952"/>
    <cellStyle name="常规 2 4 9" xfId="3295"/>
    <cellStyle name="常规 2 40" xfId="343"/>
    <cellStyle name="常规 2 40 10" xfId="3481"/>
    <cellStyle name="常规 2 40 2" xfId="738"/>
    <cellStyle name="常规 2 40 3" xfId="1081"/>
    <cellStyle name="常规 2 40 4" xfId="1424"/>
    <cellStyle name="常规 2 40 5" xfId="1767"/>
    <cellStyle name="常规 2 40 6" xfId="2109"/>
    <cellStyle name="常规 2 40 7" xfId="2452"/>
    <cellStyle name="常规 2 40 8" xfId="2795"/>
    <cellStyle name="常规 2 40 9" xfId="3138"/>
    <cellStyle name="常规 2 41" xfId="352"/>
    <cellStyle name="常规 2 42" xfId="353"/>
    <cellStyle name="常规 2 43" xfId="408"/>
    <cellStyle name="常规 2 44" xfId="419"/>
    <cellStyle name="常规 2 45" xfId="430"/>
    <cellStyle name="常规 2 46" xfId="440"/>
    <cellStyle name="常规 2 47" xfId="452"/>
    <cellStyle name="常规 2 48" xfId="465"/>
    <cellStyle name="常规 2 49" xfId="461"/>
    <cellStyle name="常规 2 5" xfId="11"/>
    <cellStyle name="常规 2 5 10" xfId="3650"/>
    <cellStyle name="常规 2 5 2" xfId="909"/>
    <cellStyle name="常规 2 5 3" xfId="1252"/>
    <cellStyle name="常规 2 5 4" xfId="1593"/>
    <cellStyle name="常规 2 5 5" xfId="1936"/>
    <cellStyle name="常规 2 5 6" xfId="2280"/>
    <cellStyle name="常规 2 5 7" xfId="2623"/>
    <cellStyle name="常规 2 5 8" xfId="2964"/>
    <cellStyle name="常规 2 5 9" xfId="3307"/>
    <cellStyle name="常规 2 50" xfId="485"/>
    <cellStyle name="常规 2 51" xfId="496"/>
    <cellStyle name="常规 2 52" xfId="507"/>
    <cellStyle name="常规 2 53" xfId="510"/>
    <cellStyle name="常规 2 54" xfId="556"/>
    <cellStyle name="常规 2 55" xfId="541"/>
    <cellStyle name="常规 2 56" xfId="544"/>
    <cellStyle name="常规 2 57" xfId="546"/>
    <cellStyle name="常规 2 58" xfId="560"/>
    <cellStyle name="常规 2 59" xfId="563"/>
    <cellStyle name="常规 2 6" xfId="14"/>
    <cellStyle name="常规 2 6 10" xfId="2579"/>
    <cellStyle name="常规 2 6 11" xfId="2921"/>
    <cellStyle name="常规 2 6 12" xfId="3264"/>
    <cellStyle name="常规 2 6 13" xfId="3607"/>
    <cellStyle name="常规 2 6 2" xfId="32"/>
    <cellStyle name="常规 2 6 2 10" xfId="3292"/>
    <cellStyle name="常规 2 6 2 11" xfId="3635"/>
    <cellStyle name="常规 2 6 2 2" xfId="171"/>
    <cellStyle name="常规 2 6 2 2 10" xfId="3446"/>
    <cellStyle name="常规 2 6 2 2 2" xfId="703"/>
    <cellStyle name="常规 2 6 2 2 3" xfId="1046"/>
    <cellStyle name="常规 2 6 2 2 4" xfId="1389"/>
    <cellStyle name="常规 2 6 2 2 5" xfId="1732"/>
    <cellStyle name="常规 2 6 2 2 6" xfId="2074"/>
    <cellStyle name="常规 2 6 2 2 7" xfId="2417"/>
    <cellStyle name="常规 2 6 2 2 8" xfId="2760"/>
    <cellStyle name="常规 2 6 2 2 9" xfId="3103"/>
    <cellStyle name="常规 2 6 2 3" xfId="894"/>
    <cellStyle name="常规 2 6 2 4" xfId="1237"/>
    <cellStyle name="常规 2 6 2 5" xfId="1578"/>
    <cellStyle name="常规 2 6 2 6" xfId="1921"/>
    <cellStyle name="常规 2 6 2 7" xfId="2265"/>
    <cellStyle name="常规 2 6 2 8" xfId="2608"/>
    <cellStyle name="常规 2 6 2 9" xfId="2949"/>
    <cellStyle name="常规 2 6 3" xfId="50"/>
    <cellStyle name="常规 2 6 3 10" xfId="490"/>
    <cellStyle name="常规 2 6 3 11" xfId="501"/>
    <cellStyle name="常规 2 6 3 12" xfId="880"/>
    <cellStyle name="常规 2 6 3 13" xfId="1223"/>
    <cellStyle name="常规 2 6 3 14" xfId="1564"/>
    <cellStyle name="常规 2 6 3 15" xfId="1907"/>
    <cellStyle name="常规 2 6 3 16" xfId="2251"/>
    <cellStyle name="常规 2 6 3 17" xfId="2594"/>
    <cellStyle name="常规 2 6 3 18" xfId="2935"/>
    <cellStyle name="常规 2 6 3 19" xfId="3278"/>
    <cellStyle name="常规 2 6 3 2" xfId="269"/>
    <cellStyle name="常规 2 6 3 2 10" xfId="3082"/>
    <cellStyle name="常规 2 6 3 2 11" xfId="3425"/>
    <cellStyle name="常规 2 6 3 2 2" xfId="359"/>
    <cellStyle name="常规 2 6 3 2 3" xfId="682"/>
    <cellStyle name="常规 2 6 3 2 4" xfId="1025"/>
    <cellStyle name="常规 2 6 3 2 5" xfId="1368"/>
    <cellStyle name="常规 2 6 3 2 6" xfId="1711"/>
    <cellStyle name="常规 2 6 3 2 7" xfId="2053"/>
    <cellStyle name="常规 2 6 3 2 8" xfId="2396"/>
    <cellStyle name="常规 2 6 3 2 9" xfId="2739"/>
    <cellStyle name="常规 2 6 3 20" xfId="3621"/>
    <cellStyle name="常规 2 6 3 3" xfId="413"/>
    <cellStyle name="常规 2 6 3 4" xfId="424"/>
    <cellStyle name="常规 2 6 3 5" xfId="438"/>
    <cellStyle name="常规 2 6 3 6" xfId="433"/>
    <cellStyle name="常规 2 6 3 7" xfId="462"/>
    <cellStyle name="常规 2 6 3 8" xfId="455"/>
    <cellStyle name="常规 2 6 3 9" xfId="464"/>
    <cellStyle name="常规 2 6 4" xfId="156"/>
    <cellStyle name="常规 2 6 4 10" xfId="3478"/>
    <cellStyle name="常规 2 6 4 2" xfId="735"/>
    <cellStyle name="常规 2 6 4 3" xfId="1078"/>
    <cellStyle name="常规 2 6 4 4" xfId="1421"/>
    <cellStyle name="常规 2 6 4 5" xfId="1764"/>
    <cellStyle name="常规 2 6 4 6" xfId="2106"/>
    <cellStyle name="常规 2 6 4 7" xfId="2449"/>
    <cellStyle name="常规 2 6 4 8" xfId="2792"/>
    <cellStyle name="常规 2 6 4 9" xfId="3135"/>
    <cellStyle name="常规 2 6 5" xfId="865"/>
    <cellStyle name="常规 2 6 6" xfId="1208"/>
    <cellStyle name="常规 2 6 7" xfId="1550"/>
    <cellStyle name="常规 2 6 8" xfId="1893"/>
    <cellStyle name="常规 2 6 9" xfId="2236"/>
    <cellStyle name="常规 2 60" xfId="913"/>
    <cellStyle name="常规 2 61" xfId="1256"/>
    <cellStyle name="常规 2 62" xfId="1597"/>
    <cellStyle name="常规 2 63" xfId="1940"/>
    <cellStyle name="常规 2 64" xfId="2284"/>
    <cellStyle name="常规 2 65" xfId="2627"/>
    <cellStyle name="常规 2 66" xfId="2968"/>
    <cellStyle name="常规 2 67" xfId="3311"/>
    <cellStyle name="常规 2 68" xfId="3654"/>
    <cellStyle name="常规 2 7" xfId="16"/>
    <cellStyle name="常规 2 7 10" xfId="2619"/>
    <cellStyle name="常规 2 7 11" xfId="2960"/>
    <cellStyle name="常规 2 7 12" xfId="3303"/>
    <cellStyle name="常规 2 7 13" xfId="3646"/>
    <cellStyle name="常规 2 7 2" xfId="34"/>
    <cellStyle name="常规 2 7 2 10" xfId="3242"/>
    <cellStyle name="常规 2 7 2 11" xfId="3585"/>
    <cellStyle name="常规 2 7 2 2" xfId="173"/>
    <cellStyle name="常规 2 7 2 2 10" xfId="3427"/>
    <cellStyle name="常规 2 7 2 2 2" xfId="684"/>
    <cellStyle name="常规 2 7 2 2 3" xfId="1027"/>
    <cellStyle name="常规 2 7 2 2 4" xfId="1370"/>
    <cellStyle name="常规 2 7 2 2 5" xfId="1713"/>
    <cellStyle name="常规 2 7 2 2 6" xfId="2055"/>
    <cellStyle name="常规 2 7 2 2 7" xfId="2398"/>
    <cellStyle name="常规 2 7 2 2 8" xfId="2741"/>
    <cellStyle name="常规 2 7 2 2 9" xfId="3084"/>
    <cellStyle name="常规 2 7 2 3" xfId="843"/>
    <cellStyle name="常规 2 7 2 4" xfId="1186"/>
    <cellStyle name="常规 2 7 2 5" xfId="1528"/>
    <cellStyle name="常规 2 7 2 6" xfId="1871"/>
    <cellStyle name="常规 2 7 2 7" xfId="2214"/>
    <cellStyle name="常规 2 7 2 8" xfId="2557"/>
    <cellStyle name="常规 2 7 2 9" xfId="2899"/>
    <cellStyle name="常规 2 7 3" xfId="52"/>
    <cellStyle name="常规 2 7 3 10" xfId="491"/>
    <cellStyle name="常规 2 7 3 11" xfId="502"/>
    <cellStyle name="常规 2 7 3 12" xfId="878"/>
    <cellStyle name="常规 2 7 3 13" xfId="1221"/>
    <cellStyle name="常规 2 7 3 14" xfId="1562"/>
    <cellStyle name="常规 2 7 3 15" xfId="1905"/>
    <cellStyle name="常规 2 7 3 16" xfId="2249"/>
    <cellStyle name="常规 2 7 3 17" xfId="2592"/>
    <cellStyle name="常规 2 7 3 18" xfId="2933"/>
    <cellStyle name="常规 2 7 3 19" xfId="3276"/>
    <cellStyle name="常规 2 7 3 2" xfId="271"/>
    <cellStyle name="常规 2 7 3 2 10" xfId="3066"/>
    <cellStyle name="常规 2 7 3 2 11" xfId="3409"/>
    <cellStyle name="常规 2 7 3 2 2" xfId="360"/>
    <cellStyle name="常规 2 7 3 2 3" xfId="666"/>
    <cellStyle name="常规 2 7 3 2 4" xfId="1009"/>
    <cellStyle name="常规 2 7 3 2 5" xfId="1352"/>
    <cellStyle name="常规 2 7 3 2 6" xfId="1695"/>
    <cellStyle name="常规 2 7 3 2 7" xfId="2037"/>
    <cellStyle name="常规 2 7 3 2 8" xfId="2380"/>
    <cellStyle name="常规 2 7 3 2 9" xfId="2723"/>
    <cellStyle name="常规 2 7 3 20" xfId="3619"/>
    <cellStyle name="常规 2 7 3 3" xfId="414"/>
    <cellStyle name="常规 2 7 3 4" xfId="425"/>
    <cellStyle name="常规 2 7 3 5" xfId="439"/>
    <cellStyle name="常规 2 7 3 6" xfId="445"/>
    <cellStyle name="常规 2 7 3 7" xfId="463"/>
    <cellStyle name="常规 2 7 3 8" xfId="472"/>
    <cellStyle name="常规 2 7 3 9" xfId="478"/>
    <cellStyle name="常规 2 7 4" xfId="158"/>
    <cellStyle name="常规 2 7 4 10" xfId="3568"/>
    <cellStyle name="常规 2 7 4 2" xfId="826"/>
    <cellStyle name="常规 2 7 4 3" xfId="1169"/>
    <cellStyle name="常规 2 7 4 4" xfId="1511"/>
    <cellStyle name="常规 2 7 4 5" xfId="1854"/>
    <cellStyle name="常规 2 7 4 6" xfId="2197"/>
    <cellStyle name="常规 2 7 4 7" xfId="2540"/>
    <cellStyle name="常规 2 7 4 8" xfId="2882"/>
    <cellStyle name="常规 2 7 4 9" xfId="3225"/>
    <cellStyle name="常规 2 7 5" xfId="905"/>
    <cellStyle name="常规 2 7 6" xfId="1248"/>
    <cellStyle name="常规 2 7 7" xfId="1589"/>
    <cellStyle name="常规 2 7 8" xfId="1932"/>
    <cellStyle name="常规 2 7 9" xfId="2276"/>
    <cellStyle name="常规 2 8" xfId="21"/>
    <cellStyle name="常规 2 8 10" xfId="3300"/>
    <cellStyle name="常规 2 8 11" xfId="3643"/>
    <cellStyle name="常规 2 8 2" xfId="38"/>
    <cellStyle name="常规 2 8 2 10" xfId="2860"/>
    <cellStyle name="常规 2 8 2 11" xfId="3203"/>
    <cellStyle name="常规 2 8 2 12" xfId="3546"/>
    <cellStyle name="常规 2 8 2 2" xfId="42"/>
    <cellStyle name="常规 2 8 2 2 10" xfId="3561"/>
    <cellStyle name="常规 2 8 2 2 2" xfId="819"/>
    <cellStyle name="常规 2 8 2 2 3" xfId="1162"/>
    <cellStyle name="常规 2 8 2 2 4" xfId="1504"/>
    <cellStyle name="常规 2 8 2 2 5" xfId="1847"/>
    <cellStyle name="常规 2 8 2 2 6" xfId="2190"/>
    <cellStyle name="常规 2 8 2 2 7" xfId="2533"/>
    <cellStyle name="常规 2 8 2 2 8" xfId="2875"/>
    <cellStyle name="常规 2 8 2 2 9" xfId="3218"/>
    <cellStyle name="常规 2 8 2 3" xfId="177"/>
    <cellStyle name="常规 2 8 2 3 10" xfId="3403"/>
    <cellStyle name="常规 2 8 2 3 2" xfId="660"/>
    <cellStyle name="常规 2 8 2 3 3" xfId="1003"/>
    <cellStyle name="常规 2 8 2 3 4" xfId="1346"/>
    <cellStyle name="常规 2 8 2 3 5" xfId="1689"/>
    <cellStyle name="常规 2 8 2 3 6" xfId="2031"/>
    <cellStyle name="常规 2 8 2 3 7" xfId="2374"/>
    <cellStyle name="常规 2 8 2 3 8" xfId="2717"/>
    <cellStyle name="常规 2 8 2 3 9" xfId="3060"/>
    <cellStyle name="常规 2 8 2 4" xfId="804"/>
    <cellStyle name="常规 2 8 2 5" xfId="1147"/>
    <cellStyle name="常规 2 8 2 6" xfId="1489"/>
    <cellStyle name="常规 2 8 2 7" xfId="1832"/>
    <cellStyle name="常规 2 8 2 8" xfId="2175"/>
    <cellStyle name="常规 2 8 2 9" xfId="2518"/>
    <cellStyle name="常规 2 8 3" xfId="902"/>
    <cellStyle name="常规 2 8 4" xfId="1245"/>
    <cellStyle name="常规 2 8 5" xfId="1586"/>
    <cellStyle name="常规 2 8 6" xfId="1929"/>
    <cellStyle name="常规 2 8 7" xfId="2273"/>
    <cellStyle name="常规 2 8 8" xfId="2616"/>
    <cellStyle name="常规 2 8 9" xfId="2957"/>
    <cellStyle name="常规 2 9" xfId="23"/>
    <cellStyle name="常规 2 9 10" xfId="144"/>
    <cellStyle name="常规 2 9 10 10" xfId="3571"/>
    <cellStyle name="常规 2 9 10 2" xfId="829"/>
    <cellStyle name="常规 2 9 10 3" xfId="1172"/>
    <cellStyle name="常规 2 9 10 4" xfId="1514"/>
    <cellStyle name="常规 2 9 10 5" xfId="1857"/>
    <cellStyle name="常规 2 9 10 6" xfId="2200"/>
    <cellStyle name="常规 2 9 10 7" xfId="2543"/>
    <cellStyle name="常规 2 9 10 8" xfId="2885"/>
    <cellStyle name="常规 2 9 10 9" xfId="3228"/>
    <cellStyle name="常规 2 9 11" xfId="146"/>
    <cellStyle name="常规 2 9 11 10" xfId="3233"/>
    <cellStyle name="常规 2 9 11 11" xfId="3576"/>
    <cellStyle name="常规 2 9 11 2" xfId="407"/>
    <cellStyle name="常规 2 9 11 3" xfId="834"/>
    <cellStyle name="常规 2 9 11 4" xfId="1177"/>
    <cellStyle name="常规 2 9 11 5" xfId="1519"/>
    <cellStyle name="常规 2 9 11 6" xfId="1862"/>
    <cellStyle name="常规 2 9 11 7" xfId="2205"/>
    <cellStyle name="常规 2 9 11 8" xfId="2548"/>
    <cellStyle name="常规 2 9 11 9" xfId="2890"/>
    <cellStyle name="常规 2 9 12" xfId="799"/>
    <cellStyle name="常规 2 9 13" xfId="1142"/>
    <cellStyle name="常规 2 9 14" xfId="1484"/>
    <cellStyle name="常规 2 9 15" xfId="1827"/>
    <cellStyle name="常规 2 9 16" xfId="2170"/>
    <cellStyle name="常规 2 9 17" xfId="2513"/>
    <cellStyle name="常规 2 9 18" xfId="2855"/>
    <cellStyle name="常规 2 9 19" xfId="3198"/>
    <cellStyle name="常规 2 9 2" xfId="69"/>
    <cellStyle name="常规 2 9 2 10" xfId="2577"/>
    <cellStyle name="常规 2 9 2 11" xfId="2919"/>
    <cellStyle name="常规 2 9 2 12" xfId="3262"/>
    <cellStyle name="常规 2 9 2 13" xfId="3605"/>
    <cellStyle name="常规 2 9 2 2" xfId="78"/>
    <cellStyle name="常规 2 9 2 2 10" xfId="3600"/>
    <cellStyle name="常规 2 9 2 2 2" xfId="858"/>
    <cellStyle name="常规 2 9 2 2 3" xfId="1201"/>
    <cellStyle name="常规 2 9 2 2 4" xfId="1543"/>
    <cellStyle name="常规 2 9 2 2 5" xfId="1886"/>
    <cellStyle name="常规 2 9 2 2 6" xfId="2229"/>
    <cellStyle name="常规 2 9 2 2 7" xfId="2572"/>
    <cellStyle name="常规 2 9 2 2 8" xfId="2914"/>
    <cellStyle name="常规 2 9 2 2 9" xfId="3257"/>
    <cellStyle name="常规 2 9 2 3" xfId="147"/>
    <cellStyle name="常规 2 9 2 3 10" xfId="3574"/>
    <cellStyle name="常规 2 9 2 3 2" xfId="832"/>
    <cellStyle name="常规 2 9 2 3 3" xfId="1175"/>
    <cellStyle name="常规 2 9 2 3 4" xfId="1517"/>
    <cellStyle name="常规 2 9 2 3 5" xfId="1860"/>
    <cellStyle name="常规 2 9 2 3 6" xfId="2203"/>
    <cellStyle name="常规 2 9 2 3 7" xfId="2546"/>
    <cellStyle name="常规 2 9 2 3 8" xfId="2888"/>
    <cellStyle name="常规 2 9 2 3 9" xfId="3231"/>
    <cellStyle name="常规 2 9 2 4" xfId="366"/>
    <cellStyle name="常规 2 9 2 5" xfId="863"/>
    <cellStyle name="常规 2 9 2 6" xfId="1206"/>
    <cellStyle name="常规 2 9 2 7" xfId="1548"/>
    <cellStyle name="常规 2 9 2 8" xfId="1891"/>
    <cellStyle name="常规 2 9 2 9" xfId="2234"/>
    <cellStyle name="常规 2 9 20" xfId="3541"/>
    <cellStyle name="常规 2 9 3" xfId="88"/>
    <cellStyle name="常规 2 9 3 10" xfId="3597"/>
    <cellStyle name="常规 2 9 3 2" xfId="855"/>
    <cellStyle name="常规 2 9 3 3" xfId="1198"/>
    <cellStyle name="常规 2 9 3 4" xfId="1540"/>
    <cellStyle name="常规 2 9 3 5" xfId="1883"/>
    <cellStyle name="常规 2 9 3 6" xfId="2226"/>
    <cellStyle name="常规 2 9 3 7" xfId="2569"/>
    <cellStyle name="常规 2 9 3 8" xfId="2911"/>
    <cellStyle name="常规 2 9 3 9" xfId="3254"/>
    <cellStyle name="常规 2 9 4" xfId="96"/>
    <cellStyle name="常规 2 9 4 10" xfId="3392"/>
    <cellStyle name="常规 2 9 4 2" xfId="649"/>
    <cellStyle name="常规 2 9 4 3" xfId="992"/>
    <cellStyle name="常规 2 9 4 4" xfId="1335"/>
    <cellStyle name="常规 2 9 4 5" xfId="1678"/>
    <cellStyle name="常规 2 9 4 6" xfId="2020"/>
    <cellStyle name="常规 2 9 4 7" xfId="2363"/>
    <cellStyle name="常规 2 9 4 8" xfId="2706"/>
    <cellStyle name="常规 2 9 4 9" xfId="3049"/>
    <cellStyle name="常规 2 9 5" xfId="105"/>
    <cellStyle name="常规 2 9 5 10" xfId="3386"/>
    <cellStyle name="常规 2 9 5 2" xfId="643"/>
    <cellStyle name="常规 2 9 5 3" xfId="986"/>
    <cellStyle name="常规 2 9 5 4" xfId="1329"/>
    <cellStyle name="常规 2 9 5 5" xfId="1672"/>
    <cellStyle name="常规 2 9 5 6" xfId="2014"/>
    <cellStyle name="常规 2 9 5 7" xfId="2357"/>
    <cellStyle name="常规 2 9 5 8" xfId="2700"/>
    <cellStyle name="常规 2 9 5 9" xfId="3043"/>
    <cellStyle name="常规 2 9 6" xfId="114"/>
    <cellStyle name="常规 2 9 6 10" xfId="3439"/>
    <cellStyle name="常规 2 9 6 2" xfId="696"/>
    <cellStyle name="常规 2 9 6 3" xfId="1039"/>
    <cellStyle name="常规 2 9 6 4" xfId="1382"/>
    <cellStyle name="常规 2 9 6 5" xfId="1725"/>
    <cellStyle name="常规 2 9 6 6" xfId="2067"/>
    <cellStyle name="常规 2 9 6 7" xfId="2410"/>
    <cellStyle name="常规 2 9 6 8" xfId="2753"/>
    <cellStyle name="常规 2 9 6 9" xfId="3096"/>
    <cellStyle name="常规 2 9 7" xfId="123"/>
    <cellStyle name="常规 2 9 7 10" xfId="3433"/>
    <cellStyle name="常规 2 9 7 2" xfId="690"/>
    <cellStyle name="常规 2 9 7 3" xfId="1033"/>
    <cellStyle name="常规 2 9 7 4" xfId="1376"/>
    <cellStyle name="常规 2 9 7 5" xfId="1719"/>
    <cellStyle name="常规 2 9 7 6" xfId="2061"/>
    <cellStyle name="常规 2 9 7 7" xfId="2404"/>
    <cellStyle name="常规 2 9 7 8" xfId="2747"/>
    <cellStyle name="常规 2 9 7 9" xfId="3090"/>
    <cellStyle name="常规 2 9 8" xfId="132"/>
    <cellStyle name="常规 2 9 8 10" xfId="3580"/>
    <cellStyle name="常规 2 9 8 2" xfId="838"/>
    <cellStyle name="常规 2 9 8 3" xfId="1181"/>
    <cellStyle name="常规 2 9 8 4" xfId="1523"/>
    <cellStyle name="常规 2 9 8 5" xfId="1866"/>
    <cellStyle name="常规 2 9 8 6" xfId="2209"/>
    <cellStyle name="常规 2 9 8 7" xfId="2552"/>
    <cellStyle name="常规 2 9 8 8" xfId="2894"/>
    <cellStyle name="常规 2 9 8 9" xfId="3237"/>
    <cellStyle name="常规 2 9 9" xfId="140"/>
    <cellStyle name="常规 2 9 9 10" xfId="3575"/>
    <cellStyle name="常规 2 9 9 2" xfId="833"/>
    <cellStyle name="常规 2 9 9 3" xfId="1176"/>
    <cellStyle name="常规 2 9 9 4" xfId="1518"/>
    <cellStyle name="常规 2 9 9 5" xfId="1861"/>
    <cellStyle name="常规 2 9 9 6" xfId="2204"/>
    <cellStyle name="常规 2 9 9 7" xfId="2547"/>
    <cellStyle name="常规 2 9 9 8" xfId="2889"/>
    <cellStyle name="常规 2 9 9 9" xfId="3232"/>
    <cellStyle name="常规 20" xfId="869"/>
    <cellStyle name="常规 21" xfId="1212"/>
    <cellStyle name="常规 22" xfId="1598"/>
    <cellStyle name="常规 23" xfId="2969"/>
    <cellStyle name="常规 24" xfId="2240"/>
    <cellStyle name="常规 25" xfId="2583"/>
    <cellStyle name="常规 26" xfId="3312"/>
    <cellStyle name="常规 3" xfId="2"/>
    <cellStyle name="常规 3 10" xfId="117"/>
    <cellStyle name="常规 3 10 10" xfId="3073"/>
    <cellStyle name="常规 3 10 11" xfId="3416"/>
    <cellStyle name="常规 3 10 2" xfId="201"/>
    <cellStyle name="常规 3 10 2 10" xfId="3430"/>
    <cellStyle name="常规 3 10 2 2" xfId="687"/>
    <cellStyle name="常规 3 10 2 3" xfId="1030"/>
    <cellStyle name="常规 3 10 2 4" xfId="1373"/>
    <cellStyle name="常规 3 10 2 5" xfId="1716"/>
    <cellStyle name="常规 3 10 2 6" xfId="2058"/>
    <cellStyle name="常规 3 10 2 7" xfId="2401"/>
    <cellStyle name="常规 3 10 2 8" xfId="2744"/>
    <cellStyle name="常规 3 10 2 9" xfId="3087"/>
    <cellStyle name="常规 3 10 3" xfId="673"/>
    <cellStyle name="常规 3 10 4" xfId="1016"/>
    <cellStyle name="常规 3 10 5" xfId="1359"/>
    <cellStyle name="常规 3 10 6" xfId="1702"/>
    <cellStyle name="常规 3 10 7" xfId="2044"/>
    <cellStyle name="常规 3 10 8" xfId="2387"/>
    <cellStyle name="常规 3 10 9" xfId="2730"/>
    <cellStyle name="常规 3 11" xfId="126"/>
    <cellStyle name="常规 3 11 10" xfId="3069"/>
    <cellStyle name="常规 3 11 11" xfId="3412"/>
    <cellStyle name="常规 3 11 2" xfId="205"/>
    <cellStyle name="常规 3 11 2 10" xfId="3407"/>
    <cellStyle name="常规 3 11 2 2" xfId="664"/>
    <cellStyle name="常规 3 11 2 3" xfId="1007"/>
    <cellStyle name="常规 3 11 2 4" xfId="1350"/>
    <cellStyle name="常规 3 11 2 5" xfId="1693"/>
    <cellStyle name="常规 3 11 2 6" xfId="2035"/>
    <cellStyle name="常规 3 11 2 7" xfId="2378"/>
    <cellStyle name="常规 3 11 2 8" xfId="2721"/>
    <cellStyle name="常规 3 11 2 9" xfId="3064"/>
    <cellStyle name="常规 3 11 3" xfId="669"/>
    <cellStyle name="常规 3 11 4" xfId="1012"/>
    <cellStyle name="常规 3 11 5" xfId="1355"/>
    <cellStyle name="常规 3 11 6" xfId="1698"/>
    <cellStyle name="常规 3 11 7" xfId="2040"/>
    <cellStyle name="常规 3 11 8" xfId="2383"/>
    <cellStyle name="常规 3 11 9" xfId="2726"/>
    <cellStyle name="常规 3 12" xfId="73"/>
    <cellStyle name="常规 3 12 10" xfId="3173"/>
    <cellStyle name="常规 3 12 11" xfId="3516"/>
    <cellStyle name="常规 3 12 2" xfId="209"/>
    <cellStyle name="常规 3 12 2 10" xfId="3423"/>
    <cellStyle name="常规 3 12 2 2" xfId="680"/>
    <cellStyle name="常规 3 12 2 3" xfId="1023"/>
    <cellStyle name="常规 3 12 2 4" xfId="1366"/>
    <cellStyle name="常规 3 12 2 5" xfId="1709"/>
    <cellStyle name="常规 3 12 2 6" xfId="2051"/>
    <cellStyle name="常规 3 12 2 7" xfId="2394"/>
    <cellStyle name="常规 3 12 2 8" xfId="2737"/>
    <cellStyle name="常规 3 12 2 9" xfId="3080"/>
    <cellStyle name="常规 3 12 3" xfId="773"/>
    <cellStyle name="常规 3 12 4" xfId="1116"/>
    <cellStyle name="常规 3 12 5" xfId="1459"/>
    <cellStyle name="常规 3 12 6" xfId="1802"/>
    <cellStyle name="常规 3 12 7" xfId="2144"/>
    <cellStyle name="常规 3 12 8" xfId="2487"/>
    <cellStyle name="常规 3 12 9" xfId="2830"/>
    <cellStyle name="常规 3 13" xfId="331"/>
    <cellStyle name="常规 3 13 10" xfId="3161"/>
    <cellStyle name="常规 3 13 11" xfId="3504"/>
    <cellStyle name="常规 3 13 2" xfId="214"/>
    <cellStyle name="常规 3 13 2 10" xfId="3456"/>
    <cellStyle name="常规 3 13 2 2" xfId="713"/>
    <cellStyle name="常规 3 13 2 3" xfId="1056"/>
    <cellStyle name="常规 3 13 2 4" xfId="1399"/>
    <cellStyle name="常规 3 13 2 5" xfId="1742"/>
    <cellStyle name="常规 3 13 2 6" xfId="2084"/>
    <cellStyle name="常规 3 13 2 7" xfId="2427"/>
    <cellStyle name="常规 3 13 2 8" xfId="2770"/>
    <cellStyle name="常规 3 13 2 9" xfId="3113"/>
    <cellStyle name="常规 3 13 3" xfId="761"/>
    <cellStyle name="常规 3 13 4" xfId="1104"/>
    <cellStyle name="常规 3 13 5" xfId="1447"/>
    <cellStyle name="常规 3 13 6" xfId="1790"/>
    <cellStyle name="常规 3 13 7" xfId="2132"/>
    <cellStyle name="常规 3 13 8" xfId="2475"/>
    <cellStyle name="常规 3 13 9" xfId="2818"/>
    <cellStyle name="常规 3 14" xfId="219"/>
    <cellStyle name="常规 3 14 10" xfId="3332"/>
    <cellStyle name="常规 3 14 2" xfId="589"/>
    <cellStyle name="常规 3 14 3" xfId="932"/>
    <cellStyle name="常规 3 14 4" xfId="1275"/>
    <cellStyle name="常规 3 14 5" xfId="1618"/>
    <cellStyle name="常规 3 14 6" xfId="1960"/>
    <cellStyle name="常规 3 14 7" xfId="2303"/>
    <cellStyle name="常规 3 14 8" xfId="2646"/>
    <cellStyle name="常规 3 14 9" xfId="2989"/>
    <cellStyle name="常规 3 15" xfId="225"/>
    <cellStyle name="常规 3 15 10" xfId="3443"/>
    <cellStyle name="常规 3 15 2" xfId="700"/>
    <cellStyle name="常规 3 15 3" xfId="1043"/>
    <cellStyle name="常规 3 15 4" xfId="1386"/>
    <cellStyle name="常规 3 15 5" xfId="1729"/>
    <cellStyle name="常规 3 15 6" xfId="2071"/>
    <cellStyle name="常规 3 15 7" xfId="2414"/>
    <cellStyle name="常规 3 15 8" xfId="2757"/>
    <cellStyle name="常规 3 15 9" xfId="3100"/>
    <cellStyle name="常规 3 16" xfId="229"/>
    <cellStyle name="常规 3 16 10" xfId="3422"/>
    <cellStyle name="常规 3 16 2" xfId="679"/>
    <cellStyle name="常规 3 16 3" xfId="1022"/>
    <cellStyle name="常规 3 16 4" xfId="1365"/>
    <cellStyle name="常规 3 16 5" xfId="1708"/>
    <cellStyle name="常规 3 16 6" xfId="2050"/>
    <cellStyle name="常规 3 16 7" xfId="2393"/>
    <cellStyle name="常规 3 16 8" xfId="2736"/>
    <cellStyle name="常规 3 16 9" xfId="3079"/>
    <cellStyle name="常规 3 17" xfId="234"/>
    <cellStyle name="常规 3 17 10" xfId="3382"/>
    <cellStyle name="常规 3 17 2" xfId="639"/>
    <cellStyle name="常规 3 17 3" xfId="982"/>
    <cellStyle name="常规 3 17 4" xfId="1325"/>
    <cellStyle name="常规 3 17 5" xfId="1668"/>
    <cellStyle name="常规 3 17 6" xfId="2010"/>
    <cellStyle name="常规 3 17 7" xfId="2353"/>
    <cellStyle name="常规 3 17 8" xfId="2696"/>
    <cellStyle name="常规 3 17 9" xfId="3039"/>
    <cellStyle name="常规 3 18" xfId="241"/>
    <cellStyle name="常规 3 18 10" xfId="3370"/>
    <cellStyle name="常规 3 18 2" xfId="627"/>
    <cellStyle name="常规 3 18 3" xfId="970"/>
    <cellStyle name="常规 3 18 4" xfId="1313"/>
    <cellStyle name="常规 3 18 5" xfId="1656"/>
    <cellStyle name="常规 3 18 6" xfId="1998"/>
    <cellStyle name="常规 3 18 7" xfId="2341"/>
    <cellStyle name="常规 3 18 8" xfId="2684"/>
    <cellStyle name="常规 3 18 9" xfId="3027"/>
    <cellStyle name="常规 3 19" xfId="246"/>
    <cellStyle name="常规 3 19 10" xfId="3360"/>
    <cellStyle name="常规 3 19 2" xfId="617"/>
    <cellStyle name="常规 3 19 3" xfId="960"/>
    <cellStyle name="常规 3 19 4" xfId="1303"/>
    <cellStyle name="常规 3 19 5" xfId="1646"/>
    <cellStyle name="常规 3 19 6" xfId="1988"/>
    <cellStyle name="常规 3 19 7" xfId="2331"/>
    <cellStyle name="常规 3 19 8" xfId="2674"/>
    <cellStyle name="常规 3 19 9" xfId="3017"/>
    <cellStyle name="常规 3 2" xfId="5"/>
    <cellStyle name="常规 3 2 10" xfId="2621"/>
    <cellStyle name="常规 3 2 11" xfId="2962"/>
    <cellStyle name="常规 3 2 12" xfId="3305"/>
    <cellStyle name="常规 3 2 13" xfId="3648"/>
    <cellStyle name="常规 3 2 2" xfId="28"/>
    <cellStyle name="常规 3 2 2 10" xfId="3133"/>
    <cellStyle name="常规 3 2 2 11" xfId="3476"/>
    <cellStyle name="常规 3 2 2 2" xfId="167"/>
    <cellStyle name="常规 3 2 2 2 10" xfId="3325"/>
    <cellStyle name="常规 3 2 2 2 2" xfId="582"/>
    <cellStyle name="常规 3 2 2 2 3" xfId="925"/>
    <cellStyle name="常规 3 2 2 2 4" xfId="1268"/>
    <cellStyle name="常规 3 2 2 2 5" xfId="1611"/>
    <cellStyle name="常规 3 2 2 2 6" xfId="1953"/>
    <cellStyle name="常规 3 2 2 2 7" xfId="2296"/>
    <cellStyle name="常规 3 2 2 2 8" xfId="2639"/>
    <cellStyle name="常规 3 2 2 2 9" xfId="2982"/>
    <cellStyle name="常规 3 2 2 3" xfId="733"/>
    <cellStyle name="常规 3 2 2 4" xfId="1076"/>
    <cellStyle name="常规 3 2 2 5" xfId="1419"/>
    <cellStyle name="常规 3 2 2 6" xfId="1762"/>
    <cellStyle name="常规 3 2 2 7" xfId="2104"/>
    <cellStyle name="常规 3 2 2 8" xfId="2447"/>
    <cellStyle name="常规 3 2 2 9" xfId="2790"/>
    <cellStyle name="常规 3 2 3" xfId="58"/>
    <cellStyle name="常规 3 2 3 10" xfId="3266"/>
    <cellStyle name="常规 3 2 3 11" xfId="3609"/>
    <cellStyle name="常规 3 2 3 2" xfId="268"/>
    <cellStyle name="常规 3 2 3 2 10" xfId="3436"/>
    <cellStyle name="常规 3 2 3 2 2" xfId="693"/>
    <cellStyle name="常规 3 2 3 2 3" xfId="1036"/>
    <cellStyle name="常规 3 2 3 2 4" xfId="1379"/>
    <cellStyle name="常规 3 2 3 2 5" xfId="1722"/>
    <cellStyle name="常规 3 2 3 2 6" xfId="2064"/>
    <cellStyle name="常规 3 2 3 2 7" xfId="2407"/>
    <cellStyle name="常规 3 2 3 2 8" xfId="2750"/>
    <cellStyle name="常规 3 2 3 2 9" xfId="3093"/>
    <cellStyle name="常规 3 2 3 3" xfId="867"/>
    <cellStyle name="常规 3 2 3 4" xfId="1210"/>
    <cellStyle name="常规 3 2 3 5" xfId="1552"/>
    <cellStyle name="常规 3 2 3 6" xfId="1895"/>
    <cellStyle name="常规 3 2 3 7" xfId="2238"/>
    <cellStyle name="常规 3 2 3 8" xfId="2581"/>
    <cellStyle name="常规 3 2 3 9" xfId="2923"/>
    <cellStyle name="常规 3 2 4" xfId="152"/>
    <cellStyle name="常规 3 2 4 10" xfId="3567"/>
    <cellStyle name="常规 3 2 4 2" xfId="825"/>
    <cellStyle name="常规 3 2 4 3" xfId="1168"/>
    <cellStyle name="常规 3 2 4 4" xfId="1510"/>
    <cellStyle name="常规 3 2 4 5" xfId="1853"/>
    <cellStyle name="常规 3 2 4 6" xfId="2196"/>
    <cellStyle name="常规 3 2 4 7" xfId="2539"/>
    <cellStyle name="常规 3 2 4 8" xfId="2881"/>
    <cellStyle name="常规 3 2 4 9" xfId="3224"/>
    <cellStyle name="常规 3 2 5" xfId="907"/>
    <cellStyle name="常规 3 2 6" xfId="1250"/>
    <cellStyle name="常规 3 2 7" xfId="1591"/>
    <cellStyle name="常规 3 2 8" xfId="1934"/>
    <cellStyle name="常规 3 2 9" xfId="2278"/>
    <cellStyle name="常规 3 20" xfId="251"/>
    <cellStyle name="常规 3 20 10" xfId="3350"/>
    <cellStyle name="常规 3 20 2" xfId="607"/>
    <cellStyle name="常规 3 20 3" xfId="950"/>
    <cellStyle name="常规 3 20 4" xfId="1293"/>
    <cellStyle name="常规 3 20 5" xfId="1636"/>
    <cellStyle name="常规 3 20 6" xfId="1978"/>
    <cellStyle name="常规 3 20 7" xfId="2321"/>
    <cellStyle name="常规 3 20 8" xfId="2664"/>
    <cellStyle name="常规 3 20 9" xfId="3007"/>
    <cellStyle name="常规 3 21" xfId="256"/>
    <cellStyle name="常规 3 21 10" xfId="3340"/>
    <cellStyle name="常规 3 21 2" xfId="597"/>
    <cellStyle name="常规 3 21 3" xfId="940"/>
    <cellStyle name="常规 3 21 4" xfId="1283"/>
    <cellStyle name="常规 3 21 5" xfId="1626"/>
    <cellStyle name="常规 3 21 6" xfId="1968"/>
    <cellStyle name="常规 3 21 7" xfId="2311"/>
    <cellStyle name="常规 3 21 8" xfId="2654"/>
    <cellStyle name="常规 3 21 9" xfId="2997"/>
    <cellStyle name="常规 3 22" xfId="261"/>
    <cellStyle name="常规 3 22 10" xfId="3347"/>
    <cellStyle name="常规 3 22 2" xfId="604"/>
    <cellStyle name="常规 3 22 3" xfId="947"/>
    <cellStyle name="常规 3 22 4" xfId="1290"/>
    <cellStyle name="常规 3 22 5" xfId="1633"/>
    <cellStyle name="常规 3 22 6" xfId="1975"/>
    <cellStyle name="常规 3 22 7" xfId="2318"/>
    <cellStyle name="常规 3 22 8" xfId="2661"/>
    <cellStyle name="常规 3 22 9" xfId="3004"/>
    <cellStyle name="常规 3 23" xfId="284"/>
    <cellStyle name="常规 3 23 10" xfId="3402"/>
    <cellStyle name="常规 3 23 2" xfId="659"/>
    <cellStyle name="常规 3 23 3" xfId="1002"/>
    <cellStyle name="常规 3 23 4" xfId="1345"/>
    <cellStyle name="常规 3 23 5" xfId="1688"/>
    <cellStyle name="常规 3 23 6" xfId="2030"/>
    <cellStyle name="常规 3 23 7" xfId="2373"/>
    <cellStyle name="常规 3 23 8" xfId="2716"/>
    <cellStyle name="常规 3 23 9" xfId="3059"/>
    <cellStyle name="常规 3 24" xfId="289"/>
    <cellStyle name="常规 3 24 10" xfId="3556"/>
    <cellStyle name="常规 3 24 2" xfId="814"/>
    <cellStyle name="常规 3 24 3" xfId="1157"/>
    <cellStyle name="常规 3 24 4" xfId="1499"/>
    <cellStyle name="常规 3 24 5" xfId="1842"/>
    <cellStyle name="常规 3 24 6" xfId="2185"/>
    <cellStyle name="常规 3 24 7" xfId="2528"/>
    <cellStyle name="常规 3 24 8" xfId="2870"/>
    <cellStyle name="常规 3 24 9" xfId="3213"/>
    <cellStyle name="常规 3 25" xfId="294"/>
    <cellStyle name="常规 3 25 10" xfId="3506"/>
    <cellStyle name="常规 3 25 2" xfId="763"/>
    <cellStyle name="常规 3 25 3" xfId="1106"/>
    <cellStyle name="常规 3 25 4" xfId="1449"/>
    <cellStyle name="常规 3 25 5" xfId="1792"/>
    <cellStyle name="常规 3 25 6" xfId="2134"/>
    <cellStyle name="常规 3 25 7" xfId="2477"/>
    <cellStyle name="常规 3 25 8" xfId="2820"/>
    <cellStyle name="常规 3 25 9" xfId="3163"/>
    <cellStyle name="常规 3 26" xfId="301"/>
    <cellStyle name="常规 3 26 10" xfId="3385"/>
    <cellStyle name="常规 3 26 2" xfId="642"/>
    <cellStyle name="常规 3 26 3" xfId="985"/>
    <cellStyle name="常规 3 26 4" xfId="1328"/>
    <cellStyle name="常规 3 26 5" xfId="1671"/>
    <cellStyle name="常规 3 26 6" xfId="2013"/>
    <cellStyle name="常规 3 26 7" xfId="2356"/>
    <cellStyle name="常规 3 26 8" xfId="2699"/>
    <cellStyle name="常规 3 26 9" xfId="3042"/>
    <cellStyle name="常规 3 27" xfId="304"/>
    <cellStyle name="常规 3 27 10" xfId="3512"/>
    <cellStyle name="常规 3 27 2" xfId="769"/>
    <cellStyle name="常规 3 27 3" xfId="1112"/>
    <cellStyle name="常规 3 27 4" xfId="1455"/>
    <cellStyle name="常规 3 27 5" xfId="1798"/>
    <cellStyle name="常规 3 27 6" xfId="2140"/>
    <cellStyle name="常规 3 27 7" xfId="2483"/>
    <cellStyle name="常规 3 27 8" xfId="2826"/>
    <cellStyle name="常规 3 27 9" xfId="3169"/>
    <cellStyle name="常规 3 28" xfId="309"/>
    <cellStyle name="常规 3 28 10" xfId="3531"/>
    <cellStyle name="常规 3 28 2" xfId="789"/>
    <cellStyle name="常规 3 28 3" xfId="1132"/>
    <cellStyle name="常规 3 28 4" xfId="1474"/>
    <cellStyle name="常规 3 28 5" xfId="1817"/>
    <cellStyle name="常规 3 28 6" xfId="2160"/>
    <cellStyle name="常规 3 28 7" xfId="2503"/>
    <cellStyle name="常规 3 28 8" xfId="2845"/>
    <cellStyle name="常规 3 28 9" xfId="3188"/>
    <cellStyle name="常规 3 29" xfId="314"/>
    <cellStyle name="常规 3 29 10" xfId="3525"/>
    <cellStyle name="常规 3 29 2" xfId="783"/>
    <cellStyle name="常规 3 29 3" xfId="1126"/>
    <cellStyle name="常规 3 29 4" xfId="1468"/>
    <cellStyle name="常规 3 29 5" xfId="1811"/>
    <cellStyle name="常规 3 29 6" xfId="2154"/>
    <cellStyle name="常规 3 29 7" xfId="2497"/>
    <cellStyle name="常规 3 29 8" xfId="2839"/>
    <cellStyle name="常规 3 29 9" xfId="3182"/>
    <cellStyle name="常规 3 3" xfId="18"/>
    <cellStyle name="常规 3 3 10" xfId="2500"/>
    <cellStyle name="常规 3 3 11" xfId="2842"/>
    <cellStyle name="常规 3 3 12" xfId="3185"/>
    <cellStyle name="常规 3 3 13" xfId="3528"/>
    <cellStyle name="常规 3 3 2" xfId="36"/>
    <cellStyle name="常规 3 3 2 10" xfId="3216"/>
    <cellStyle name="常规 3 3 2 11" xfId="3559"/>
    <cellStyle name="常规 3 3 2 2" xfId="175"/>
    <cellStyle name="常规 3 3 2 2 10" xfId="3321"/>
    <cellStyle name="常规 3 3 2 2 2" xfId="578"/>
    <cellStyle name="常规 3 3 2 2 3" xfId="921"/>
    <cellStyle name="常规 3 3 2 2 4" xfId="1264"/>
    <cellStyle name="常规 3 3 2 2 5" xfId="1607"/>
    <cellStyle name="常规 3 3 2 2 6" xfId="1949"/>
    <cellStyle name="常规 3 3 2 2 7" xfId="2292"/>
    <cellStyle name="常规 3 3 2 2 8" xfId="2635"/>
    <cellStyle name="常规 3 3 2 2 9" xfId="2978"/>
    <cellStyle name="常规 3 3 2 3" xfId="817"/>
    <cellStyle name="常规 3 3 2 4" xfId="1160"/>
    <cellStyle name="常规 3 3 2 5" xfId="1502"/>
    <cellStyle name="常规 3 3 2 6" xfId="1845"/>
    <cellStyle name="常规 3 3 2 7" xfId="2188"/>
    <cellStyle name="常规 3 3 2 8" xfId="2531"/>
    <cellStyle name="常规 3 3 2 9" xfId="2873"/>
    <cellStyle name="常规 3 3 3" xfId="71"/>
    <cellStyle name="常规 3 3 3 10" xfId="3265"/>
    <cellStyle name="常规 3 3 3 11" xfId="3608"/>
    <cellStyle name="常规 3 3 3 2" xfId="273"/>
    <cellStyle name="常规 3 3 3 2 10" xfId="3557"/>
    <cellStyle name="常规 3 3 3 2 2" xfId="815"/>
    <cellStyle name="常规 3 3 3 2 3" xfId="1158"/>
    <cellStyle name="常规 3 3 3 2 4" xfId="1500"/>
    <cellStyle name="常规 3 3 3 2 5" xfId="1843"/>
    <cellStyle name="常规 3 3 3 2 6" xfId="2186"/>
    <cellStyle name="常规 3 3 3 2 7" xfId="2529"/>
    <cellStyle name="常规 3 3 3 2 8" xfId="2871"/>
    <cellStyle name="常规 3 3 3 2 9" xfId="3214"/>
    <cellStyle name="常规 3 3 3 3" xfId="866"/>
    <cellStyle name="常规 3 3 3 4" xfId="1209"/>
    <cellStyle name="常规 3 3 3 5" xfId="1551"/>
    <cellStyle name="常规 3 3 3 6" xfId="1894"/>
    <cellStyle name="常规 3 3 3 7" xfId="2237"/>
    <cellStyle name="常规 3 3 3 8" xfId="2580"/>
    <cellStyle name="常规 3 3 3 9" xfId="2922"/>
    <cellStyle name="常规 3 3 4" xfId="160"/>
    <cellStyle name="常规 3 3 4 10" xfId="3558"/>
    <cellStyle name="常规 3 3 4 2" xfId="816"/>
    <cellStyle name="常规 3 3 4 3" xfId="1159"/>
    <cellStyle name="常规 3 3 4 4" xfId="1501"/>
    <cellStyle name="常规 3 3 4 5" xfId="1844"/>
    <cellStyle name="常规 3 3 4 6" xfId="2187"/>
    <cellStyle name="常规 3 3 4 7" xfId="2530"/>
    <cellStyle name="常规 3 3 4 8" xfId="2872"/>
    <cellStyle name="常规 3 3 4 9" xfId="3215"/>
    <cellStyle name="常规 3 3 5" xfId="786"/>
    <cellStyle name="常规 3 3 6" xfId="1129"/>
    <cellStyle name="常规 3 3 7" xfId="1471"/>
    <cellStyle name="常规 3 3 8" xfId="1814"/>
    <cellStyle name="常规 3 3 9" xfId="2157"/>
    <cellStyle name="常规 3 30" xfId="319"/>
    <cellStyle name="常规 3 30 10" xfId="3518"/>
    <cellStyle name="常规 3 30 2" xfId="775"/>
    <cellStyle name="常规 3 30 3" xfId="1118"/>
    <cellStyle name="常规 3 30 4" xfId="1461"/>
    <cellStyle name="常规 3 30 5" xfId="1804"/>
    <cellStyle name="常规 3 30 6" xfId="2146"/>
    <cellStyle name="常规 3 30 7" xfId="2489"/>
    <cellStyle name="常规 3 30 8" xfId="2832"/>
    <cellStyle name="常规 3 30 9" xfId="3175"/>
    <cellStyle name="常规 3 31" xfId="324"/>
    <cellStyle name="常规 3 31 10" xfId="3511"/>
    <cellStyle name="常规 3 31 2" xfId="768"/>
    <cellStyle name="常规 3 31 3" xfId="1111"/>
    <cellStyle name="常规 3 31 4" xfId="1454"/>
    <cellStyle name="常规 3 31 5" xfId="1797"/>
    <cellStyle name="常规 3 31 6" xfId="2139"/>
    <cellStyle name="常规 3 31 7" xfId="2482"/>
    <cellStyle name="常规 3 31 8" xfId="2825"/>
    <cellStyle name="常规 3 31 9" xfId="3168"/>
    <cellStyle name="常规 3 32" xfId="332"/>
    <cellStyle name="常规 3 32 10" xfId="3503"/>
    <cellStyle name="常规 3 32 2" xfId="760"/>
    <cellStyle name="常规 3 32 3" xfId="1103"/>
    <cellStyle name="常规 3 32 4" xfId="1446"/>
    <cellStyle name="常规 3 32 5" xfId="1789"/>
    <cellStyle name="常规 3 32 6" xfId="2131"/>
    <cellStyle name="常规 3 32 7" xfId="2474"/>
    <cellStyle name="常规 3 32 8" xfId="2817"/>
    <cellStyle name="常规 3 32 9" xfId="3160"/>
    <cellStyle name="常规 3 33" xfId="335"/>
    <cellStyle name="常规 3 33 10" xfId="3500"/>
    <cellStyle name="常规 3 33 2" xfId="757"/>
    <cellStyle name="常规 3 33 3" xfId="1100"/>
    <cellStyle name="常规 3 33 4" xfId="1443"/>
    <cellStyle name="常规 3 33 5" xfId="1786"/>
    <cellStyle name="常规 3 33 6" xfId="2128"/>
    <cellStyle name="常规 3 33 7" xfId="2471"/>
    <cellStyle name="常规 3 33 8" xfId="2814"/>
    <cellStyle name="常规 3 33 9" xfId="3157"/>
    <cellStyle name="常规 3 34" xfId="340"/>
    <cellStyle name="常规 3 34 10" xfId="3491"/>
    <cellStyle name="常规 3 34 2" xfId="748"/>
    <cellStyle name="常规 3 34 3" xfId="1091"/>
    <cellStyle name="常规 3 34 4" xfId="1434"/>
    <cellStyle name="常规 3 34 5" xfId="1777"/>
    <cellStyle name="常规 3 34 6" xfId="2119"/>
    <cellStyle name="常规 3 34 7" xfId="2462"/>
    <cellStyle name="常规 3 34 8" xfId="2805"/>
    <cellStyle name="常规 3 34 9" xfId="3148"/>
    <cellStyle name="常规 3 35" xfId="345"/>
    <cellStyle name="常规 3 35 10" xfId="3479"/>
    <cellStyle name="常规 3 35 2" xfId="736"/>
    <cellStyle name="常规 3 35 3" xfId="1079"/>
    <cellStyle name="常规 3 35 4" xfId="1422"/>
    <cellStyle name="常规 3 35 5" xfId="1765"/>
    <cellStyle name="常规 3 35 6" xfId="2107"/>
    <cellStyle name="常规 3 35 7" xfId="2450"/>
    <cellStyle name="常规 3 35 8" xfId="2793"/>
    <cellStyle name="常规 3 35 9" xfId="3136"/>
    <cellStyle name="常规 3 36" xfId="351"/>
    <cellStyle name="常规 3 37" xfId="355"/>
    <cellStyle name="常规 3 38" xfId="410"/>
    <cellStyle name="常规 3 39" xfId="421"/>
    <cellStyle name="常规 3 4" xfId="25"/>
    <cellStyle name="常规 3 4 10" xfId="2955"/>
    <cellStyle name="常规 3 4 11" xfId="3298"/>
    <cellStyle name="常规 3 4 12" xfId="3641"/>
    <cellStyle name="常规 3 4 2" xfId="40"/>
    <cellStyle name="常规 3 4 2 10" xfId="3286"/>
    <cellStyle name="常规 3 4 2 11" xfId="3629"/>
    <cellStyle name="常规 3 4 2 2" xfId="178"/>
    <cellStyle name="常规 3 4 2 2 10" xfId="3396"/>
    <cellStyle name="常规 3 4 2 2 2" xfId="653"/>
    <cellStyle name="常规 3 4 2 2 3" xfId="996"/>
    <cellStyle name="常规 3 4 2 2 4" xfId="1339"/>
    <cellStyle name="常规 3 4 2 2 5" xfId="1682"/>
    <cellStyle name="常规 3 4 2 2 6" xfId="2024"/>
    <cellStyle name="常规 3 4 2 2 7" xfId="2367"/>
    <cellStyle name="常规 3 4 2 2 8" xfId="2710"/>
    <cellStyle name="常规 3 4 2 2 9" xfId="3053"/>
    <cellStyle name="常规 3 4 2 3" xfId="888"/>
    <cellStyle name="常规 3 4 2 4" xfId="1231"/>
    <cellStyle name="常规 3 4 2 5" xfId="1572"/>
    <cellStyle name="常规 3 4 2 6" xfId="1915"/>
    <cellStyle name="常规 3 4 2 7" xfId="2259"/>
    <cellStyle name="常规 3 4 2 8" xfId="2602"/>
    <cellStyle name="常规 3 4 2 9" xfId="2943"/>
    <cellStyle name="常规 3 4 3" xfId="81"/>
    <cellStyle name="常规 3 4 3 10" xfId="3255"/>
    <cellStyle name="常规 3 4 3 11" xfId="3598"/>
    <cellStyle name="常规 3 4 3 2" xfId="371"/>
    <cellStyle name="常规 3 4 3 3" xfId="856"/>
    <cellStyle name="常规 3 4 3 4" xfId="1199"/>
    <cellStyle name="常规 3 4 3 5" xfId="1541"/>
    <cellStyle name="常规 3 4 3 6" xfId="1884"/>
    <cellStyle name="常规 3 4 3 7" xfId="2227"/>
    <cellStyle name="常规 3 4 3 8" xfId="2570"/>
    <cellStyle name="常规 3 4 3 9" xfId="2912"/>
    <cellStyle name="常规 3 4 4" xfId="900"/>
    <cellStyle name="常规 3 4 5" xfId="1243"/>
    <cellStyle name="常规 3 4 6" xfId="1584"/>
    <cellStyle name="常规 3 4 7" xfId="1927"/>
    <cellStyle name="常规 3 4 8" xfId="2271"/>
    <cellStyle name="常规 3 4 9" xfId="2614"/>
    <cellStyle name="常规 3 40" xfId="432"/>
    <cellStyle name="常规 3 41" xfId="437"/>
    <cellStyle name="常规 3 42" xfId="454"/>
    <cellStyle name="常规 3 43" xfId="460"/>
    <cellStyle name="常规 3 44" xfId="456"/>
    <cellStyle name="常规 3 45" xfId="487"/>
    <cellStyle name="常规 3 46" xfId="498"/>
    <cellStyle name="常规 3 47" xfId="509"/>
    <cellStyle name="常规 3 48" xfId="543"/>
    <cellStyle name="常规 3 49" xfId="550"/>
    <cellStyle name="常规 3 5" xfId="48"/>
    <cellStyle name="常规 3 5 10" xfId="3280"/>
    <cellStyle name="常规 3 5 11" xfId="3623"/>
    <cellStyle name="常规 3 5 2" xfId="181"/>
    <cellStyle name="常规 3 5 2 10" xfId="3379"/>
    <cellStyle name="常规 3 5 2 2" xfId="636"/>
    <cellStyle name="常规 3 5 2 3" xfId="979"/>
    <cellStyle name="常规 3 5 2 4" xfId="1322"/>
    <cellStyle name="常规 3 5 2 5" xfId="1665"/>
    <cellStyle name="常规 3 5 2 6" xfId="2007"/>
    <cellStyle name="常规 3 5 2 7" xfId="2350"/>
    <cellStyle name="常规 3 5 2 8" xfId="2693"/>
    <cellStyle name="常规 3 5 2 9" xfId="3036"/>
    <cellStyle name="常规 3 5 3" xfId="882"/>
    <cellStyle name="常规 3 5 4" xfId="1225"/>
    <cellStyle name="常规 3 5 5" xfId="1566"/>
    <cellStyle name="常规 3 5 6" xfId="1909"/>
    <cellStyle name="常规 3 5 7" xfId="2253"/>
    <cellStyle name="常规 3 5 8" xfId="2596"/>
    <cellStyle name="常规 3 5 9" xfId="2937"/>
    <cellStyle name="常规 3 50" xfId="548"/>
    <cellStyle name="常规 3 51" xfId="557"/>
    <cellStyle name="常规 3 52" xfId="523"/>
    <cellStyle name="常规 3 53" xfId="547"/>
    <cellStyle name="常规 3 54" xfId="562"/>
    <cellStyle name="常规 3 55" xfId="912"/>
    <cellStyle name="常规 3 56" xfId="1255"/>
    <cellStyle name="常规 3 57" xfId="1596"/>
    <cellStyle name="常规 3 58" xfId="1939"/>
    <cellStyle name="常规 3 59" xfId="2283"/>
    <cellStyle name="常规 3 6" xfId="84"/>
    <cellStyle name="常规 3 6 10" xfId="3258"/>
    <cellStyle name="常规 3 6 11" xfId="3601"/>
    <cellStyle name="常规 3 6 2" xfId="185"/>
    <cellStyle name="常规 3 6 2 10" xfId="3371"/>
    <cellStyle name="常规 3 6 2 2" xfId="628"/>
    <cellStyle name="常规 3 6 2 3" xfId="971"/>
    <cellStyle name="常规 3 6 2 4" xfId="1314"/>
    <cellStyle name="常规 3 6 2 5" xfId="1657"/>
    <cellStyle name="常规 3 6 2 6" xfId="1999"/>
    <cellStyle name="常规 3 6 2 7" xfId="2342"/>
    <cellStyle name="常规 3 6 2 8" xfId="2685"/>
    <cellStyle name="常规 3 6 2 9" xfId="3028"/>
    <cellStyle name="常规 3 6 3" xfId="859"/>
    <cellStyle name="常规 3 6 4" xfId="1202"/>
    <cellStyle name="常规 3 6 5" xfId="1544"/>
    <cellStyle name="常规 3 6 6" xfId="1887"/>
    <cellStyle name="常规 3 6 7" xfId="2230"/>
    <cellStyle name="常规 3 6 8" xfId="2573"/>
    <cellStyle name="常规 3 6 9" xfId="2915"/>
    <cellStyle name="常规 3 60" xfId="2626"/>
    <cellStyle name="常规 3 61" xfId="2967"/>
    <cellStyle name="常规 3 62" xfId="3310"/>
    <cellStyle name="常规 3 63" xfId="3653"/>
    <cellStyle name="常规 3 7" xfId="90"/>
    <cellStyle name="常规 3 7 10" xfId="3250"/>
    <cellStyle name="常规 3 7 11" xfId="3593"/>
    <cellStyle name="常规 3 7 2" xfId="189"/>
    <cellStyle name="常规 3 7 2 10" xfId="3365"/>
    <cellStyle name="常规 3 7 2 2" xfId="622"/>
    <cellStyle name="常规 3 7 2 3" xfId="965"/>
    <cellStyle name="常规 3 7 2 4" xfId="1308"/>
    <cellStyle name="常规 3 7 2 5" xfId="1651"/>
    <cellStyle name="常规 3 7 2 6" xfId="1993"/>
    <cellStyle name="常规 3 7 2 7" xfId="2336"/>
    <cellStyle name="常规 3 7 2 8" xfId="2679"/>
    <cellStyle name="常规 3 7 2 9" xfId="3022"/>
    <cellStyle name="常规 3 7 3" xfId="851"/>
    <cellStyle name="常规 3 7 4" xfId="1194"/>
    <cellStyle name="常规 3 7 5" xfId="1536"/>
    <cellStyle name="常规 3 7 6" xfId="1879"/>
    <cellStyle name="常规 3 7 7" xfId="2222"/>
    <cellStyle name="常规 3 7 8" xfId="2565"/>
    <cellStyle name="常规 3 7 9" xfId="2907"/>
    <cellStyle name="常规 3 8" xfId="99"/>
    <cellStyle name="常规 3 8 10" xfId="3046"/>
    <cellStyle name="常规 3 8 11" xfId="3389"/>
    <cellStyle name="常规 3 8 2" xfId="193"/>
    <cellStyle name="常规 3 8 2 10" xfId="3357"/>
    <cellStyle name="常规 3 8 2 2" xfId="614"/>
    <cellStyle name="常规 3 8 2 3" xfId="957"/>
    <cellStyle name="常规 3 8 2 4" xfId="1300"/>
    <cellStyle name="常规 3 8 2 5" xfId="1643"/>
    <cellStyle name="常规 3 8 2 6" xfId="1985"/>
    <cellStyle name="常规 3 8 2 7" xfId="2328"/>
    <cellStyle name="常规 3 8 2 8" xfId="2671"/>
    <cellStyle name="常规 3 8 2 9" xfId="3014"/>
    <cellStyle name="常规 3 8 3" xfId="646"/>
    <cellStyle name="常规 3 8 4" xfId="989"/>
    <cellStyle name="常规 3 8 5" xfId="1332"/>
    <cellStyle name="常规 3 8 6" xfId="1675"/>
    <cellStyle name="常规 3 8 7" xfId="2017"/>
    <cellStyle name="常规 3 8 8" xfId="2360"/>
    <cellStyle name="常规 3 8 9" xfId="2703"/>
    <cellStyle name="常规 3 9" xfId="108"/>
    <cellStyle name="常规 3 9 10" xfId="3051"/>
    <cellStyle name="常规 3 9 11" xfId="3394"/>
    <cellStyle name="常规 3 9 2" xfId="197"/>
    <cellStyle name="常规 3 9 2 10" xfId="3564"/>
    <cellStyle name="常规 3 9 2 2" xfId="822"/>
    <cellStyle name="常规 3 9 2 3" xfId="1165"/>
    <cellStyle name="常规 3 9 2 4" xfId="1507"/>
    <cellStyle name="常规 3 9 2 5" xfId="1850"/>
    <cellStyle name="常规 3 9 2 6" xfId="2193"/>
    <cellStyle name="常规 3 9 2 7" xfId="2536"/>
    <cellStyle name="常规 3 9 2 8" xfId="2878"/>
    <cellStyle name="常规 3 9 2 9" xfId="3221"/>
    <cellStyle name="常规 3 9 3" xfId="651"/>
    <cellStyle name="常规 3 9 4" xfId="994"/>
    <cellStyle name="常规 3 9 5" xfId="1337"/>
    <cellStyle name="常规 3 9 6" xfId="1680"/>
    <cellStyle name="常规 3 9 7" xfId="2022"/>
    <cellStyle name="常规 3 9 8" xfId="2365"/>
    <cellStyle name="常规 3 9 9" xfId="2708"/>
    <cellStyle name="常规 4" xfId="7"/>
    <cellStyle name="常规 4 10" xfId="133"/>
    <cellStyle name="常规 4 10 10" xfId="3235"/>
    <cellStyle name="常规 4 10 11" xfId="3578"/>
    <cellStyle name="常规 4 10 2" xfId="398"/>
    <cellStyle name="常规 4 10 3" xfId="836"/>
    <cellStyle name="常规 4 10 4" xfId="1179"/>
    <cellStyle name="常规 4 10 5" xfId="1521"/>
    <cellStyle name="常规 4 10 6" xfId="1864"/>
    <cellStyle name="常规 4 10 7" xfId="2207"/>
    <cellStyle name="常规 4 10 8" xfId="2550"/>
    <cellStyle name="常规 4 10 9" xfId="2892"/>
    <cellStyle name="常规 4 11" xfId="80"/>
    <cellStyle name="常规 4 11 10" xfId="3141"/>
    <cellStyle name="常规 4 11 11" xfId="3484"/>
    <cellStyle name="常规 4 11 2" xfId="370"/>
    <cellStyle name="常规 4 11 3" xfId="741"/>
    <cellStyle name="常规 4 11 4" xfId="1084"/>
    <cellStyle name="常规 4 11 5" xfId="1427"/>
    <cellStyle name="常规 4 11 6" xfId="1770"/>
    <cellStyle name="常规 4 11 7" xfId="2112"/>
    <cellStyle name="常规 4 11 8" xfId="2455"/>
    <cellStyle name="常规 4 11 9" xfId="2798"/>
    <cellStyle name="常规 4 12" xfId="149"/>
    <cellStyle name="常规 4 12 10" xfId="3482"/>
    <cellStyle name="常规 4 12 2" xfId="739"/>
    <cellStyle name="常规 4 12 3" xfId="1082"/>
    <cellStyle name="常规 4 12 4" xfId="1425"/>
    <cellStyle name="常规 4 12 5" xfId="1768"/>
    <cellStyle name="常规 4 12 6" xfId="2110"/>
    <cellStyle name="常规 4 12 7" xfId="2453"/>
    <cellStyle name="常规 4 12 8" xfId="2796"/>
    <cellStyle name="常规 4 12 9" xfId="3139"/>
    <cellStyle name="常规 4 13" xfId="911"/>
    <cellStyle name="常规 4 14" xfId="1254"/>
    <cellStyle name="常规 4 15" xfId="1595"/>
    <cellStyle name="常规 4 16" xfId="1938"/>
    <cellStyle name="常规 4 17" xfId="2282"/>
    <cellStyle name="常规 4 18" xfId="2625"/>
    <cellStyle name="常规 4 19" xfId="2966"/>
    <cellStyle name="常规 4 2" xfId="15"/>
    <cellStyle name="常规 4 2 10" xfId="2620"/>
    <cellStyle name="常规 4 2 11" xfId="2961"/>
    <cellStyle name="常规 4 2 12" xfId="3304"/>
    <cellStyle name="常规 4 2 13" xfId="3647"/>
    <cellStyle name="常规 4 2 2" xfId="33"/>
    <cellStyle name="常规 4 2 2 10" xfId="3291"/>
    <cellStyle name="常规 4 2 2 11" xfId="3634"/>
    <cellStyle name="常规 4 2 2 2" xfId="172"/>
    <cellStyle name="常规 4 2 2 2 10" xfId="3438"/>
    <cellStyle name="常规 4 2 2 2 2" xfId="695"/>
    <cellStyle name="常规 4 2 2 2 3" xfId="1038"/>
    <cellStyle name="常规 4 2 2 2 4" xfId="1381"/>
    <cellStyle name="常规 4 2 2 2 5" xfId="1724"/>
    <cellStyle name="常规 4 2 2 2 6" xfId="2066"/>
    <cellStyle name="常规 4 2 2 2 7" xfId="2409"/>
    <cellStyle name="常规 4 2 2 2 8" xfId="2752"/>
    <cellStyle name="常规 4 2 2 2 9" xfId="3095"/>
    <cellStyle name="常规 4 2 2 3" xfId="893"/>
    <cellStyle name="常规 4 2 2 4" xfId="1236"/>
    <cellStyle name="常规 4 2 2 5" xfId="1577"/>
    <cellStyle name="常规 4 2 2 6" xfId="1920"/>
    <cellStyle name="常规 4 2 2 7" xfId="2264"/>
    <cellStyle name="常规 4 2 2 8" xfId="2607"/>
    <cellStyle name="常规 4 2 2 9" xfId="2948"/>
    <cellStyle name="常规 4 2 3" xfId="63"/>
    <cellStyle name="常规 4 2 3 10" xfId="3272"/>
    <cellStyle name="常规 4 2 3 11" xfId="3615"/>
    <cellStyle name="常规 4 2 3 2" xfId="270"/>
    <cellStyle name="常规 4 2 3 2 10" xfId="3419"/>
    <cellStyle name="常规 4 2 3 2 2" xfId="676"/>
    <cellStyle name="常规 4 2 3 2 3" xfId="1019"/>
    <cellStyle name="常规 4 2 3 2 4" xfId="1362"/>
    <cellStyle name="常规 4 2 3 2 5" xfId="1705"/>
    <cellStyle name="常规 4 2 3 2 6" xfId="2047"/>
    <cellStyle name="常规 4 2 3 2 7" xfId="2390"/>
    <cellStyle name="常规 4 2 3 2 8" xfId="2733"/>
    <cellStyle name="常规 4 2 3 2 9" xfId="3076"/>
    <cellStyle name="常规 4 2 3 3" xfId="874"/>
    <cellStyle name="常规 4 2 3 4" xfId="1217"/>
    <cellStyle name="常规 4 2 3 5" xfId="1558"/>
    <cellStyle name="常规 4 2 3 6" xfId="1901"/>
    <cellStyle name="常规 4 2 3 7" xfId="2245"/>
    <cellStyle name="常规 4 2 3 8" xfId="2588"/>
    <cellStyle name="常规 4 2 3 9" xfId="2929"/>
    <cellStyle name="常规 4 2 4" xfId="157"/>
    <cellStyle name="常规 4 2 4 10" xfId="3570"/>
    <cellStyle name="常规 4 2 4 2" xfId="828"/>
    <cellStyle name="常规 4 2 4 3" xfId="1171"/>
    <cellStyle name="常规 4 2 4 4" xfId="1513"/>
    <cellStyle name="常规 4 2 4 5" xfId="1856"/>
    <cellStyle name="常规 4 2 4 6" xfId="2199"/>
    <cellStyle name="常规 4 2 4 7" xfId="2542"/>
    <cellStyle name="常规 4 2 4 8" xfId="2884"/>
    <cellStyle name="常规 4 2 4 9" xfId="3227"/>
    <cellStyle name="常规 4 2 5" xfId="906"/>
    <cellStyle name="常规 4 2 6" xfId="1249"/>
    <cellStyle name="常规 4 2 7" xfId="1590"/>
    <cellStyle name="常规 4 2 8" xfId="1933"/>
    <cellStyle name="常规 4 2 9" xfId="2277"/>
    <cellStyle name="常规 4 20" xfId="3309"/>
    <cellStyle name="常规 4 21" xfId="3652"/>
    <cellStyle name="常规 4 3" xfId="12"/>
    <cellStyle name="常规 4 3 10" xfId="2622"/>
    <cellStyle name="常规 4 3 11" xfId="2963"/>
    <cellStyle name="常规 4 3 12" xfId="3306"/>
    <cellStyle name="常规 4 3 13" xfId="3649"/>
    <cellStyle name="常规 4 3 2" xfId="31"/>
    <cellStyle name="常规 4 3 2 10" xfId="3247"/>
    <cellStyle name="常规 4 3 2 11" xfId="3590"/>
    <cellStyle name="常规 4 3 2 2" xfId="170"/>
    <cellStyle name="常规 4 3 2 2 10" xfId="3451"/>
    <cellStyle name="常规 4 3 2 2 2" xfId="708"/>
    <cellStyle name="常规 4 3 2 2 3" xfId="1051"/>
    <cellStyle name="常规 4 3 2 2 4" xfId="1394"/>
    <cellStyle name="常规 4 3 2 2 5" xfId="1737"/>
    <cellStyle name="常规 4 3 2 2 6" xfId="2079"/>
    <cellStyle name="常规 4 3 2 2 7" xfId="2422"/>
    <cellStyle name="常规 4 3 2 2 8" xfId="2765"/>
    <cellStyle name="常规 4 3 2 2 9" xfId="3108"/>
    <cellStyle name="常规 4 3 2 3" xfId="848"/>
    <cellStyle name="常规 4 3 2 4" xfId="1191"/>
    <cellStyle name="常规 4 3 2 5" xfId="1533"/>
    <cellStyle name="常规 4 3 2 6" xfId="1876"/>
    <cellStyle name="常规 4 3 2 7" xfId="2219"/>
    <cellStyle name="常规 4 3 2 8" xfId="2562"/>
    <cellStyle name="常规 4 3 2 9" xfId="2904"/>
    <cellStyle name="常规 4 3 3" xfId="83"/>
    <cellStyle name="常规 4 3 3 10" xfId="3259"/>
    <cellStyle name="常规 4 3 3 11" xfId="3602"/>
    <cellStyle name="常规 4 3 3 2" xfId="267"/>
    <cellStyle name="常规 4 3 3 2 10" xfId="3447"/>
    <cellStyle name="常规 4 3 3 2 2" xfId="704"/>
    <cellStyle name="常规 4 3 3 2 3" xfId="1047"/>
    <cellStyle name="常规 4 3 3 2 4" xfId="1390"/>
    <cellStyle name="常规 4 3 3 2 5" xfId="1733"/>
    <cellStyle name="常规 4 3 3 2 6" xfId="2075"/>
    <cellStyle name="常规 4 3 3 2 7" xfId="2418"/>
    <cellStyle name="常规 4 3 3 2 8" xfId="2761"/>
    <cellStyle name="常规 4 3 3 2 9" xfId="3104"/>
    <cellStyle name="常规 4 3 3 3" xfId="860"/>
    <cellStyle name="常规 4 3 3 4" xfId="1203"/>
    <cellStyle name="常规 4 3 3 5" xfId="1545"/>
    <cellStyle name="常规 4 3 3 6" xfId="1888"/>
    <cellStyle name="常规 4 3 3 7" xfId="2231"/>
    <cellStyle name="常规 4 3 3 8" xfId="2574"/>
    <cellStyle name="常规 4 3 3 9" xfId="2916"/>
    <cellStyle name="常规 4 3 4" xfId="155"/>
    <cellStyle name="常规 4 3 4 10" xfId="3483"/>
    <cellStyle name="常规 4 3 4 2" xfId="740"/>
    <cellStyle name="常规 4 3 4 3" xfId="1083"/>
    <cellStyle name="常规 4 3 4 4" xfId="1426"/>
    <cellStyle name="常规 4 3 4 5" xfId="1769"/>
    <cellStyle name="常规 4 3 4 6" xfId="2111"/>
    <cellStyle name="常规 4 3 4 7" xfId="2454"/>
    <cellStyle name="常规 4 3 4 8" xfId="2797"/>
    <cellStyle name="常规 4 3 4 9" xfId="3140"/>
    <cellStyle name="常规 4 3 5" xfId="908"/>
    <cellStyle name="常规 4 3 6" xfId="1251"/>
    <cellStyle name="常规 4 3 7" xfId="1592"/>
    <cellStyle name="常规 4 3 8" xfId="1935"/>
    <cellStyle name="常规 4 3 9" xfId="2279"/>
    <cellStyle name="常规 4 4" xfId="24"/>
    <cellStyle name="常规 4 4 10" xfId="2956"/>
    <cellStyle name="常规 4 4 11" xfId="3299"/>
    <cellStyle name="常规 4 4 12" xfId="3642"/>
    <cellStyle name="常规 4 4 2" xfId="76"/>
    <cellStyle name="常规 4 4 2 10" xfId="3263"/>
    <cellStyle name="常规 4 4 2 11" xfId="3606"/>
    <cellStyle name="常规 4 4 2 2" xfId="276"/>
    <cellStyle name="常规 4 4 2 2 10" xfId="3335"/>
    <cellStyle name="常规 4 4 2 2 2" xfId="592"/>
    <cellStyle name="常规 4 4 2 2 3" xfId="935"/>
    <cellStyle name="常规 4 4 2 2 4" xfId="1278"/>
    <cellStyle name="常规 4 4 2 2 5" xfId="1621"/>
    <cellStyle name="常规 4 4 2 2 6" xfId="1963"/>
    <cellStyle name="常规 4 4 2 2 7" xfId="2306"/>
    <cellStyle name="常规 4 4 2 2 8" xfId="2649"/>
    <cellStyle name="常规 4 4 2 2 9" xfId="2992"/>
    <cellStyle name="常规 4 4 2 3" xfId="864"/>
    <cellStyle name="常规 4 4 2 4" xfId="1207"/>
    <cellStyle name="常规 4 4 2 5" xfId="1549"/>
    <cellStyle name="常规 4 4 2 6" xfId="1892"/>
    <cellStyle name="常规 4 4 2 7" xfId="2235"/>
    <cellStyle name="常规 4 4 2 8" xfId="2578"/>
    <cellStyle name="常规 4 4 2 9" xfId="2920"/>
    <cellStyle name="常规 4 4 3" xfId="164"/>
    <cellStyle name="常规 4 4 3 10" xfId="3331"/>
    <cellStyle name="常规 4 4 3 2" xfId="588"/>
    <cellStyle name="常规 4 4 3 3" xfId="931"/>
    <cellStyle name="常规 4 4 3 4" xfId="1274"/>
    <cellStyle name="常规 4 4 3 5" xfId="1617"/>
    <cellStyle name="常规 4 4 3 6" xfId="1959"/>
    <cellStyle name="常规 4 4 3 7" xfId="2302"/>
    <cellStyle name="常规 4 4 3 8" xfId="2645"/>
    <cellStyle name="常规 4 4 3 9" xfId="2988"/>
    <cellStyle name="常规 4 4 4" xfId="901"/>
    <cellStyle name="常规 4 4 5" xfId="1244"/>
    <cellStyle name="常规 4 4 6" xfId="1585"/>
    <cellStyle name="常规 4 4 7" xfId="1928"/>
    <cellStyle name="常规 4 4 8" xfId="2272"/>
    <cellStyle name="常规 4 4 9" xfId="2615"/>
    <cellStyle name="常规 4 5" xfId="49"/>
    <cellStyle name="常规 4 5 10" xfId="3279"/>
    <cellStyle name="常规 4 5 11" xfId="3622"/>
    <cellStyle name="常规 4 5 2" xfId="264"/>
    <cellStyle name="常规 4 5 2 10" xfId="3341"/>
    <cellStyle name="常规 4 5 2 2" xfId="598"/>
    <cellStyle name="常规 4 5 2 3" xfId="941"/>
    <cellStyle name="常规 4 5 2 4" xfId="1284"/>
    <cellStyle name="常规 4 5 2 5" xfId="1627"/>
    <cellStyle name="常规 4 5 2 6" xfId="1969"/>
    <cellStyle name="常规 4 5 2 7" xfId="2312"/>
    <cellStyle name="常规 4 5 2 8" xfId="2655"/>
    <cellStyle name="常规 4 5 2 9" xfId="2998"/>
    <cellStyle name="常规 4 5 3" xfId="881"/>
    <cellStyle name="常规 4 5 4" xfId="1224"/>
    <cellStyle name="常规 4 5 5" xfId="1565"/>
    <cellStyle name="常规 4 5 6" xfId="1908"/>
    <cellStyle name="常规 4 5 7" xfId="2252"/>
    <cellStyle name="常规 4 5 8" xfId="2595"/>
    <cellStyle name="常规 4 5 9" xfId="2936"/>
    <cellStyle name="常规 4 6" xfId="97"/>
    <cellStyle name="常规 4 6 10" xfId="3048"/>
    <cellStyle name="常规 4 6 11" xfId="3391"/>
    <cellStyle name="常规 4 6 2" xfId="378"/>
    <cellStyle name="常规 4 6 3" xfId="648"/>
    <cellStyle name="常规 4 6 4" xfId="991"/>
    <cellStyle name="常规 4 6 5" xfId="1334"/>
    <cellStyle name="常规 4 6 6" xfId="1677"/>
    <cellStyle name="常规 4 6 7" xfId="2019"/>
    <cellStyle name="常规 4 6 8" xfId="2362"/>
    <cellStyle name="常规 4 6 9" xfId="2705"/>
    <cellStyle name="常规 4 7" xfId="106"/>
    <cellStyle name="常规 4 7 10" xfId="3153"/>
    <cellStyle name="常规 4 7 11" xfId="3496"/>
    <cellStyle name="常规 4 7 2" xfId="383"/>
    <cellStyle name="常规 4 7 3" xfId="753"/>
    <cellStyle name="常规 4 7 4" xfId="1096"/>
    <cellStyle name="常规 4 7 5" xfId="1439"/>
    <cellStyle name="常规 4 7 6" xfId="1782"/>
    <cellStyle name="常规 4 7 7" xfId="2124"/>
    <cellStyle name="常规 4 7 8" xfId="2467"/>
    <cellStyle name="常规 4 7 9" xfId="2810"/>
    <cellStyle name="常规 4 8" xfId="115"/>
    <cellStyle name="常规 4 8 10" xfId="3089"/>
    <cellStyle name="常规 4 8 11" xfId="3432"/>
    <cellStyle name="常规 4 8 2" xfId="388"/>
    <cellStyle name="常规 4 8 3" xfId="689"/>
    <cellStyle name="常规 4 8 4" xfId="1032"/>
    <cellStyle name="常规 4 8 5" xfId="1375"/>
    <cellStyle name="常规 4 8 6" xfId="1718"/>
    <cellStyle name="常规 4 8 7" xfId="2060"/>
    <cellStyle name="常规 4 8 8" xfId="2403"/>
    <cellStyle name="常规 4 8 9" xfId="2746"/>
    <cellStyle name="常规 4 9" xfId="124"/>
    <cellStyle name="常规 4 9 10" xfId="3085"/>
    <cellStyle name="常规 4 9 11" xfId="3428"/>
    <cellStyle name="常规 4 9 2" xfId="393"/>
    <cellStyle name="常规 4 9 3" xfId="685"/>
    <cellStyle name="常规 4 9 4" xfId="1028"/>
    <cellStyle name="常规 4 9 5" xfId="1371"/>
    <cellStyle name="常规 4 9 6" xfId="1714"/>
    <cellStyle name="常规 4 9 7" xfId="2056"/>
    <cellStyle name="常规 4 9 8" xfId="2399"/>
    <cellStyle name="常规 4 9 9" xfId="2742"/>
    <cellStyle name="常规 5" xfId="10"/>
    <cellStyle name="常规 5 10" xfId="141"/>
    <cellStyle name="常规 5 10 10" xfId="3206"/>
    <cellStyle name="常规 5 10 11" xfId="3549"/>
    <cellStyle name="常规 5 10 2" xfId="403"/>
    <cellStyle name="常规 5 10 3" xfId="807"/>
    <cellStyle name="常规 5 10 4" xfId="1150"/>
    <cellStyle name="常规 5 10 5" xfId="1492"/>
    <cellStyle name="常规 5 10 6" xfId="1835"/>
    <cellStyle name="常规 5 10 7" xfId="2178"/>
    <cellStyle name="常规 5 10 8" xfId="2521"/>
    <cellStyle name="常规 5 10 9" xfId="2863"/>
    <cellStyle name="常规 5 11" xfId="70"/>
    <cellStyle name="常规 5 11 10" xfId="3260"/>
    <cellStyle name="常规 5 11 11" xfId="3603"/>
    <cellStyle name="常规 5 11 2" xfId="367"/>
    <cellStyle name="常规 5 11 3" xfId="861"/>
    <cellStyle name="常规 5 11 4" xfId="1204"/>
    <cellStyle name="常规 5 11 5" xfId="1546"/>
    <cellStyle name="常规 5 11 6" xfId="1889"/>
    <cellStyle name="常规 5 11 7" xfId="2232"/>
    <cellStyle name="常规 5 11 8" xfId="2575"/>
    <cellStyle name="常规 5 11 9" xfId="2917"/>
    <cellStyle name="常规 5 12" xfId="154"/>
    <cellStyle name="常规 5 12 10" xfId="3313"/>
    <cellStyle name="常规 5 12 2" xfId="570"/>
    <cellStyle name="常规 5 12 3" xfId="777"/>
    <cellStyle name="常规 5 12 4" xfId="1120"/>
    <cellStyle name="常规 5 12 5" xfId="1599"/>
    <cellStyle name="常规 5 12 6" xfId="1941"/>
    <cellStyle name="常规 5 12 7" xfId="2148"/>
    <cellStyle name="常规 5 12 8" xfId="2491"/>
    <cellStyle name="常规 5 12 9" xfId="2970"/>
    <cellStyle name="常规 5 13" xfId="890"/>
    <cellStyle name="常规 5 14" xfId="1233"/>
    <cellStyle name="常规 5 15" xfId="1574"/>
    <cellStyle name="常规 5 16" xfId="1917"/>
    <cellStyle name="常规 5 17" xfId="2261"/>
    <cellStyle name="常规 5 18" xfId="2604"/>
    <cellStyle name="常规 5 19" xfId="2945"/>
    <cellStyle name="常规 5 2" xfId="30"/>
    <cellStyle name="常规 5 2 10" xfId="2950"/>
    <cellStyle name="常规 5 2 11" xfId="3293"/>
    <cellStyle name="常规 5 2 12" xfId="3636"/>
    <cellStyle name="常规 5 2 2" xfId="65"/>
    <cellStyle name="常规 5 2 2 10" xfId="3268"/>
    <cellStyle name="常规 5 2 2 11" xfId="3611"/>
    <cellStyle name="常规 5 2 2 2" xfId="278"/>
    <cellStyle name="常规 5 2 2 2 10" xfId="3450"/>
    <cellStyle name="常规 5 2 2 2 2" xfId="707"/>
    <cellStyle name="常规 5 2 2 2 3" xfId="1050"/>
    <cellStyle name="常规 5 2 2 2 4" xfId="1393"/>
    <cellStyle name="常规 5 2 2 2 5" xfId="1736"/>
    <cellStyle name="常规 5 2 2 2 6" xfId="2078"/>
    <cellStyle name="常规 5 2 2 2 7" xfId="2421"/>
    <cellStyle name="常规 5 2 2 2 8" xfId="2764"/>
    <cellStyle name="常规 5 2 2 2 9" xfId="3107"/>
    <cellStyle name="常规 5 2 2 3" xfId="870"/>
    <cellStyle name="常规 5 2 2 4" xfId="1213"/>
    <cellStyle name="常规 5 2 2 5" xfId="1554"/>
    <cellStyle name="常规 5 2 2 6" xfId="1897"/>
    <cellStyle name="常规 5 2 2 7" xfId="2241"/>
    <cellStyle name="常规 5 2 2 8" xfId="2584"/>
    <cellStyle name="常规 5 2 2 9" xfId="2925"/>
    <cellStyle name="常规 5 2 3" xfId="169"/>
    <cellStyle name="常规 5 2 3 10" xfId="3459"/>
    <cellStyle name="常规 5 2 3 2" xfId="716"/>
    <cellStyle name="常规 5 2 3 3" xfId="1059"/>
    <cellStyle name="常规 5 2 3 4" xfId="1402"/>
    <cellStyle name="常规 5 2 3 5" xfId="1745"/>
    <cellStyle name="常规 5 2 3 6" xfId="2087"/>
    <cellStyle name="常规 5 2 3 7" xfId="2430"/>
    <cellStyle name="常规 5 2 3 8" xfId="2773"/>
    <cellStyle name="常规 5 2 3 9" xfId="3116"/>
    <cellStyle name="常规 5 2 4" xfId="895"/>
    <cellStyle name="常规 5 2 5" xfId="1238"/>
    <cellStyle name="常规 5 2 6" xfId="1579"/>
    <cellStyle name="常规 5 2 7" xfId="1922"/>
    <cellStyle name="常规 5 2 8" xfId="2266"/>
    <cellStyle name="常规 5 2 9" xfId="2609"/>
    <cellStyle name="常规 5 20" xfId="3288"/>
    <cellStyle name="常规 5 21" xfId="3631"/>
    <cellStyle name="常规 5 3" xfId="51"/>
    <cellStyle name="常规 5 3 10" xfId="3277"/>
    <cellStyle name="常规 5 3 11" xfId="3620"/>
    <cellStyle name="常规 5 3 2" xfId="266"/>
    <cellStyle name="常规 5 3 2 10" xfId="3449"/>
    <cellStyle name="常规 5 3 2 2" xfId="706"/>
    <cellStyle name="常规 5 3 2 3" xfId="1049"/>
    <cellStyle name="常规 5 3 2 4" xfId="1392"/>
    <cellStyle name="常规 5 3 2 5" xfId="1735"/>
    <cellStyle name="常规 5 3 2 6" xfId="2077"/>
    <cellStyle name="常规 5 3 2 7" xfId="2420"/>
    <cellStyle name="常规 5 3 2 8" xfId="2763"/>
    <cellStyle name="常规 5 3 2 9" xfId="3106"/>
    <cellStyle name="常规 5 3 3" xfId="879"/>
    <cellStyle name="常规 5 3 4" xfId="1222"/>
    <cellStyle name="常规 5 3 5" xfId="1563"/>
    <cellStyle name="常规 5 3 6" xfId="1906"/>
    <cellStyle name="常规 5 3 7" xfId="2250"/>
    <cellStyle name="常规 5 3 8" xfId="2593"/>
    <cellStyle name="常规 5 3 9" xfId="2934"/>
    <cellStyle name="常规 5 4" xfId="91"/>
    <cellStyle name="常规 5 4 10" xfId="3249"/>
    <cellStyle name="常规 5 4 11" xfId="3592"/>
    <cellStyle name="常规 5 4 2" xfId="375"/>
    <cellStyle name="常规 5 4 3" xfId="850"/>
    <cellStyle name="常规 5 4 4" xfId="1193"/>
    <cellStyle name="常规 5 4 5" xfId="1535"/>
    <cellStyle name="常规 5 4 6" xfId="1878"/>
    <cellStyle name="常规 5 4 7" xfId="2221"/>
    <cellStyle name="常规 5 4 8" xfId="2564"/>
    <cellStyle name="常规 5 4 9" xfId="2906"/>
    <cellStyle name="常规 5 5" xfId="100"/>
    <cellStyle name="常规 5 5 10" xfId="3045"/>
    <cellStyle name="常规 5 5 11" xfId="3388"/>
    <cellStyle name="常规 5 5 2" xfId="380"/>
    <cellStyle name="常规 5 5 3" xfId="645"/>
    <cellStyle name="常规 5 5 4" xfId="988"/>
    <cellStyle name="常规 5 5 5" xfId="1331"/>
    <cellStyle name="常规 5 5 6" xfId="1674"/>
    <cellStyle name="常规 5 5 7" xfId="2016"/>
    <cellStyle name="常规 5 5 8" xfId="2359"/>
    <cellStyle name="常规 5 5 9" xfId="2702"/>
    <cellStyle name="常规 5 6" xfId="109"/>
    <cellStyle name="常规 5 6 10" xfId="2974"/>
    <cellStyle name="常规 5 6 11" xfId="3317"/>
    <cellStyle name="常规 5 6 2" xfId="385"/>
    <cellStyle name="常规 5 6 3" xfId="574"/>
    <cellStyle name="常规 5 6 4" xfId="917"/>
    <cellStyle name="常规 5 6 5" xfId="1260"/>
    <cellStyle name="常规 5 6 6" xfId="1603"/>
    <cellStyle name="常规 5 6 7" xfId="1945"/>
    <cellStyle name="常规 5 6 8" xfId="2288"/>
    <cellStyle name="常规 5 6 9" xfId="2631"/>
    <cellStyle name="常规 5 7" xfId="118"/>
    <cellStyle name="常规 5 7 10" xfId="3063"/>
    <cellStyle name="常规 5 7 11" xfId="3406"/>
    <cellStyle name="常规 5 7 2" xfId="390"/>
    <cellStyle name="常规 5 7 3" xfId="663"/>
    <cellStyle name="常规 5 7 4" xfId="1006"/>
    <cellStyle name="常规 5 7 5" xfId="1349"/>
    <cellStyle name="常规 5 7 6" xfId="1692"/>
    <cellStyle name="常规 5 7 7" xfId="2034"/>
    <cellStyle name="常规 5 7 8" xfId="2377"/>
    <cellStyle name="常规 5 7 9" xfId="2720"/>
    <cellStyle name="常规 5 8" xfId="127"/>
    <cellStyle name="常规 5 8 10" xfId="3072"/>
    <cellStyle name="常规 5 8 11" xfId="3415"/>
    <cellStyle name="常规 5 8 2" xfId="395"/>
    <cellStyle name="常规 5 8 3" xfId="672"/>
    <cellStyle name="常规 5 8 4" xfId="1015"/>
    <cellStyle name="常规 5 8 5" xfId="1358"/>
    <cellStyle name="常规 5 8 6" xfId="1701"/>
    <cellStyle name="常规 5 8 7" xfId="2043"/>
    <cellStyle name="常规 5 8 8" xfId="2386"/>
    <cellStyle name="常规 5 8 9" xfId="2729"/>
    <cellStyle name="常规 5 9" xfId="135"/>
    <cellStyle name="常规 5 9 10" xfId="3240"/>
    <cellStyle name="常规 5 9 11" xfId="3583"/>
    <cellStyle name="常规 5 9 2" xfId="400"/>
    <cellStyle name="常规 5 9 3" xfId="841"/>
    <cellStyle name="常规 5 9 4" xfId="1184"/>
    <cellStyle name="常规 5 9 5" xfId="1526"/>
    <cellStyle name="常规 5 9 6" xfId="1869"/>
    <cellStyle name="常规 5 9 7" xfId="2212"/>
    <cellStyle name="常规 5 9 8" xfId="2555"/>
    <cellStyle name="常规 5 9 9" xfId="2897"/>
    <cellStyle name="常规 6" xfId="17"/>
    <cellStyle name="常规 6 10" xfId="142"/>
    <cellStyle name="常规 6 10 10" xfId="3234"/>
    <cellStyle name="常规 6 10 11" xfId="3577"/>
    <cellStyle name="常规 6 10 2" xfId="404"/>
    <cellStyle name="常规 6 10 3" xfId="835"/>
    <cellStyle name="常规 6 10 4" xfId="1178"/>
    <cellStyle name="常规 6 10 5" xfId="1520"/>
    <cellStyle name="常规 6 10 6" xfId="1863"/>
    <cellStyle name="常规 6 10 7" xfId="2206"/>
    <cellStyle name="常规 6 10 8" xfId="2549"/>
    <cellStyle name="常规 6 10 9" xfId="2891"/>
    <cellStyle name="常规 6 11" xfId="145"/>
    <cellStyle name="常规 6 11 10" xfId="2971"/>
    <cellStyle name="常规 6 11 11" xfId="3314"/>
    <cellStyle name="常规 6 11 2" xfId="406"/>
    <cellStyle name="常规 6 11 3" xfId="571"/>
    <cellStyle name="常规 6 11 4" xfId="914"/>
    <cellStyle name="常规 6 11 5" xfId="1257"/>
    <cellStyle name="常规 6 11 6" xfId="1600"/>
    <cellStyle name="常规 6 11 7" xfId="1942"/>
    <cellStyle name="常规 6 11 8" xfId="2285"/>
    <cellStyle name="常规 6 11 9" xfId="2628"/>
    <cellStyle name="常规 6 12" xfId="159"/>
    <cellStyle name="常规 6 12 10" xfId="3566"/>
    <cellStyle name="常规 6 12 2" xfId="824"/>
    <cellStyle name="常规 6 12 3" xfId="1167"/>
    <cellStyle name="常规 6 12 4" xfId="1509"/>
    <cellStyle name="常规 6 12 5" xfId="1852"/>
    <cellStyle name="常规 6 12 6" xfId="2195"/>
    <cellStyle name="常规 6 12 7" xfId="2538"/>
    <cellStyle name="常规 6 12 8" xfId="2880"/>
    <cellStyle name="常规 6 12 9" xfId="3223"/>
    <cellStyle name="常规 6 13" xfId="781"/>
    <cellStyle name="常规 6 14" xfId="1124"/>
    <cellStyle name="常规 6 15" xfId="1466"/>
    <cellStyle name="常规 6 16" xfId="1809"/>
    <cellStyle name="常规 6 17" xfId="2152"/>
    <cellStyle name="常规 6 18" xfId="2495"/>
    <cellStyle name="常规 6 19" xfId="2837"/>
    <cellStyle name="常规 6 2" xfId="35"/>
    <cellStyle name="常规 6 2 10" xfId="2947"/>
    <cellStyle name="常规 6 2 11" xfId="3290"/>
    <cellStyle name="常规 6 2 12" xfId="3633"/>
    <cellStyle name="常规 6 2 2" xfId="67"/>
    <cellStyle name="常规 6 2 2 10" xfId="3172"/>
    <cellStyle name="常规 6 2 2 11" xfId="3515"/>
    <cellStyle name="常规 6 2 2 2" xfId="279"/>
    <cellStyle name="常规 6 2 2 2 10" xfId="3448"/>
    <cellStyle name="常规 6 2 2 2 2" xfId="705"/>
    <cellStyle name="常规 6 2 2 2 3" xfId="1048"/>
    <cellStyle name="常规 6 2 2 2 4" xfId="1391"/>
    <cellStyle name="常规 6 2 2 2 5" xfId="1734"/>
    <cellStyle name="常规 6 2 2 2 6" xfId="2076"/>
    <cellStyle name="常规 6 2 2 2 7" xfId="2419"/>
    <cellStyle name="常规 6 2 2 2 8" xfId="2762"/>
    <cellStyle name="常规 6 2 2 2 9" xfId="3105"/>
    <cellStyle name="常规 6 2 2 3" xfId="772"/>
    <cellStyle name="常规 6 2 2 4" xfId="1115"/>
    <cellStyle name="常规 6 2 2 5" xfId="1458"/>
    <cellStyle name="常规 6 2 2 6" xfId="1801"/>
    <cellStyle name="常规 6 2 2 7" xfId="2143"/>
    <cellStyle name="常规 6 2 2 8" xfId="2486"/>
    <cellStyle name="常规 6 2 2 9" xfId="2829"/>
    <cellStyle name="常规 6 2 3" xfId="174"/>
    <cellStyle name="常规 6 2 3 10" xfId="3420"/>
    <cellStyle name="常规 6 2 3 2" xfId="677"/>
    <cellStyle name="常规 6 2 3 3" xfId="1020"/>
    <cellStyle name="常规 6 2 3 4" xfId="1363"/>
    <cellStyle name="常规 6 2 3 5" xfId="1706"/>
    <cellStyle name="常规 6 2 3 6" xfId="2048"/>
    <cellStyle name="常规 6 2 3 7" xfId="2391"/>
    <cellStyle name="常规 6 2 3 8" xfId="2734"/>
    <cellStyle name="常规 6 2 3 9" xfId="3077"/>
    <cellStyle name="常规 6 2 4" xfId="892"/>
    <cellStyle name="常规 6 2 5" xfId="1235"/>
    <cellStyle name="常规 6 2 6" xfId="1576"/>
    <cellStyle name="常规 6 2 7" xfId="1919"/>
    <cellStyle name="常规 6 2 8" xfId="2263"/>
    <cellStyle name="常规 6 2 9" xfId="2606"/>
    <cellStyle name="常规 6 20" xfId="3180"/>
    <cellStyle name="常规 6 21" xfId="3523"/>
    <cellStyle name="常规 6 3" xfId="53"/>
    <cellStyle name="常规 6 3 10" xfId="3275"/>
    <cellStyle name="常规 6 3 11" xfId="3618"/>
    <cellStyle name="常规 6 3 2" xfId="272"/>
    <cellStyle name="常规 6 3 2 10" xfId="3401"/>
    <cellStyle name="常规 6 3 2 2" xfId="658"/>
    <cellStyle name="常规 6 3 2 3" xfId="1001"/>
    <cellStyle name="常规 6 3 2 4" xfId="1344"/>
    <cellStyle name="常规 6 3 2 5" xfId="1687"/>
    <cellStyle name="常规 6 3 2 6" xfId="2029"/>
    <cellStyle name="常规 6 3 2 7" xfId="2372"/>
    <cellStyle name="常规 6 3 2 8" xfId="2715"/>
    <cellStyle name="常规 6 3 2 9" xfId="3058"/>
    <cellStyle name="常规 6 3 3" xfId="877"/>
    <cellStyle name="常规 6 3 4" xfId="1220"/>
    <cellStyle name="常规 6 3 5" xfId="1561"/>
    <cellStyle name="常规 6 3 6" xfId="1904"/>
    <cellStyle name="常规 6 3 7" xfId="2248"/>
    <cellStyle name="常规 6 3 8" xfId="2591"/>
    <cellStyle name="常规 6 3 9" xfId="2932"/>
    <cellStyle name="常规 6 4" xfId="93"/>
    <cellStyle name="常规 6 4 10" xfId="3246"/>
    <cellStyle name="常规 6 4 11" xfId="3589"/>
    <cellStyle name="常规 6 4 2" xfId="377"/>
    <cellStyle name="常规 6 4 3" xfId="847"/>
    <cellStyle name="常规 6 4 4" xfId="1190"/>
    <cellStyle name="常规 6 4 5" xfId="1532"/>
    <cellStyle name="常规 6 4 6" xfId="1875"/>
    <cellStyle name="常规 6 4 7" xfId="2218"/>
    <cellStyle name="常规 6 4 8" xfId="2561"/>
    <cellStyle name="常规 6 4 9" xfId="2903"/>
    <cellStyle name="常规 6 5" xfId="102"/>
    <cellStyle name="常规 6 5 10" xfId="3127"/>
    <cellStyle name="常规 6 5 11" xfId="3470"/>
    <cellStyle name="常规 6 5 2" xfId="382"/>
    <cellStyle name="常规 6 5 3" xfId="727"/>
    <cellStyle name="常规 6 5 4" xfId="1070"/>
    <cellStyle name="常规 6 5 5" xfId="1413"/>
    <cellStyle name="常规 6 5 6" xfId="1756"/>
    <cellStyle name="常规 6 5 7" xfId="2098"/>
    <cellStyle name="常规 6 5 8" xfId="2441"/>
    <cellStyle name="常规 6 5 9" xfId="2784"/>
    <cellStyle name="常规 6 6" xfId="111"/>
    <cellStyle name="常规 6 6 10" xfId="2977"/>
    <cellStyle name="常规 6 6 11" xfId="3320"/>
    <cellStyle name="常规 6 6 2" xfId="387"/>
    <cellStyle name="常规 6 6 3" xfId="577"/>
    <cellStyle name="常规 6 6 4" xfId="920"/>
    <cellStyle name="常规 6 6 5" xfId="1263"/>
    <cellStyle name="常规 6 6 6" xfId="1606"/>
    <cellStyle name="常规 6 6 7" xfId="1948"/>
    <cellStyle name="常规 6 6 8" xfId="2291"/>
    <cellStyle name="常规 6 6 9" xfId="2634"/>
    <cellStyle name="常规 6 7" xfId="120"/>
    <cellStyle name="常规 6 7 10" xfId="3119"/>
    <cellStyle name="常规 6 7 11" xfId="3462"/>
    <cellStyle name="常规 6 7 2" xfId="392"/>
    <cellStyle name="常规 6 7 3" xfId="719"/>
    <cellStyle name="常规 6 7 4" xfId="1062"/>
    <cellStyle name="常规 6 7 5" xfId="1405"/>
    <cellStyle name="常规 6 7 6" xfId="1748"/>
    <cellStyle name="常规 6 7 7" xfId="2090"/>
    <cellStyle name="常规 6 7 8" xfId="2433"/>
    <cellStyle name="常规 6 7 9" xfId="2776"/>
    <cellStyle name="常规 6 8" xfId="129"/>
    <cellStyle name="常规 6 8 10" xfId="3055"/>
    <cellStyle name="常规 6 8 11" xfId="3398"/>
    <cellStyle name="常规 6 8 2" xfId="397"/>
    <cellStyle name="常规 6 8 3" xfId="655"/>
    <cellStyle name="常规 6 8 4" xfId="998"/>
    <cellStyle name="常规 6 8 5" xfId="1341"/>
    <cellStyle name="常规 6 8 6" xfId="1684"/>
    <cellStyle name="常规 6 8 7" xfId="2026"/>
    <cellStyle name="常规 6 8 8" xfId="2369"/>
    <cellStyle name="常规 6 8 9" xfId="2712"/>
    <cellStyle name="常规 6 9" xfId="137"/>
    <cellStyle name="常规 6 9 10" xfId="3239"/>
    <cellStyle name="常规 6 9 11" xfId="3582"/>
    <cellStyle name="常规 6 9 2" xfId="402"/>
    <cellStyle name="常规 6 9 3" xfId="840"/>
    <cellStyle name="常规 6 9 4" xfId="1183"/>
    <cellStyle name="常规 6 9 5" xfId="1525"/>
    <cellStyle name="常规 6 9 6" xfId="1868"/>
    <cellStyle name="常规 6 9 7" xfId="2211"/>
    <cellStyle name="常规 6 9 8" xfId="2554"/>
    <cellStyle name="常规 6 9 9" xfId="2896"/>
    <cellStyle name="常规 7" xfId="19"/>
    <cellStyle name="常规 7 10" xfId="2618"/>
    <cellStyle name="常规 7 11" xfId="2959"/>
    <cellStyle name="常规 7 12" xfId="3302"/>
    <cellStyle name="常规 7 13" xfId="3645"/>
    <cellStyle name="常规 7 2" xfId="37"/>
    <cellStyle name="常规 7 2 10" xfId="2946"/>
    <cellStyle name="常规 7 2 11" xfId="3289"/>
    <cellStyle name="常规 7 2 12" xfId="3632"/>
    <cellStyle name="常规 7 2 2" xfId="77"/>
    <cellStyle name="常规 7 2 2 10" xfId="3261"/>
    <cellStyle name="常规 7 2 2 11" xfId="3604"/>
    <cellStyle name="常规 7 2 2 2" xfId="280"/>
    <cellStyle name="常规 7 2 2 2 10" xfId="3445"/>
    <cellStyle name="常规 7 2 2 2 2" xfId="702"/>
    <cellStyle name="常规 7 2 2 2 3" xfId="1045"/>
    <cellStyle name="常规 7 2 2 2 4" xfId="1388"/>
    <cellStyle name="常规 7 2 2 2 5" xfId="1731"/>
    <cellStyle name="常规 7 2 2 2 6" xfId="2073"/>
    <cellStyle name="常规 7 2 2 2 7" xfId="2416"/>
    <cellStyle name="常规 7 2 2 2 8" xfId="2759"/>
    <cellStyle name="常规 7 2 2 2 9" xfId="3102"/>
    <cellStyle name="常规 7 2 2 3" xfId="862"/>
    <cellStyle name="常规 7 2 2 4" xfId="1205"/>
    <cellStyle name="常规 7 2 2 5" xfId="1547"/>
    <cellStyle name="常规 7 2 2 6" xfId="1890"/>
    <cellStyle name="常规 7 2 2 7" xfId="2233"/>
    <cellStyle name="常规 7 2 2 8" xfId="2576"/>
    <cellStyle name="常规 7 2 2 9" xfId="2918"/>
    <cellStyle name="常规 7 2 3" xfId="176"/>
    <cellStyle name="常规 7 2 3 10" xfId="3411"/>
    <cellStyle name="常规 7 2 3 2" xfId="668"/>
    <cellStyle name="常规 7 2 3 3" xfId="1011"/>
    <cellStyle name="常规 7 2 3 4" xfId="1354"/>
    <cellStyle name="常规 7 2 3 5" xfId="1697"/>
    <cellStyle name="常规 7 2 3 6" xfId="2039"/>
    <cellStyle name="常规 7 2 3 7" xfId="2382"/>
    <cellStyle name="常规 7 2 3 8" xfId="2725"/>
    <cellStyle name="常规 7 2 3 9" xfId="3068"/>
    <cellStyle name="常规 7 2 4" xfId="891"/>
    <cellStyle name="常规 7 2 5" xfId="1234"/>
    <cellStyle name="常规 7 2 6" xfId="1575"/>
    <cellStyle name="常规 7 2 7" xfId="1918"/>
    <cellStyle name="常规 7 2 8" xfId="2262"/>
    <cellStyle name="常规 7 2 9" xfId="2605"/>
    <cellStyle name="常规 7 3" xfId="54"/>
    <cellStyle name="常规 7 3 10" xfId="3273"/>
    <cellStyle name="常规 7 3 11" xfId="3616"/>
    <cellStyle name="常规 7 3 2" xfId="274"/>
    <cellStyle name="常规 7 3 2 10" xfId="3465"/>
    <cellStyle name="常规 7 3 2 2" xfId="722"/>
    <cellStyle name="常规 7 3 2 3" xfId="1065"/>
    <cellStyle name="常规 7 3 2 4" xfId="1408"/>
    <cellStyle name="常规 7 3 2 5" xfId="1751"/>
    <cellStyle name="常规 7 3 2 6" xfId="2093"/>
    <cellStyle name="常规 7 3 2 7" xfId="2436"/>
    <cellStyle name="常规 7 3 2 8" xfId="2779"/>
    <cellStyle name="常规 7 3 2 9" xfId="3122"/>
    <cellStyle name="常规 7 3 3" xfId="875"/>
    <cellStyle name="常规 7 3 4" xfId="1218"/>
    <cellStyle name="常规 7 3 5" xfId="1559"/>
    <cellStyle name="常规 7 3 6" xfId="1902"/>
    <cellStyle name="常规 7 3 7" xfId="2246"/>
    <cellStyle name="常规 7 3 8" xfId="2589"/>
    <cellStyle name="常规 7 3 9" xfId="2930"/>
    <cellStyle name="常规 7 4" xfId="161"/>
    <cellStyle name="常规 7 4 10" xfId="3542"/>
    <cellStyle name="常规 7 4 2" xfId="800"/>
    <cellStyle name="常规 7 4 3" xfId="1143"/>
    <cellStyle name="常规 7 4 4" xfId="1485"/>
    <cellStyle name="常规 7 4 5" xfId="1828"/>
    <cellStyle name="常规 7 4 6" xfId="2171"/>
    <cellStyle name="常规 7 4 7" xfId="2514"/>
    <cellStyle name="常规 7 4 8" xfId="2856"/>
    <cellStyle name="常规 7 4 9" xfId="3199"/>
    <cellStyle name="常规 7 5" xfId="904"/>
    <cellStyle name="常规 7 6" xfId="1247"/>
    <cellStyle name="常规 7 7" xfId="1588"/>
    <cellStyle name="常规 7 8" xfId="1931"/>
    <cellStyle name="常规 7 9" xfId="2275"/>
    <cellStyle name="常规 8" xfId="20"/>
    <cellStyle name="常规 8 10" xfId="2617"/>
    <cellStyle name="常规 8 11" xfId="2958"/>
    <cellStyle name="常规 8 12" xfId="3301"/>
    <cellStyle name="常规 8 13" xfId="3644"/>
    <cellStyle name="常规 8 2" xfId="41"/>
    <cellStyle name="常规 8 2 10" xfId="2901"/>
    <cellStyle name="常规 8 2 11" xfId="3244"/>
    <cellStyle name="常规 8 2 12" xfId="3587"/>
    <cellStyle name="常规 8 2 2" xfId="79"/>
    <cellStyle name="常规 8 2 2 10" xfId="3144"/>
    <cellStyle name="常规 8 2 2 11" xfId="3487"/>
    <cellStyle name="常规 8 2 2 2" xfId="281"/>
    <cellStyle name="常规 8 2 2 2 10" xfId="3426"/>
    <cellStyle name="常规 8 2 2 2 2" xfId="683"/>
    <cellStyle name="常规 8 2 2 2 3" xfId="1026"/>
    <cellStyle name="常规 8 2 2 2 4" xfId="1369"/>
    <cellStyle name="常规 8 2 2 2 5" xfId="1712"/>
    <cellStyle name="常规 8 2 2 2 6" xfId="2054"/>
    <cellStyle name="常规 8 2 2 2 7" xfId="2397"/>
    <cellStyle name="常规 8 2 2 2 8" xfId="2740"/>
    <cellStyle name="常规 8 2 2 2 9" xfId="3083"/>
    <cellStyle name="常规 8 2 2 3" xfId="744"/>
    <cellStyle name="常规 8 2 2 4" xfId="1087"/>
    <cellStyle name="常规 8 2 2 5" xfId="1430"/>
    <cellStyle name="常规 8 2 2 6" xfId="1773"/>
    <cellStyle name="常规 8 2 2 7" xfId="2115"/>
    <cellStyle name="常规 8 2 2 8" xfId="2458"/>
    <cellStyle name="常规 8 2 2 9" xfId="2801"/>
    <cellStyle name="常规 8 2 3" xfId="179"/>
    <cellStyle name="常规 8 2 3 10" xfId="3383"/>
    <cellStyle name="常规 8 2 3 2" xfId="640"/>
    <cellStyle name="常规 8 2 3 3" xfId="983"/>
    <cellStyle name="常规 8 2 3 4" xfId="1326"/>
    <cellStyle name="常规 8 2 3 5" xfId="1669"/>
    <cellStyle name="常规 8 2 3 6" xfId="2011"/>
    <cellStyle name="常规 8 2 3 7" xfId="2354"/>
    <cellStyle name="常规 8 2 3 8" xfId="2697"/>
    <cellStyle name="常规 8 2 3 9" xfId="3040"/>
    <cellStyle name="常规 8 2 4" xfId="845"/>
    <cellStyle name="常规 8 2 5" xfId="1188"/>
    <cellStyle name="常规 8 2 6" xfId="1530"/>
    <cellStyle name="常规 8 2 7" xfId="1873"/>
    <cellStyle name="常规 8 2 8" xfId="2216"/>
    <cellStyle name="常规 8 2 9" xfId="2559"/>
    <cellStyle name="常规 8 3" xfId="55"/>
    <cellStyle name="常规 8 3 10" xfId="3271"/>
    <cellStyle name="常规 8 3 11" xfId="3614"/>
    <cellStyle name="常规 8 3 2" xfId="275"/>
    <cellStyle name="常规 8 3 2 10" xfId="3457"/>
    <cellStyle name="常规 8 3 2 2" xfId="714"/>
    <cellStyle name="常规 8 3 2 3" xfId="1057"/>
    <cellStyle name="常规 8 3 2 4" xfId="1400"/>
    <cellStyle name="常规 8 3 2 5" xfId="1743"/>
    <cellStyle name="常规 8 3 2 6" xfId="2085"/>
    <cellStyle name="常规 8 3 2 7" xfId="2428"/>
    <cellStyle name="常规 8 3 2 8" xfId="2771"/>
    <cellStyle name="常规 8 3 2 9" xfId="3114"/>
    <cellStyle name="常规 8 3 3" xfId="873"/>
    <cellStyle name="常规 8 3 4" xfId="1216"/>
    <cellStyle name="常规 8 3 5" xfId="1557"/>
    <cellStyle name="常规 8 3 6" xfId="1900"/>
    <cellStyle name="常规 8 3 7" xfId="2244"/>
    <cellStyle name="常规 8 3 8" xfId="2587"/>
    <cellStyle name="常规 8 3 9" xfId="2928"/>
    <cellStyle name="常规 8 4" xfId="162"/>
    <cellStyle name="常规 8 4 10" xfId="3554"/>
    <cellStyle name="常规 8 4 2" xfId="812"/>
    <cellStyle name="常规 8 4 3" xfId="1155"/>
    <cellStyle name="常规 8 4 4" xfId="1497"/>
    <cellStyle name="常规 8 4 5" xfId="1840"/>
    <cellStyle name="常规 8 4 6" xfId="2183"/>
    <cellStyle name="常规 8 4 7" xfId="2526"/>
    <cellStyle name="常规 8 4 8" xfId="2868"/>
    <cellStyle name="常规 8 4 9" xfId="3211"/>
    <cellStyle name="常规 8 5" xfId="903"/>
    <cellStyle name="常规 8 6" xfId="1246"/>
    <cellStyle name="常规 8 7" xfId="1587"/>
    <cellStyle name="常规 8 8" xfId="1930"/>
    <cellStyle name="常规 8 9" xfId="2274"/>
    <cellStyle name="常规 9" xfId="22"/>
    <cellStyle name="常规 9 10" xfId="3201"/>
    <cellStyle name="常规 9 11" xfId="3544"/>
    <cellStyle name="常规 9 2" xfId="163"/>
    <cellStyle name="常规 9 2 10" xfId="3550"/>
    <cellStyle name="常规 9 2 2" xfId="808"/>
    <cellStyle name="常规 9 2 3" xfId="1151"/>
    <cellStyle name="常规 9 2 4" xfId="1493"/>
    <cellStyle name="常规 9 2 5" xfId="1836"/>
    <cellStyle name="常规 9 2 6" xfId="2179"/>
    <cellStyle name="常规 9 2 7" xfId="2522"/>
    <cellStyle name="常规 9 2 8" xfId="2864"/>
    <cellStyle name="常规 9 2 9" xfId="3207"/>
    <cellStyle name="常规 9 3" xfId="802"/>
    <cellStyle name="常规 9 4" xfId="1145"/>
    <cellStyle name="常规 9 5" xfId="1487"/>
    <cellStyle name="常规 9 6" xfId="1830"/>
    <cellStyle name="常规 9 7" xfId="2173"/>
    <cellStyle name="常规 9 8" xfId="2516"/>
    <cellStyle name="常规 9 9" xfId="285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sheetPr codeName="Sheet1"/>
  <dimension ref="A1:S19"/>
  <sheetViews>
    <sheetView tabSelected="1" zoomScale="115" zoomScaleNormal="115" workbookViewId="0">
      <selection activeCell="B6" sqref="B3:B6"/>
    </sheetView>
  </sheetViews>
  <sheetFormatPr defaultRowHeight="13.5"/>
  <cols>
    <col min="1" max="1" width="6.5" bestFit="1" customWidth="1"/>
    <col min="2" max="2" width="15.125" bestFit="1" customWidth="1"/>
    <col min="3" max="3" width="17.25" bestFit="1" customWidth="1"/>
    <col min="4" max="4" width="18.375" bestFit="1" customWidth="1"/>
    <col min="5" max="5" width="25" bestFit="1" customWidth="1"/>
    <col min="6" max="10" width="13.875" bestFit="1" customWidth="1"/>
    <col min="11" max="12" width="11.625" bestFit="1" customWidth="1"/>
    <col min="13" max="13" width="10.75" customWidth="1"/>
    <col min="14" max="14" width="9.875" customWidth="1"/>
    <col min="15" max="15" width="36.125" bestFit="1" customWidth="1"/>
    <col min="16" max="16" width="1.125" customWidth="1"/>
    <col min="17" max="17" width="1.25" customWidth="1"/>
    <col min="18" max="18" width="1.375" customWidth="1"/>
    <col min="19" max="19" width="25.25" bestFit="1" customWidth="1"/>
  </cols>
  <sheetData>
    <row r="1" spans="1:19" ht="24.95" customHeight="1">
      <c r="A1" s="33" t="s">
        <v>3</v>
      </c>
      <c r="B1" s="33" t="s">
        <v>0</v>
      </c>
      <c r="C1" s="33" t="s">
        <v>12</v>
      </c>
      <c r="D1" s="33" t="s">
        <v>5</v>
      </c>
      <c r="E1" s="33" t="s">
        <v>1</v>
      </c>
      <c r="F1" s="33" t="s">
        <v>2</v>
      </c>
      <c r="G1" s="33" t="s">
        <v>6</v>
      </c>
      <c r="H1" s="33" t="s">
        <v>7</v>
      </c>
      <c r="I1" s="33" t="s">
        <v>8</v>
      </c>
      <c r="J1" s="33" t="s">
        <v>9</v>
      </c>
      <c r="K1" s="33" t="s">
        <v>10</v>
      </c>
      <c r="L1" s="33" t="s">
        <v>11</v>
      </c>
    </row>
    <row r="2" spans="1:19" ht="15" customHeight="1">
      <c r="A2" s="36">
        <v>10001</v>
      </c>
      <c r="B2" s="36" t="s">
        <v>13</v>
      </c>
      <c r="C2" s="36" t="s">
        <v>977</v>
      </c>
      <c r="D2" s="36" t="s">
        <v>978</v>
      </c>
      <c r="E2" s="36" t="s">
        <v>437</v>
      </c>
      <c r="F2" s="35">
        <v>1</v>
      </c>
      <c r="G2" s="36" t="s">
        <v>976</v>
      </c>
      <c r="H2" s="36" t="s">
        <v>1022</v>
      </c>
      <c r="I2" s="36" t="s">
        <v>982</v>
      </c>
      <c r="J2" s="36">
        <v>20102</v>
      </c>
      <c r="K2" s="36" t="s">
        <v>981</v>
      </c>
      <c r="L2" s="36">
        <v>20103</v>
      </c>
      <c r="M2" s="4"/>
      <c r="O2" s="1" t="str">
        <f t="shared" ref="O2:O12" si="0">CONCATENATE("optional uint32 ",LOWER(INDEX(A:L,CEILING((ROW()-1)/30,1),MOD(ROW()-2,30)+1)))</f>
        <v>optional uint32 id</v>
      </c>
      <c r="P2" s="1"/>
      <c r="Q2" s="1"/>
      <c r="R2" s="1"/>
      <c r="S2" s="1" t="e">
        <f t="shared" ref="S2:S12" ca="1" si="1">CONCATENATE("= ",ROW()-1,"; // ",GetComment(INDEX(A:L,CEILING((ROW()-1)/30,1),MOD(ROW()-2,30)+1)))</f>
        <v>#NAME?</v>
      </c>
    </row>
    <row r="3" spans="1:19" ht="15" customHeight="1">
      <c r="A3" s="36">
        <v>10002</v>
      </c>
      <c r="B3" s="54" t="s">
        <v>561</v>
      </c>
      <c r="C3" s="36">
        <v>10003</v>
      </c>
      <c r="D3" s="36">
        <v>10201</v>
      </c>
      <c r="E3" s="36" t="s">
        <v>438</v>
      </c>
      <c r="F3" s="35">
        <v>1</v>
      </c>
      <c r="G3" s="36" t="s">
        <v>976</v>
      </c>
      <c r="H3" s="36">
        <v>20201</v>
      </c>
      <c r="I3" s="36" t="s">
        <v>982</v>
      </c>
      <c r="J3" s="36">
        <v>20202</v>
      </c>
      <c r="K3" s="36" t="s">
        <v>981</v>
      </c>
      <c r="L3" s="36">
        <v>20203</v>
      </c>
      <c r="M3" s="4"/>
      <c r="O3" s="1" t="str">
        <f t="shared" si="0"/>
        <v>optional uint32 name</v>
      </c>
      <c r="P3" s="1"/>
      <c r="Q3" s="1"/>
      <c r="R3" s="1"/>
      <c r="S3" s="1" t="e">
        <f t="shared" ca="1" si="1"/>
        <v>#NAME?</v>
      </c>
    </row>
    <row r="4" spans="1:19" ht="15" customHeight="1">
      <c r="A4" s="36">
        <v>10003</v>
      </c>
      <c r="B4" s="55" t="s">
        <v>562</v>
      </c>
      <c r="C4" s="36">
        <v>10004</v>
      </c>
      <c r="D4" s="36">
        <v>10301</v>
      </c>
      <c r="E4" s="36" t="s">
        <v>439</v>
      </c>
      <c r="F4" s="35">
        <v>1</v>
      </c>
      <c r="G4" s="36" t="s">
        <v>976</v>
      </c>
      <c r="H4" s="36">
        <v>20301</v>
      </c>
      <c r="I4" s="36" t="s">
        <v>982</v>
      </c>
      <c r="J4" s="36">
        <v>20302</v>
      </c>
      <c r="K4" s="36" t="s">
        <v>981</v>
      </c>
      <c r="L4" s="36">
        <v>20303</v>
      </c>
      <c r="M4" s="4"/>
      <c r="O4" s="1" t="str">
        <f t="shared" si="0"/>
        <v>optional uint32 next_chapter_id</v>
      </c>
      <c r="P4" s="1"/>
      <c r="Q4" s="1"/>
      <c r="R4" s="1"/>
      <c r="S4" s="1" t="e">
        <f t="shared" ca="1" si="1"/>
        <v>#NAME?</v>
      </c>
    </row>
    <row r="5" spans="1:19" ht="15" customHeight="1">
      <c r="A5" s="36">
        <v>10004</v>
      </c>
      <c r="B5" s="54" t="s">
        <v>563</v>
      </c>
      <c r="C5" s="36">
        <v>10005</v>
      </c>
      <c r="D5" s="36">
        <v>10401</v>
      </c>
      <c r="E5" s="36" t="s">
        <v>440</v>
      </c>
      <c r="F5" s="35">
        <v>1</v>
      </c>
      <c r="G5" s="36" t="s">
        <v>976</v>
      </c>
      <c r="H5" s="36">
        <v>20401</v>
      </c>
      <c r="I5" s="36" t="s">
        <v>982</v>
      </c>
      <c r="J5" s="36">
        <v>20402</v>
      </c>
      <c r="K5" s="36" t="s">
        <v>981</v>
      </c>
      <c r="L5" s="36">
        <v>20403</v>
      </c>
      <c r="M5" s="4"/>
      <c r="O5" s="1" t="str">
        <f t="shared" si="0"/>
        <v>optional uint32 first_section_id</v>
      </c>
      <c r="P5" s="1"/>
      <c r="Q5" s="1"/>
      <c r="R5" s="1"/>
      <c r="S5" s="1" t="e">
        <f t="shared" ca="1" si="1"/>
        <v>#NAME?</v>
      </c>
    </row>
    <row r="6" spans="1:19" ht="15" customHeight="1">
      <c r="A6" s="36">
        <v>10005</v>
      </c>
      <c r="B6" s="54" t="s">
        <v>564</v>
      </c>
      <c r="C6" s="36">
        <v>10006</v>
      </c>
      <c r="D6" s="36">
        <v>10501</v>
      </c>
      <c r="E6" s="36" t="s">
        <v>438</v>
      </c>
      <c r="F6" s="35">
        <v>1</v>
      </c>
      <c r="G6" s="36" t="s">
        <v>976</v>
      </c>
      <c r="H6" s="36">
        <v>20501</v>
      </c>
      <c r="I6" s="36" t="s">
        <v>982</v>
      </c>
      <c r="J6" s="36">
        <v>20502</v>
      </c>
      <c r="K6" s="36" t="s">
        <v>981</v>
      </c>
      <c r="L6" s="36">
        <v>20503</v>
      </c>
      <c r="M6" s="4"/>
      <c r="O6" s="1" t="str">
        <f t="shared" si="0"/>
        <v>optional uint32 area</v>
      </c>
      <c r="P6" s="1"/>
      <c r="Q6" s="1"/>
      <c r="R6" s="1"/>
      <c r="S6" s="1" t="e">
        <f t="shared" ca="1" si="1"/>
        <v>#NAME?</v>
      </c>
    </row>
    <row r="7" spans="1:19" ht="15" customHeight="1">
      <c r="A7" s="36">
        <v>10006</v>
      </c>
      <c r="B7" s="55" t="s">
        <v>565</v>
      </c>
      <c r="C7" s="36">
        <v>10007</v>
      </c>
      <c r="D7" s="36">
        <v>10601</v>
      </c>
      <c r="E7" s="36" t="s">
        <v>436</v>
      </c>
      <c r="F7" s="35">
        <v>1</v>
      </c>
      <c r="G7" s="36" t="s">
        <v>976</v>
      </c>
      <c r="H7" s="36" t="s">
        <v>983</v>
      </c>
      <c r="I7" s="36" t="s">
        <v>982</v>
      </c>
      <c r="J7" s="36">
        <v>20602</v>
      </c>
      <c r="K7" s="36" t="s">
        <v>981</v>
      </c>
      <c r="L7" s="36">
        <v>20603</v>
      </c>
      <c r="M7" s="4"/>
      <c r="O7" s="1" t="str">
        <f t="shared" si="0"/>
        <v>optional uint32 unlock_level</v>
      </c>
      <c r="P7" s="1"/>
      <c r="Q7" s="1"/>
      <c r="R7" s="1"/>
      <c r="S7" s="1" t="e">
        <f t="shared" ca="1" si="1"/>
        <v>#NAME?</v>
      </c>
    </row>
    <row r="8" spans="1:19">
      <c r="A8" s="36">
        <v>10007</v>
      </c>
      <c r="B8" s="55" t="s">
        <v>1099</v>
      </c>
      <c r="C8" s="36">
        <v>10008</v>
      </c>
      <c r="D8" s="36" t="s">
        <v>979</v>
      </c>
      <c r="E8" s="36" t="s">
        <v>440</v>
      </c>
      <c r="F8" s="35">
        <v>1</v>
      </c>
      <c r="G8" s="36" t="s">
        <v>976</v>
      </c>
      <c r="H8" s="36" t="s">
        <v>984</v>
      </c>
      <c r="I8" s="36" t="s">
        <v>982</v>
      </c>
      <c r="J8" s="36" t="s">
        <v>987</v>
      </c>
      <c r="K8" s="36" t="s">
        <v>981</v>
      </c>
      <c r="L8" s="36" t="s">
        <v>990</v>
      </c>
      <c r="O8" s="1" t="str">
        <f t="shared" si="0"/>
        <v>optional uint32 bronze_value</v>
      </c>
      <c r="P8" s="1"/>
      <c r="Q8" s="1"/>
      <c r="R8" s="1"/>
      <c r="S8" s="1" t="e">
        <f t="shared" ca="1" si="1"/>
        <v>#NAME?</v>
      </c>
    </row>
    <row r="9" spans="1:19">
      <c r="A9" s="36">
        <v>10008</v>
      </c>
      <c r="B9" s="54" t="s">
        <v>1101</v>
      </c>
      <c r="C9" s="36">
        <v>10009</v>
      </c>
      <c r="D9" s="36" t="s">
        <v>980</v>
      </c>
      <c r="E9" s="36" t="s">
        <v>438</v>
      </c>
      <c r="F9" s="35">
        <v>1</v>
      </c>
      <c r="G9" s="36" t="s">
        <v>976</v>
      </c>
      <c r="H9" s="36" t="s">
        <v>985</v>
      </c>
      <c r="I9" s="36" t="s">
        <v>982</v>
      </c>
      <c r="J9" s="36" t="s">
        <v>988</v>
      </c>
      <c r="K9" s="36" t="s">
        <v>981</v>
      </c>
      <c r="L9" s="36" t="s">
        <v>991</v>
      </c>
      <c r="O9" s="1" t="str">
        <f t="shared" si="0"/>
        <v>optional uint32 bronze_award</v>
      </c>
      <c r="P9" s="1"/>
      <c r="Q9" s="1"/>
      <c r="R9" s="1"/>
      <c r="S9" s="1" t="e">
        <f t="shared" ca="1" si="1"/>
        <v>#NAME?</v>
      </c>
    </row>
    <row r="10" spans="1:19">
      <c r="A10" s="36">
        <v>10009</v>
      </c>
      <c r="B10" s="55" t="s">
        <v>1100</v>
      </c>
      <c r="C10" s="36" t="s">
        <v>480</v>
      </c>
      <c r="D10" s="36" t="s">
        <v>993</v>
      </c>
      <c r="E10" s="36" t="s">
        <v>436</v>
      </c>
      <c r="F10" s="35">
        <v>1</v>
      </c>
      <c r="G10" s="36" t="s">
        <v>976</v>
      </c>
      <c r="H10" s="36" t="s">
        <v>986</v>
      </c>
      <c r="I10" s="36" t="s">
        <v>982</v>
      </c>
      <c r="J10" s="36" t="s">
        <v>989</v>
      </c>
      <c r="K10" s="36" t="s">
        <v>981</v>
      </c>
      <c r="L10" s="36" t="s">
        <v>992</v>
      </c>
      <c r="O10" s="1" t="str">
        <f t="shared" si="0"/>
        <v>optional uint32 silver_value</v>
      </c>
      <c r="P10" s="1"/>
      <c r="Q10" s="1"/>
      <c r="R10" s="1"/>
      <c r="S10" s="1" t="e">
        <f t="shared" ca="1" si="1"/>
        <v>#NAME?</v>
      </c>
    </row>
    <row r="11" spans="1:19">
      <c r="A11" s="36"/>
      <c r="B11" s="54"/>
      <c r="C11" s="36"/>
      <c r="D11" s="36"/>
      <c r="E11" s="36"/>
      <c r="F11" s="35"/>
      <c r="G11" s="36"/>
      <c r="H11" s="36"/>
      <c r="I11" s="36"/>
      <c r="J11" s="36"/>
      <c r="K11" s="36"/>
      <c r="L11" s="36"/>
      <c r="O11" s="1" t="str">
        <f t="shared" si="0"/>
        <v>optional uint32 silver_award</v>
      </c>
      <c r="P11" s="1"/>
      <c r="Q11" s="1"/>
      <c r="R11" s="1"/>
      <c r="S11" s="1" t="e">
        <f t="shared" ca="1" si="1"/>
        <v>#NAME?</v>
      </c>
    </row>
    <row r="12" spans="1:19">
      <c r="A12" s="36"/>
      <c r="B12" s="55"/>
      <c r="C12" s="36"/>
      <c r="D12" s="36"/>
      <c r="E12" s="36"/>
      <c r="F12" s="35"/>
      <c r="G12" s="36"/>
      <c r="H12" s="36"/>
      <c r="I12" s="36"/>
      <c r="J12" s="36"/>
      <c r="K12" s="36"/>
      <c r="L12" s="36"/>
      <c r="O12" s="1" t="str">
        <f t="shared" si="0"/>
        <v>optional uint32 gold_value</v>
      </c>
      <c r="P12" s="1"/>
      <c r="Q12" s="1"/>
      <c r="R12" s="1"/>
      <c r="S12" s="1" t="e">
        <f t="shared" ca="1" si="1"/>
        <v>#NAME?</v>
      </c>
    </row>
    <row r="13" spans="1:19">
      <c r="A13" s="56"/>
      <c r="B13" s="54"/>
      <c r="C13" s="56"/>
      <c r="D13" s="56"/>
      <c r="E13" s="36"/>
      <c r="F13" s="35"/>
      <c r="G13" s="36"/>
      <c r="H13" s="36"/>
      <c r="I13" s="36"/>
      <c r="J13" s="36"/>
      <c r="K13" s="36"/>
      <c r="L13" s="36"/>
    </row>
    <row r="14" spans="1:19">
      <c r="A14" s="56"/>
      <c r="B14" s="55"/>
      <c r="C14" s="36"/>
      <c r="D14" s="56"/>
      <c r="E14" s="36"/>
      <c r="F14" s="35"/>
      <c r="G14" s="36"/>
      <c r="H14" s="36"/>
      <c r="I14" s="36"/>
      <c r="J14" s="36"/>
      <c r="K14" s="36"/>
      <c r="L14" s="36"/>
    </row>
    <row r="15" spans="1:19">
      <c r="A15" s="36"/>
      <c r="B15" s="35"/>
      <c r="C15" s="56"/>
      <c r="D15" s="56"/>
      <c r="E15" s="36"/>
      <c r="F15" s="35"/>
      <c r="G15" s="36"/>
      <c r="H15" s="36"/>
      <c r="I15" s="36"/>
      <c r="J15" s="36"/>
      <c r="K15" s="36"/>
      <c r="L15" s="36"/>
    </row>
    <row r="16" spans="1:19">
      <c r="A16" s="56"/>
      <c r="B16" s="35"/>
      <c r="C16" s="36"/>
      <c r="D16" s="56"/>
      <c r="E16" s="36"/>
      <c r="F16" s="35"/>
      <c r="G16" s="36"/>
      <c r="H16" s="36"/>
      <c r="I16" s="36"/>
      <c r="J16" s="36"/>
      <c r="K16" s="36"/>
      <c r="L16" s="36"/>
    </row>
    <row r="17" spans="1:12">
      <c r="A17" s="36"/>
      <c r="B17" s="35"/>
      <c r="C17" s="56"/>
      <c r="D17" s="56"/>
      <c r="E17" s="36"/>
      <c r="F17" s="35"/>
      <c r="G17" s="36"/>
      <c r="H17" s="36"/>
      <c r="I17" s="36"/>
      <c r="J17" s="36"/>
      <c r="K17" s="36"/>
      <c r="L17" s="36"/>
    </row>
    <row r="18" spans="1:12">
      <c r="A18" s="56"/>
      <c r="B18" s="35"/>
      <c r="C18" s="36"/>
      <c r="D18" s="56"/>
      <c r="E18" s="36"/>
      <c r="F18" s="35"/>
      <c r="G18" s="36"/>
      <c r="H18" s="36"/>
      <c r="I18" s="36"/>
      <c r="J18" s="36"/>
      <c r="K18" s="36"/>
      <c r="L18" s="36"/>
    </row>
    <row r="19" spans="1:12">
      <c r="A19" s="36"/>
      <c r="B19" s="35"/>
      <c r="C19" s="56"/>
      <c r="D19" s="56"/>
      <c r="E19" s="36"/>
      <c r="F19" s="35"/>
      <c r="G19" s="36"/>
      <c r="H19" s="36"/>
      <c r="I19" s="36"/>
      <c r="J19" s="36"/>
      <c r="K19" s="36"/>
      <c r="L19" s="36"/>
    </row>
  </sheetData>
  <phoneticPr fontId="1" type="noConversion"/>
  <pageMargins left="0.7" right="0.7" top="0.75" bottom="0.75" header="0.3" footer="0.3"/>
  <pageSetup paperSize="9" orientation="portrait" horizontalDpi="200" verticalDpi="200" r:id="rId1"/>
  <legacyDrawing r:id="rId2"/>
</worksheet>
</file>

<file path=xl/worksheets/sheet2.xml><?xml version="1.0" encoding="utf-8"?>
<worksheet xmlns="http://schemas.openxmlformats.org/spreadsheetml/2006/main" xmlns:r="http://schemas.openxmlformats.org/officeDocument/2006/relationships">
  <sheetPr codeName="Sheet2"/>
  <dimension ref="A1:FK127"/>
  <sheetViews>
    <sheetView zoomScale="85" zoomScaleNormal="85" workbookViewId="0">
      <pane xSplit="2" ySplit="1" topLeftCell="C2" activePane="bottomRight" state="frozen"/>
      <selection pane="topRight" activeCell="C1" sqref="C1"/>
      <selection pane="bottomLeft" activeCell="A2" sqref="A2"/>
      <selection pane="bottomRight" activeCell="C4" sqref="C4"/>
    </sheetView>
  </sheetViews>
  <sheetFormatPr defaultRowHeight="13.5"/>
  <cols>
    <col min="1" max="2" width="7.5" bestFit="1" customWidth="1"/>
    <col min="3" max="3" width="15.125" bestFit="1" customWidth="1"/>
    <col min="4" max="6" width="15.125" customWidth="1"/>
    <col min="7" max="7" width="27.75" bestFit="1" customWidth="1"/>
    <col min="8" max="9" width="12.5" bestFit="1" customWidth="1"/>
    <col min="10" max="10" width="17.25" bestFit="1" customWidth="1"/>
    <col min="11" max="11" width="12.5" bestFit="1" customWidth="1"/>
    <col min="12" max="12" width="11.625" bestFit="1" customWidth="1"/>
    <col min="13" max="14" width="12.75" bestFit="1" customWidth="1"/>
    <col min="15" max="15" width="16.75" bestFit="1" customWidth="1"/>
    <col min="16" max="16" width="11.625" bestFit="1" customWidth="1"/>
    <col min="17" max="17" width="13.875" bestFit="1" customWidth="1"/>
    <col min="18" max="18" width="17.25" bestFit="1" customWidth="1"/>
    <col min="19" max="19" width="13.5" bestFit="1" customWidth="1"/>
    <col min="20" max="20" width="19.875" bestFit="1" customWidth="1"/>
    <col min="21" max="21" width="16.75" bestFit="1" customWidth="1"/>
    <col min="22" max="22" width="20.125" bestFit="1" customWidth="1"/>
    <col min="23" max="23" width="12.75" bestFit="1" customWidth="1"/>
    <col min="24" max="24" width="16.125" bestFit="1" customWidth="1"/>
    <col min="25" max="25" width="15" bestFit="1" customWidth="1"/>
    <col min="26" max="26" width="18.375" bestFit="1" customWidth="1"/>
    <col min="27" max="27" width="15" bestFit="1" customWidth="1"/>
    <col min="28" max="28" width="12.75" bestFit="1" customWidth="1"/>
    <col min="29" max="29" width="117.375" bestFit="1" customWidth="1"/>
    <col min="31" max="31" width="37.125" bestFit="1" customWidth="1"/>
    <col min="32" max="32" width="9.5" bestFit="1" customWidth="1"/>
    <col min="33" max="33" width="10.5" bestFit="1" customWidth="1"/>
    <col min="34" max="34" width="11.625" bestFit="1" customWidth="1"/>
    <col min="35" max="35" width="11.625" customWidth="1"/>
    <col min="36" max="36" width="12.5" bestFit="1" customWidth="1"/>
    <col min="39" max="39" width="13.875" customWidth="1"/>
    <col min="40" max="40" width="17.25" customWidth="1"/>
    <col min="41" max="41" width="31.625" style="34" bestFit="1" customWidth="1"/>
    <col min="42" max="42" width="17.25" customWidth="1"/>
    <col min="43" max="43" width="23.875" customWidth="1"/>
    <col min="44" max="44" width="28.25" customWidth="1"/>
    <col min="45" max="45" width="38.25" bestFit="1" customWidth="1"/>
    <col min="46" max="46" width="0.75" customWidth="1"/>
    <col min="47" max="47" width="0.625" customWidth="1"/>
    <col min="48" max="48" width="0.875" customWidth="1"/>
    <col min="49" max="49" width="37.75" bestFit="1" customWidth="1"/>
  </cols>
  <sheetData>
    <row r="1" spans="1:167" s="2" customFormat="1" ht="24.95" customHeight="1">
      <c r="A1" s="71" t="s">
        <v>1026</v>
      </c>
      <c r="B1" s="71" t="s">
        <v>951</v>
      </c>
      <c r="C1" s="71" t="s">
        <v>1027</v>
      </c>
      <c r="D1" s="71" t="s">
        <v>1028</v>
      </c>
      <c r="E1" s="71" t="s">
        <v>1029</v>
      </c>
      <c r="F1" s="71" t="s">
        <v>1030</v>
      </c>
      <c r="G1" s="71" t="s">
        <v>404</v>
      </c>
      <c r="H1" s="71" t="s">
        <v>1031</v>
      </c>
      <c r="I1" s="71" t="s">
        <v>1032</v>
      </c>
      <c r="J1" s="71" t="s">
        <v>1033</v>
      </c>
      <c r="K1" s="75" t="s">
        <v>1034</v>
      </c>
      <c r="L1" s="75" t="s">
        <v>1035</v>
      </c>
      <c r="M1" s="76" t="s">
        <v>1036</v>
      </c>
      <c r="N1" s="76" t="s">
        <v>1037</v>
      </c>
      <c r="O1" s="76" t="s">
        <v>1038</v>
      </c>
      <c r="P1" s="76" t="s">
        <v>1039</v>
      </c>
      <c r="Q1" s="76" t="s">
        <v>16</v>
      </c>
      <c r="R1" s="76" t="s">
        <v>1040</v>
      </c>
      <c r="S1" s="76" t="s">
        <v>1041</v>
      </c>
      <c r="T1" s="72" t="s">
        <v>443</v>
      </c>
      <c r="U1" s="76" t="s">
        <v>1042</v>
      </c>
      <c r="V1" s="76" t="s">
        <v>1043</v>
      </c>
      <c r="W1" s="76" t="s">
        <v>1044</v>
      </c>
      <c r="X1" s="76" t="s">
        <v>1045</v>
      </c>
      <c r="Y1" s="76" t="s">
        <v>1046</v>
      </c>
      <c r="Z1" s="76" t="s">
        <v>1047</v>
      </c>
      <c r="AA1" s="76" t="s">
        <v>1048</v>
      </c>
      <c r="AB1" s="76" t="s">
        <v>1049</v>
      </c>
      <c r="AC1" s="72" t="s">
        <v>1050</v>
      </c>
      <c r="AD1" s="76" t="s">
        <v>1051</v>
      </c>
      <c r="AE1" s="76" t="s">
        <v>1052</v>
      </c>
      <c r="AF1" s="76" t="s">
        <v>1053</v>
      </c>
      <c r="AG1" s="76" t="s">
        <v>1054</v>
      </c>
      <c r="AH1" s="76" t="s">
        <v>1055</v>
      </c>
      <c r="AI1" s="76" t="s">
        <v>1056</v>
      </c>
      <c r="AJ1" s="76" t="s">
        <v>1057</v>
      </c>
      <c r="AK1" s="77" t="s">
        <v>1058</v>
      </c>
      <c r="AL1" s="71" t="s">
        <v>1059</v>
      </c>
      <c r="AM1" s="71" t="s">
        <v>1060</v>
      </c>
      <c r="AN1" s="71" t="s">
        <v>1061</v>
      </c>
      <c r="AO1" s="71" t="s">
        <v>696</v>
      </c>
      <c r="AP1" s="71" t="s">
        <v>1062</v>
      </c>
      <c r="AQ1" s="71" t="s">
        <v>1063</v>
      </c>
      <c r="AR1" s="68"/>
      <c r="AS1" s="68"/>
      <c r="AT1" s="68"/>
      <c r="AU1" s="68"/>
      <c r="AV1" s="68"/>
      <c r="AW1" s="68"/>
      <c r="AX1" s="68"/>
      <c r="AY1" s="68"/>
      <c r="AZ1" s="68"/>
      <c r="BA1" s="68"/>
      <c r="BB1" s="68"/>
      <c r="BC1" s="68"/>
      <c r="BD1" s="68"/>
      <c r="BE1" s="68"/>
      <c r="BF1" s="68"/>
      <c r="BG1" s="68"/>
      <c r="BH1" s="68"/>
      <c r="BI1" s="68"/>
      <c r="BJ1" s="68"/>
      <c r="BK1" s="68"/>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c r="DK1" s="68"/>
      <c r="DL1" s="68"/>
      <c r="DM1" s="68"/>
      <c r="DN1" s="68"/>
      <c r="DO1" s="68"/>
      <c r="DP1" s="68"/>
      <c r="DQ1" s="68"/>
      <c r="DR1" s="68"/>
      <c r="DS1" s="68"/>
      <c r="DT1" s="68"/>
      <c r="DU1" s="68"/>
      <c r="DV1" s="68"/>
      <c r="DW1" s="68"/>
      <c r="DX1" s="68"/>
      <c r="DY1" s="68"/>
      <c r="DZ1" s="68"/>
      <c r="EA1" s="68"/>
      <c r="EB1" s="68"/>
      <c r="EC1" s="68"/>
      <c r="ED1" s="68"/>
      <c r="EE1" s="68"/>
      <c r="EF1" s="68"/>
      <c r="EG1" s="68"/>
      <c r="EH1" s="68"/>
      <c r="EI1" s="68"/>
      <c r="EJ1" s="68"/>
      <c r="EK1" s="68"/>
      <c r="EL1" s="68"/>
      <c r="EM1" s="68"/>
      <c r="EN1" s="68"/>
      <c r="EO1" s="68"/>
      <c r="EP1" s="68"/>
      <c r="EQ1" s="68"/>
      <c r="ER1" s="68"/>
      <c r="ES1" s="68"/>
      <c r="ET1" s="68"/>
      <c r="EU1" s="68"/>
      <c r="EV1" s="68"/>
      <c r="EW1" s="68"/>
      <c r="EX1" s="68"/>
      <c r="EY1" s="68"/>
      <c r="EZ1" s="68"/>
      <c r="FA1" s="68"/>
      <c r="FB1" s="68"/>
      <c r="FC1" s="68"/>
      <c r="FD1" s="68"/>
      <c r="FE1" s="68"/>
      <c r="FF1" s="68"/>
      <c r="FG1" s="68"/>
      <c r="FH1" s="68"/>
      <c r="FI1" s="68"/>
      <c r="FJ1" s="68"/>
      <c r="FK1" s="68"/>
    </row>
    <row r="2" spans="1:167" s="16" customFormat="1" ht="15" customHeight="1">
      <c r="A2" s="80"/>
      <c r="B2" s="91">
        <v>10101</v>
      </c>
      <c r="C2" s="81" t="s">
        <v>924</v>
      </c>
      <c r="D2" s="81" t="s">
        <v>483</v>
      </c>
      <c r="E2" s="81" t="s">
        <v>483</v>
      </c>
      <c r="F2" s="97" t="s">
        <v>1013</v>
      </c>
      <c r="G2" s="96" t="s">
        <v>1019</v>
      </c>
      <c r="H2" s="95">
        <v>40</v>
      </c>
      <c r="I2" s="95">
        <v>70</v>
      </c>
      <c r="J2" s="92">
        <v>10102</v>
      </c>
      <c r="K2" s="85" t="s">
        <v>483</v>
      </c>
      <c r="L2" s="85" t="s">
        <v>483</v>
      </c>
      <c r="M2" s="85">
        <v>0</v>
      </c>
      <c r="N2" s="85" t="s">
        <v>1064</v>
      </c>
      <c r="O2" s="85">
        <v>3</v>
      </c>
      <c r="P2" s="85">
        <v>3</v>
      </c>
      <c r="Q2" s="85">
        <v>11</v>
      </c>
      <c r="R2" s="85">
        <v>1</v>
      </c>
      <c r="S2" s="93">
        <v>101</v>
      </c>
      <c r="T2" s="73" t="s">
        <v>519</v>
      </c>
      <c r="U2" s="85">
        <v>11</v>
      </c>
      <c r="V2" s="85">
        <v>1</v>
      </c>
      <c r="W2" s="85" t="s">
        <v>967</v>
      </c>
      <c r="X2" s="85" t="s">
        <v>968</v>
      </c>
      <c r="Y2" s="85" t="s">
        <v>967</v>
      </c>
      <c r="Z2" s="85" t="s">
        <v>969</v>
      </c>
      <c r="AA2" s="85" t="s">
        <v>483</v>
      </c>
      <c r="AB2" s="85" t="s">
        <v>483</v>
      </c>
      <c r="AC2" s="86" t="s">
        <v>695</v>
      </c>
      <c r="AD2" s="84"/>
      <c r="AE2" s="85" t="s">
        <v>1065</v>
      </c>
      <c r="AF2" s="85" t="s">
        <v>1066</v>
      </c>
      <c r="AG2" s="85">
        <v>1</v>
      </c>
      <c r="AH2" s="85" t="s">
        <v>483</v>
      </c>
      <c r="AI2" s="85">
        <v>0</v>
      </c>
      <c r="AJ2" s="85">
        <v>20002</v>
      </c>
      <c r="AK2" s="85">
        <v>20003</v>
      </c>
      <c r="AL2" s="85">
        <v>20004</v>
      </c>
      <c r="AM2" s="85">
        <v>0</v>
      </c>
      <c r="AN2" s="85">
        <v>1</v>
      </c>
      <c r="AO2" s="94" t="s">
        <v>1023</v>
      </c>
      <c r="AP2" s="85" t="s">
        <v>1067</v>
      </c>
      <c r="AQ2" s="68" t="s">
        <v>955</v>
      </c>
      <c r="AR2" s="69"/>
      <c r="AS2" s="83" t="s">
        <v>943</v>
      </c>
      <c r="AT2" s="83"/>
      <c r="AU2" s="83"/>
      <c r="AV2" s="83"/>
      <c r="AW2" s="83" t="e">
        <v>#NAME?</v>
      </c>
      <c r="AX2" s="69"/>
      <c r="AY2" s="69"/>
      <c r="AZ2" s="69"/>
      <c r="BA2" s="69"/>
      <c r="BB2" s="69"/>
      <c r="BC2" s="69"/>
      <c r="BD2" s="69"/>
      <c r="BE2" s="69"/>
      <c r="BF2" s="69"/>
      <c r="BG2" s="69"/>
      <c r="BH2" s="69"/>
      <c r="BI2" s="69"/>
      <c r="BJ2" s="69"/>
      <c r="BK2" s="69"/>
      <c r="BL2" s="69"/>
      <c r="BM2" s="69"/>
      <c r="BN2" s="69"/>
      <c r="BO2" s="69"/>
      <c r="BP2" s="69"/>
      <c r="BQ2" s="69"/>
      <c r="BR2" s="69"/>
      <c r="BS2" s="69"/>
      <c r="BT2" s="69"/>
      <c r="BU2" s="69"/>
      <c r="BV2" s="69"/>
      <c r="BW2" s="69"/>
      <c r="BX2" s="69"/>
      <c r="BY2" s="69"/>
      <c r="BZ2" s="69"/>
      <c r="CA2" s="69"/>
      <c r="CB2" s="69"/>
      <c r="CC2" s="69"/>
      <c r="CD2" s="69"/>
      <c r="CE2" s="69"/>
      <c r="CF2" s="69"/>
      <c r="CG2" s="69"/>
      <c r="CH2" s="69"/>
      <c r="CI2" s="69"/>
      <c r="CJ2" s="69"/>
      <c r="CK2" s="69"/>
      <c r="CL2" s="69"/>
      <c r="CM2" s="69"/>
      <c r="CN2" s="69"/>
      <c r="CO2" s="69"/>
      <c r="CP2" s="69"/>
      <c r="CQ2" s="69"/>
      <c r="CR2" s="69"/>
      <c r="CS2" s="69"/>
      <c r="CT2" s="69"/>
      <c r="CU2" s="69"/>
      <c r="CV2" s="69"/>
      <c r="CW2" s="69"/>
      <c r="CX2" s="69"/>
      <c r="CY2" s="69"/>
      <c r="CZ2" s="69"/>
      <c r="DA2" s="69"/>
      <c r="DB2" s="69"/>
      <c r="DC2" s="69"/>
      <c r="DD2" s="69"/>
      <c r="DE2" s="69"/>
      <c r="DF2" s="69"/>
      <c r="DG2" s="69"/>
      <c r="DH2" s="69"/>
      <c r="DI2" s="69"/>
      <c r="DJ2" s="69"/>
      <c r="DK2" s="69"/>
      <c r="DL2" s="69"/>
      <c r="DM2" s="69"/>
      <c r="DN2" s="69"/>
      <c r="DO2" s="69"/>
      <c r="DP2" s="69"/>
      <c r="DQ2" s="69"/>
      <c r="DR2" s="69"/>
      <c r="DS2" s="69"/>
      <c r="DT2" s="69"/>
      <c r="DU2" s="69"/>
      <c r="DV2" s="69"/>
      <c r="DW2" s="69"/>
      <c r="DX2" s="69"/>
      <c r="DY2" s="69"/>
      <c r="DZ2" s="69"/>
      <c r="EA2" s="69"/>
      <c r="EB2" s="69"/>
      <c r="EC2" s="69"/>
      <c r="ED2" s="69"/>
      <c r="EE2" s="69"/>
      <c r="EF2" s="69"/>
      <c r="EG2" s="69"/>
      <c r="EH2" s="69"/>
      <c r="EI2" s="69"/>
      <c r="EJ2" s="69"/>
      <c r="EK2" s="69"/>
      <c r="EL2" s="69"/>
      <c r="EM2" s="69"/>
      <c r="EN2" s="69"/>
      <c r="EO2" s="69"/>
      <c r="EP2" s="69"/>
      <c r="EQ2" s="69"/>
      <c r="ER2" s="69"/>
      <c r="ES2" s="69"/>
      <c r="ET2" s="69"/>
      <c r="EU2" s="69"/>
      <c r="EV2" s="69"/>
      <c r="EW2" s="69"/>
      <c r="EX2" s="69"/>
      <c r="EY2" s="69"/>
      <c r="EZ2" s="69"/>
      <c r="FA2" s="69"/>
      <c r="FB2" s="69"/>
      <c r="FC2" s="69"/>
      <c r="FD2" s="69"/>
      <c r="FE2" s="69"/>
      <c r="FF2" s="69"/>
      <c r="FG2" s="69"/>
      <c r="FH2" s="69"/>
      <c r="FI2" s="69"/>
      <c r="FJ2" s="69"/>
      <c r="FK2" s="69"/>
    </row>
    <row r="3" spans="1:167" s="16" customFormat="1" ht="15" customHeight="1">
      <c r="A3" s="80"/>
      <c r="B3" s="91">
        <v>10102</v>
      </c>
      <c r="C3" s="81" t="s">
        <v>918</v>
      </c>
      <c r="D3" s="81" t="s">
        <v>483</v>
      </c>
      <c r="E3" s="81" t="s">
        <v>483</v>
      </c>
      <c r="F3" s="97" t="s">
        <v>1011</v>
      </c>
      <c r="G3" s="96" t="s">
        <v>1020</v>
      </c>
      <c r="H3" s="95">
        <v>160</v>
      </c>
      <c r="I3" s="95">
        <v>280</v>
      </c>
      <c r="J3" s="92">
        <v>10103</v>
      </c>
      <c r="K3" s="85" t="s">
        <v>483</v>
      </c>
      <c r="L3" s="85" t="s">
        <v>483</v>
      </c>
      <c r="M3" s="85">
        <v>0</v>
      </c>
      <c r="N3" s="85">
        <v>10001</v>
      </c>
      <c r="O3" s="85">
        <v>3</v>
      </c>
      <c r="P3" s="85">
        <v>3</v>
      </c>
      <c r="Q3" s="85">
        <v>11</v>
      </c>
      <c r="R3" s="85">
        <v>1</v>
      </c>
      <c r="S3" s="93">
        <v>102</v>
      </c>
      <c r="T3" s="73" t="s">
        <v>520</v>
      </c>
      <c r="U3" s="85">
        <v>11</v>
      </c>
      <c r="V3" s="85">
        <v>1</v>
      </c>
      <c r="W3" s="85">
        <v>1</v>
      </c>
      <c r="X3" s="85">
        <v>4</v>
      </c>
      <c r="Y3" s="85">
        <v>1</v>
      </c>
      <c r="Z3" s="85">
        <v>8</v>
      </c>
      <c r="AA3" s="85" t="s">
        <v>483</v>
      </c>
      <c r="AB3" s="80" t="s">
        <v>483</v>
      </c>
      <c r="AC3" s="86" t="s">
        <v>695</v>
      </c>
      <c r="AD3" s="84"/>
      <c r="AE3" s="85" t="s">
        <v>1065</v>
      </c>
      <c r="AF3" s="85" t="s">
        <v>1066</v>
      </c>
      <c r="AG3" s="85">
        <v>1</v>
      </c>
      <c r="AH3" s="85" t="s">
        <v>483</v>
      </c>
      <c r="AI3" s="85">
        <v>0</v>
      </c>
      <c r="AJ3" s="85">
        <v>20002</v>
      </c>
      <c r="AK3" s="85">
        <v>20003</v>
      </c>
      <c r="AL3" s="85">
        <v>20004</v>
      </c>
      <c r="AM3" s="85">
        <v>0</v>
      </c>
      <c r="AN3" s="85">
        <v>1</v>
      </c>
      <c r="AO3" s="94" t="s">
        <v>1023</v>
      </c>
      <c r="AP3" s="85" t="s">
        <v>490</v>
      </c>
      <c r="AQ3" s="68" t="s">
        <v>955</v>
      </c>
      <c r="AR3" s="69"/>
      <c r="AS3" s="83"/>
      <c r="AT3" s="83"/>
      <c r="AU3" s="83"/>
      <c r="AV3" s="83"/>
      <c r="AW3" s="83"/>
      <c r="AX3" s="69"/>
      <c r="AY3" s="69"/>
      <c r="AZ3" s="69"/>
      <c r="BA3" s="69"/>
      <c r="BB3" s="69"/>
      <c r="BC3" s="69"/>
      <c r="BD3" s="69"/>
      <c r="BE3" s="69"/>
      <c r="BF3" s="69"/>
      <c r="BG3" s="69"/>
      <c r="BH3" s="69"/>
      <c r="BI3" s="69"/>
      <c r="BJ3" s="69"/>
      <c r="BK3" s="69"/>
      <c r="BL3" s="69"/>
      <c r="BM3" s="69"/>
      <c r="BN3" s="69"/>
      <c r="BO3" s="69"/>
      <c r="BP3" s="69"/>
      <c r="BQ3" s="69"/>
      <c r="BR3" s="69"/>
      <c r="BS3" s="69"/>
      <c r="BT3" s="69"/>
      <c r="BU3" s="69"/>
      <c r="BV3" s="69"/>
      <c r="BW3" s="69"/>
      <c r="BX3" s="69"/>
      <c r="BY3" s="69"/>
      <c r="BZ3" s="69"/>
      <c r="CA3" s="69"/>
      <c r="CB3" s="69"/>
      <c r="CC3" s="69"/>
      <c r="CD3" s="69"/>
      <c r="CE3" s="69"/>
      <c r="CF3" s="69"/>
      <c r="CG3" s="69"/>
      <c r="CH3" s="69"/>
      <c r="CI3" s="69"/>
      <c r="CJ3" s="69"/>
      <c r="CK3" s="69"/>
      <c r="CL3" s="69"/>
      <c r="CM3" s="69"/>
      <c r="CN3" s="69"/>
      <c r="CO3" s="69"/>
      <c r="CP3" s="69"/>
      <c r="CQ3" s="69"/>
      <c r="CR3" s="69"/>
      <c r="CS3" s="69"/>
      <c r="CT3" s="69"/>
      <c r="CU3" s="69"/>
      <c r="CV3" s="69"/>
      <c r="CW3" s="69"/>
      <c r="CX3" s="69"/>
      <c r="CY3" s="69"/>
      <c r="CZ3" s="69"/>
      <c r="DA3" s="69"/>
      <c r="DB3" s="69"/>
      <c r="DC3" s="69"/>
      <c r="DD3" s="69"/>
      <c r="DE3" s="69"/>
      <c r="DF3" s="69"/>
      <c r="DG3" s="69"/>
      <c r="DH3" s="69"/>
      <c r="DI3" s="69"/>
      <c r="DJ3" s="69"/>
      <c r="DK3" s="69"/>
      <c r="DL3" s="69"/>
      <c r="DM3" s="69"/>
      <c r="DN3" s="69"/>
      <c r="DO3" s="69"/>
      <c r="DP3" s="69"/>
      <c r="DQ3" s="69"/>
      <c r="DR3" s="69"/>
      <c r="DS3" s="69"/>
      <c r="DT3" s="69"/>
      <c r="DU3" s="69"/>
      <c r="DV3" s="69"/>
      <c r="DW3" s="69"/>
      <c r="DX3" s="69"/>
      <c r="DY3" s="69"/>
      <c r="DZ3" s="69"/>
      <c r="EA3" s="69"/>
      <c r="EB3" s="69"/>
      <c r="EC3" s="69"/>
      <c r="ED3" s="69"/>
      <c r="EE3" s="69"/>
      <c r="EF3" s="69"/>
      <c r="EG3" s="69"/>
      <c r="EH3" s="69"/>
      <c r="EI3" s="69"/>
      <c r="EJ3" s="69"/>
      <c r="EK3" s="69"/>
      <c r="EL3" s="69"/>
      <c r="EM3" s="69"/>
      <c r="EN3" s="69"/>
      <c r="EO3" s="69"/>
      <c r="EP3" s="69"/>
      <c r="EQ3" s="69"/>
      <c r="ER3" s="69"/>
      <c r="ES3" s="69"/>
      <c r="ET3" s="69"/>
      <c r="EU3" s="69"/>
      <c r="EV3" s="69"/>
      <c r="EW3" s="69"/>
      <c r="EX3" s="69"/>
      <c r="EY3" s="69"/>
      <c r="EZ3" s="69"/>
      <c r="FA3" s="69"/>
      <c r="FB3" s="69"/>
      <c r="FC3" s="69"/>
      <c r="FD3" s="69"/>
      <c r="FE3" s="69"/>
      <c r="FF3" s="69"/>
      <c r="FG3" s="69"/>
      <c r="FH3" s="69"/>
      <c r="FI3" s="69"/>
      <c r="FJ3" s="69"/>
      <c r="FK3" s="69"/>
    </row>
    <row r="4" spans="1:167" s="16" customFormat="1" ht="15" customHeight="1">
      <c r="A4" s="80"/>
      <c r="B4" s="91">
        <v>10103</v>
      </c>
      <c r="C4" s="81" t="s">
        <v>1098</v>
      </c>
      <c r="D4" s="81" t="s">
        <v>483</v>
      </c>
      <c r="E4" s="81" t="s">
        <v>483</v>
      </c>
      <c r="F4" s="97" t="s">
        <v>1010</v>
      </c>
      <c r="G4" s="96" t="s">
        <v>1017</v>
      </c>
      <c r="H4" s="95">
        <v>440</v>
      </c>
      <c r="I4" s="95">
        <v>420</v>
      </c>
      <c r="J4" s="92">
        <v>10104</v>
      </c>
      <c r="K4" s="85" t="s">
        <v>483</v>
      </c>
      <c r="L4" s="85" t="s">
        <v>483</v>
      </c>
      <c r="M4" s="85">
        <v>0</v>
      </c>
      <c r="N4" s="85">
        <v>10001</v>
      </c>
      <c r="O4" s="85">
        <v>3</v>
      </c>
      <c r="P4" s="85">
        <v>3</v>
      </c>
      <c r="Q4" s="85">
        <v>11</v>
      </c>
      <c r="R4" s="85">
        <v>1</v>
      </c>
      <c r="S4" s="93">
        <v>103</v>
      </c>
      <c r="T4" s="73" t="s">
        <v>521</v>
      </c>
      <c r="U4" s="85" t="s">
        <v>973</v>
      </c>
      <c r="V4" s="85" t="s">
        <v>968</v>
      </c>
      <c r="W4" s="85" t="s">
        <v>968</v>
      </c>
      <c r="X4" s="85" t="s">
        <v>974</v>
      </c>
      <c r="Y4" s="85" t="s">
        <v>968</v>
      </c>
      <c r="Z4" s="85" t="s">
        <v>975</v>
      </c>
      <c r="AA4" s="85" t="s">
        <v>483</v>
      </c>
      <c r="AB4" s="85" t="s">
        <v>483</v>
      </c>
      <c r="AC4" s="86" t="s">
        <v>695</v>
      </c>
      <c r="AD4" s="84"/>
      <c r="AE4" s="85" t="s">
        <v>1065</v>
      </c>
      <c r="AF4" s="85" t="s">
        <v>1066</v>
      </c>
      <c r="AG4" s="85">
        <v>1</v>
      </c>
      <c r="AH4" s="85" t="s">
        <v>483</v>
      </c>
      <c r="AI4" s="85">
        <v>0</v>
      </c>
      <c r="AJ4" s="85">
        <v>20002</v>
      </c>
      <c r="AK4" s="85">
        <v>20003</v>
      </c>
      <c r="AL4" s="85">
        <v>20004</v>
      </c>
      <c r="AM4" s="85">
        <v>0</v>
      </c>
      <c r="AN4" s="85">
        <v>1</v>
      </c>
      <c r="AO4" s="94" t="s">
        <v>1023</v>
      </c>
      <c r="AP4" s="87" t="s">
        <v>482</v>
      </c>
      <c r="AQ4" s="68" t="s">
        <v>955</v>
      </c>
      <c r="AR4" s="69"/>
      <c r="AS4" s="83"/>
      <c r="AT4" s="83"/>
      <c r="AU4" s="83"/>
      <c r="AV4" s="83"/>
      <c r="AW4" s="83"/>
      <c r="AX4" s="69"/>
      <c r="AY4" s="69"/>
      <c r="AZ4" s="69"/>
      <c r="BA4" s="69"/>
      <c r="BB4" s="69"/>
      <c r="BC4" s="69"/>
      <c r="BD4" s="69"/>
      <c r="BE4" s="69"/>
      <c r="BF4" s="69"/>
      <c r="BG4" s="69"/>
      <c r="BH4" s="69"/>
      <c r="BI4" s="69"/>
      <c r="BJ4" s="69"/>
      <c r="BK4" s="69"/>
      <c r="BL4" s="69"/>
      <c r="BM4" s="69"/>
      <c r="BN4" s="69"/>
      <c r="BO4" s="69"/>
      <c r="BP4" s="69"/>
      <c r="BQ4" s="69"/>
      <c r="BR4" s="69"/>
      <c r="BS4" s="69"/>
      <c r="BT4" s="69"/>
      <c r="BU4" s="69"/>
      <c r="BV4" s="69"/>
      <c r="BW4" s="69"/>
      <c r="BX4" s="69"/>
      <c r="BY4" s="69"/>
      <c r="BZ4" s="69"/>
      <c r="CA4" s="69"/>
      <c r="CB4" s="69"/>
      <c r="CC4" s="69"/>
      <c r="CD4" s="69"/>
      <c r="CE4" s="69"/>
      <c r="CF4" s="69"/>
      <c r="CG4" s="69"/>
      <c r="CH4" s="69"/>
      <c r="CI4" s="69"/>
      <c r="CJ4" s="69"/>
      <c r="CK4" s="69"/>
      <c r="CL4" s="69"/>
      <c r="CM4" s="69"/>
      <c r="CN4" s="69"/>
      <c r="CO4" s="69"/>
      <c r="CP4" s="69"/>
      <c r="CQ4" s="69"/>
      <c r="CR4" s="69"/>
      <c r="CS4" s="69"/>
      <c r="CT4" s="69"/>
      <c r="CU4" s="69"/>
      <c r="CV4" s="69"/>
      <c r="CW4" s="69"/>
      <c r="CX4" s="69"/>
      <c r="CY4" s="69"/>
      <c r="CZ4" s="69"/>
      <c r="DA4" s="69"/>
      <c r="DB4" s="69"/>
      <c r="DC4" s="69"/>
      <c r="DD4" s="69"/>
      <c r="DE4" s="69"/>
      <c r="DF4" s="69"/>
      <c r="DG4" s="69"/>
      <c r="DH4" s="69"/>
      <c r="DI4" s="69"/>
      <c r="DJ4" s="69"/>
      <c r="DK4" s="69"/>
      <c r="DL4" s="69"/>
      <c r="DM4" s="69"/>
      <c r="DN4" s="69"/>
      <c r="DO4" s="69"/>
      <c r="DP4" s="69"/>
      <c r="DQ4" s="69"/>
      <c r="DR4" s="69"/>
      <c r="DS4" s="69"/>
      <c r="DT4" s="69"/>
      <c r="DU4" s="69"/>
      <c r="DV4" s="69"/>
      <c r="DW4" s="69"/>
      <c r="DX4" s="69"/>
      <c r="DY4" s="69"/>
      <c r="DZ4" s="69"/>
      <c r="EA4" s="69"/>
      <c r="EB4" s="69"/>
      <c r="EC4" s="69"/>
      <c r="ED4" s="69"/>
      <c r="EE4" s="69"/>
      <c r="EF4" s="69"/>
      <c r="EG4" s="69"/>
      <c r="EH4" s="69"/>
      <c r="EI4" s="69"/>
      <c r="EJ4" s="69"/>
      <c r="EK4" s="69"/>
      <c r="EL4" s="69"/>
      <c r="EM4" s="69"/>
      <c r="EN4" s="69"/>
      <c r="EO4" s="69"/>
      <c r="EP4" s="69"/>
      <c r="EQ4" s="69"/>
      <c r="ER4" s="69"/>
      <c r="ES4" s="69"/>
      <c r="ET4" s="69"/>
      <c r="EU4" s="69"/>
      <c r="EV4" s="69"/>
      <c r="EW4" s="69"/>
      <c r="EX4" s="69"/>
      <c r="EY4" s="69"/>
      <c r="EZ4" s="69"/>
      <c r="FA4" s="69"/>
      <c r="FB4" s="69"/>
      <c r="FC4" s="69"/>
      <c r="FD4" s="69"/>
      <c r="FE4" s="69"/>
      <c r="FF4" s="69"/>
      <c r="FG4" s="69"/>
      <c r="FH4" s="69"/>
      <c r="FI4" s="69"/>
      <c r="FJ4" s="69"/>
      <c r="FK4" s="69"/>
    </row>
    <row r="5" spans="1:167" s="16" customFormat="1" ht="15" customHeight="1">
      <c r="A5" s="80"/>
      <c r="B5" s="91">
        <v>10104</v>
      </c>
      <c r="C5" s="81" t="s">
        <v>907</v>
      </c>
      <c r="D5" s="81" t="s">
        <v>483</v>
      </c>
      <c r="E5" s="81" t="s">
        <v>483</v>
      </c>
      <c r="F5" s="97" t="s">
        <v>1013</v>
      </c>
      <c r="G5" s="96" t="s">
        <v>1018</v>
      </c>
      <c r="H5" s="95">
        <v>470</v>
      </c>
      <c r="I5" s="95">
        <v>80</v>
      </c>
      <c r="J5" s="92">
        <v>10105</v>
      </c>
      <c r="K5" s="85" t="s">
        <v>483</v>
      </c>
      <c r="L5" s="85" t="s">
        <v>483</v>
      </c>
      <c r="M5" s="85">
        <v>0</v>
      </c>
      <c r="N5" s="85">
        <v>10001</v>
      </c>
      <c r="O5" s="85">
        <v>3</v>
      </c>
      <c r="P5" s="85">
        <v>3</v>
      </c>
      <c r="Q5" s="85">
        <v>11</v>
      </c>
      <c r="R5" s="85">
        <v>1</v>
      </c>
      <c r="S5" s="93">
        <v>104</v>
      </c>
      <c r="T5" s="73" t="s">
        <v>522</v>
      </c>
      <c r="U5" s="85" t="s">
        <v>973</v>
      </c>
      <c r="V5" s="85" t="s">
        <v>968</v>
      </c>
      <c r="W5" s="85" t="s">
        <v>972</v>
      </c>
      <c r="X5" s="85" t="s">
        <v>1068</v>
      </c>
      <c r="Y5" s="85" t="s">
        <v>972</v>
      </c>
      <c r="Z5" s="85" t="s">
        <v>1069</v>
      </c>
      <c r="AA5" s="85" t="s">
        <v>483</v>
      </c>
      <c r="AB5" s="80" t="s">
        <v>483</v>
      </c>
      <c r="AC5" s="86" t="s">
        <v>695</v>
      </c>
      <c r="AD5" s="84"/>
      <c r="AE5" s="85" t="s">
        <v>1065</v>
      </c>
      <c r="AF5" s="85" t="s">
        <v>1066</v>
      </c>
      <c r="AG5" s="85">
        <v>1</v>
      </c>
      <c r="AH5" s="85" t="s">
        <v>483</v>
      </c>
      <c r="AI5" s="85">
        <v>0</v>
      </c>
      <c r="AJ5" s="85">
        <v>20002</v>
      </c>
      <c r="AK5" s="85">
        <v>20003</v>
      </c>
      <c r="AL5" s="85">
        <v>20004</v>
      </c>
      <c r="AM5" s="85">
        <v>0</v>
      </c>
      <c r="AN5" s="85">
        <v>1</v>
      </c>
      <c r="AO5" s="94" t="s">
        <v>1023</v>
      </c>
      <c r="AP5" s="81" t="s">
        <v>481</v>
      </c>
      <c r="AQ5" s="68" t="s">
        <v>955</v>
      </c>
      <c r="AR5" s="69"/>
      <c r="AS5" s="83" t="s">
        <v>1070</v>
      </c>
      <c r="AT5" s="83"/>
      <c r="AU5" s="83"/>
      <c r="AV5" s="83"/>
      <c r="AW5" s="83" t="e">
        <v>#NAME?</v>
      </c>
      <c r="AX5" s="69"/>
      <c r="AY5" s="69"/>
      <c r="AZ5" s="69"/>
      <c r="BA5" s="69"/>
      <c r="BB5" s="69"/>
      <c r="BC5" s="69"/>
      <c r="BD5" s="69"/>
      <c r="BE5" s="69"/>
      <c r="BF5" s="69"/>
      <c r="BG5" s="69"/>
      <c r="BH5" s="69"/>
      <c r="BI5" s="69"/>
      <c r="BJ5" s="69"/>
      <c r="BK5" s="69"/>
      <c r="BL5" s="69"/>
      <c r="BM5" s="69"/>
      <c r="BN5" s="69"/>
      <c r="BO5" s="69"/>
      <c r="BP5" s="69"/>
      <c r="BQ5" s="69"/>
      <c r="BR5" s="69"/>
      <c r="BS5" s="69"/>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c r="DE5" s="69"/>
      <c r="DF5" s="69"/>
      <c r="DG5" s="69"/>
      <c r="DH5" s="69"/>
      <c r="DI5" s="69"/>
      <c r="DJ5" s="69"/>
      <c r="DK5" s="69"/>
      <c r="DL5" s="69"/>
      <c r="DM5" s="69"/>
      <c r="DN5" s="69"/>
      <c r="DO5" s="69"/>
      <c r="DP5" s="69"/>
      <c r="DQ5" s="69"/>
      <c r="DR5" s="69"/>
      <c r="DS5" s="69"/>
      <c r="DT5" s="69"/>
      <c r="DU5" s="69"/>
      <c r="DV5" s="69"/>
      <c r="DW5" s="69"/>
      <c r="DX5" s="69"/>
      <c r="DY5" s="69"/>
      <c r="DZ5" s="69"/>
      <c r="EA5" s="69"/>
      <c r="EB5" s="69"/>
      <c r="EC5" s="69"/>
      <c r="ED5" s="69"/>
      <c r="EE5" s="69"/>
      <c r="EF5" s="69"/>
      <c r="EG5" s="69"/>
      <c r="EH5" s="69"/>
      <c r="EI5" s="69"/>
      <c r="EJ5" s="69"/>
      <c r="EK5" s="69"/>
      <c r="EL5" s="69"/>
      <c r="EM5" s="69"/>
      <c r="EN5" s="69"/>
      <c r="EO5" s="69"/>
      <c r="EP5" s="69"/>
      <c r="EQ5" s="69"/>
      <c r="ER5" s="69"/>
      <c r="ES5" s="69"/>
      <c r="ET5" s="69"/>
      <c r="EU5" s="69"/>
      <c r="EV5" s="69"/>
      <c r="EW5" s="69"/>
      <c r="EX5" s="69"/>
      <c r="EY5" s="69"/>
      <c r="EZ5" s="69"/>
      <c r="FA5" s="69"/>
      <c r="FB5" s="69"/>
      <c r="FC5" s="69"/>
      <c r="FD5" s="69"/>
      <c r="FE5" s="69"/>
      <c r="FF5" s="69"/>
      <c r="FG5" s="69"/>
      <c r="FH5" s="69"/>
      <c r="FI5" s="69"/>
      <c r="FJ5" s="69"/>
      <c r="FK5" s="69"/>
    </row>
    <row r="6" spans="1:167" s="16" customFormat="1" ht="15" customHeight="1">
      <c r="A6" s="80"/>
      <c r="B6" s="91">
        <v>10105</v>
      </c>
      <c r="C6" s="81" t="s">
        <v>909</v>
      </c>
      <c r="D6" s="81" t="s">
        <v>483</v>
      </c>
      <c r="E6" s="81" t="s">
        <v>483</v>
      </c>
      <c r="F6" s="97" t="s">
        <v>1014</v>
      </c>
      <c r="G6" s="96" t="s">
        <v>1024</v>
      </c>
      <c r="H6" s="95">
        <v>780</v>
      </c>
      <c r="I6" s="95">
        <v>200</v>
      </c>
      <c r="J6" s="92">
        <v>0</v>
      </c>
      <c r="K6" s="85" t="s">
        <v>483</v>
      </c>
      <c r="L6" s="85" t="s">
        <v>483</v>
      </c>
      <c r="M6" s="85">
        <v>0</v>
      </c>
      <c r="N6" s="85">
        <v>10001</v>
      </c>
      <c r="O6" s="85">
        <v>3</v>
      </c>
      <c r="P6" s="85">
        <v>3</v>
      </c>
      <c r="Q6" s="85">
        <v>11</v>
      </c>
      <c r="R6" s="85">
        <v>1</v>
      </c>
      <c r="S6" s="93">
        <v>105</v>
      </c>
      <c r="T6" s="73" t="s">
        <v>523</v>
      </c>
      <c r="U6" s="85" t="s">
        <v>971</v>
      </c>
      <c r="V6" s="85" t="s">
        <v>1071</v>
      </c>
      <c r="W6" s="85" t="s">
        <v>971</v>
      </c>
      <c r="X6" s="85" t="s">
        <v>1072</v>
      </c>
      <c r="Y6" s="85" t="s">
        <v>971</v>
      </c>
      <c r="Z6" s="85" t="s">
        <v>1073</v>
      </c>
      <c r="AA6" s="85" t="s">
        <v>483</v>
      </c>
      <c r="AB6" s="85" t="s">
        <v>483</v>
      </c>
      <c r="AC6" s="86" t="s">
        <v>695</v>
      </c>
      <c r="AD6" s="84"/>
      <c r="AE6" s="85" t="s">
        <v>1065</v>
      </c>
      <c r="AF6" s="85" t="s">
        <v>1066</v>
      </c>
      <c r="AG6" s="85">
        <v>1</v>
      </c>
      <c r="AH6" s="85" t="s">
        <v>483</v>
      </c>
      <c r="AI6" s="85">
        <v>0</v>
      </c>
      <c r="AJ6" s="85">
        <v>20002</v>
      </c>
      <c r="AK6" s="85">
        <v>20003</v>
      </c>
      <c r="AL6" s="85">
        <v>20004</v>
      </c>
      <c r="AM6" s="85">
        <v>0</v>
      </c>
      <c r="AN6" s="85">
        <v>1</v>
      </c>
      <c r="AO6" s="94" t="s">
        <v>958</v>
      </c>
      <c r="AP6" s="81" t="s">
        <v>491</v>
      </c>
      <c r="AQ6" s="68" t="s">
        <v>955</v>
      </c>
      <c r="AR6" s="69"/>
      <c r="AS6" s="83"/>
      <c r="AT6" s="83"/>
      <c r="AU6" s="83"/>
      <c r="AV6" s="83"/>
      <c r="AW6" s="83"/>
      <c r="AX6" s="69"/>
      <c r="AY6" s="69"/>
      <c r="AZ6" s="69"/>
      <c r="BA6" s="69"/>
      <c r="BB6" s="69"/>
      <c r="BC6" s="69"/>
      <c r="BD6" s="69"/>
      <c r="BE6" s="69"/>
      <c r="BF6" s="69"/>
      <c r="BG6" s="69"/>
      <c r="BH6" s="69"/>
      <c r="BI6" s="69"/>
      <c r="BJ6" s="69"/>
      <c r="BK6" s="69"/>
      <c r="BL6" s="69"/>
      <c r="BM6" s="69"/>
      <c r="BN6" s="69"/>
      <c r="BO6" s="69"/>
      <c r="BP6" s="69"/>
      <c r="BQ6" s="69"/>
      <c r="BR6" s="69"/>
      <c r="BS6" s="69"/>
      <c r="BT6" s="69"/>
      <c r="BU6" s="69"/>
      <c r="BV6" s="69"/>
      <c r="BW6" s="69"/>
      <c r="BX6" s="69"/>
      <c r="BY6" s="69"/>
      <c r="BZ6" s="69"/>
      <c r="CA6" s="69"/>
      <c r="CB6" s="69"/>
      <c r="CC6" s="69"/>
      <c r="CD6" s="69"/>
      <c r="CE6" s="69"/>
      <c r="CF6" s="69"/>
      <c r="CG6" s="69"/>
      <c r="CH6" s="69"/>
      <c r="CI6" s="69"/>
      <c r="CJ6" s="69"/>
      <c r="CK6" s="69"/>
      <c r="CL6" s="69"/>
      <c r="CM6" s="69"/>
      <c r="CN6" s="69"/>
      <c r="CO6" s="69"/>
      <c r="CP6" s="69"/>
      <c r="CQ6" s="69"/>
      <c r="CR6" s="69"/>
      <c r="CS6" s="69"/>
      <c r="CT6" s="69"/>
      <c r="CU6" s="69"/>
      <c r="CV6" s="69"/>
      <c r="CW6" s="69"/>
      <c r="CX6" s="69"/>
      <c r="CY6" s="69"/>
      <c r="CZ6" s="69"/>
      <c r="DA6" s="69"/>
      <c r="DB6" s="69"/>
      <c r="DC6" s="69"/>
      <c r="DD6" s="69"/>
      <c r="DE6" s="69"/>
      <c r="DF6" s="69"/>
      <c r="DG6" s="69"/>
      <c r="DH6" s="69"/>
      <c r="DI6" s="69"/>
      <c r="DJ6" s="69"/>
      <c r="DK6" s="69"/>
      <c r="DL6" s="69"/>
      <c r="DM6" s="69"/>
      <c r="DN6" s="69"/>
      <c r="DO6" s="69"/>
      <c r="DP6" s="69"/>
      <c r="DQ6" s="69"/>
      <c r="DR6" s="69"/>
      <c r="DS6" s="69"/>
      <c r="DT6" s="69"/>
      <c r="DU6" s="69"/>
      <c r="DV6" s="69"/>
      <c r="DW6" s="69"/>
      <c r="DX6" s="69"/>
      <c r="DY6" s="69"/>
      <c r="DZ6" s="69"/>
      <c r="EA6" s="69"/>
      <c r="EB6" s="69"/>
      <c r="EC6" s="69"/>
      <c r="ED6" s="69"/>
      <c r="EE6" s="69"/>
      <c r="EF6" s="69"/>
      <c r="EG6" s="69"/>
      <c r="EH6" s="69"/>
      <c r="EI6" s="69"/>
      <c r="EJ6" s="69"/>
      <c r="EK6" s="69"/>
      <c r="EL6" s="69"/>
      <c r="EM6" s="69"/>
      <c r="EN6" s="69"/>
      <c r="EO6" s="69"/>
      <c r="EP6" s="69"/>
      <c r="EQ6" s="69"/>
      <c r="ER6" s="69"/>
      <c r="ES6" s="69"/>
      <c r="ET6" s="69"/>
      <c r="EU6" s="69"/>
      <c r="EV6" s="69"/>
      <c r="EW6" s="69"/>
      <c r="EX6" s="69"/>
      <c r="EY6" s="69"/>
      <c r="EZ6" s="69"/>
      <c r="FA6" s="69"/>
      <c r="FB6" s="69"/>
      <c r="FC6" s="69"/>
      <c r="FD6" s="69"/>
      <c r="FE6" s="69"/>
      <c r="FF6" s="69"/>
      <c r="FG6" s="69"/>
      <c r="FH6" s="69"/>
      <c r="FI6" s="69"/>
      <c r="FJ6" s="69"/>
      <c r="FK6" s="69"/>
    </row>
    <row r="7" spans="1:167" s="16" customFormat="1" ht="15" customHeight="1">
      <c r="A7" s="80"/>
      <c r="B7" s="91">
        <v>10201</v>
      </c>
      <c r="C7" s="81" t="s">
        <v>940</v>
      </c>
      <c r="D7" s="81" t="s">
        <v>483</v>
      </c>
      <c r="E7" s="81" t="s">
        <v>483</v>
      </c>
      <c r="F7" s="97" t="s">
        <v>1015</v>
      </c>
      <c r="G7" s="96" t="s">
        <v>1019</v>
      </c>
      <c r="H7" s="95">
        <v>60</v>
      </c>
      <c r="I7" s="95">
        <v>390</v>
      </c>
      <c r="J7" s="92">
        <v>10202</v>
      </c>
      <c r="K7" s="85" t="s">
        <v>483</v>
      </c>
      <c r="L7" s="85" t="s">
        <v>483</v>
      </c>
      <c r="M7" s="85">
        <v>0</v>
      </c>
      <c r="N7" s="85">
        <v>10001</v>
      </c>
      <c r="O7" s="85">
        <v>3</v>
      </c>
      <c r="P7" s="85">
        <v>3</v>
      </c>
      <c r="Q7" s="85">
        <v>11</v>
      </c>
      <c r="R7" s="85">
        <v>1</v>
      </c>
      <c r="S7" s="93">
        <v>201</v>
      </c>
      <c r="T7" s="73" t="s">
        <v>524</v>
      </c>
      <c r="U7" s="85">
        <v>11</v>
      </c>
      <c r="V7" s="85">
        <v>1</v>
      </c>
      <c r="W7" s="85">
        <v>1</v>
      </c>
      <c r="X7" s="85" t="s">
        <v>969</v>
      </c>
      <c r="Y7" s="85">
        <v>1</v>
      </c>
      <c r="Z7" s="85" t="s">
        <v>970</v>
      </c>
      <c r="AA7" s="85" t="s">
        <v>483</v>
      </c>
      <c r="AB7" s="80" t="s">
        <v>483</v>
      </c>
      <c r="AC7" s="86" t="s">
        <v>695</v>
      </c>
      <c r="AD7" s="84"/>
      <c r="AE7" s="85" t="s">
        <v>1065</v>
      </c>
      <c r="AF7" s="85" t="s">
        <v>1066</v>
      </c>
      <c r="AG7" s="85">
        <v>1</v>
      </c>
      <c r="AH7" s="85" t="s">
        <v>483</v>
      </c>
      <c r="AI7" s="85">
        <v>0</v>
      </c>
      <c r="AJ7" s="85">
        <v>20002</v>
      </c>
      <c r="AK7" s="85">
        <v>20003</v>
      </c>
      <c r="AL7" s="85">
        <v>20004</v>
      </c>
      <c r="AM7" s="85">
        <v>0</v>
      </c>
      <c r="AN7" s="85">
        <v>1</v>
      </c>
      <c r="AO7" s="94" t="s">
        <v>1023</v>
      </c>
      <c r="AP7" s="81" t="s">
        <v>492</v>
      </c>
      <c r="AQ7" s="68" t="s">
        <v>955</v>
      </c>
      <c r="AR7" s="69"/>
      <c r="AS7" s="83"/>
      <c r="AT7" s="83"/>
      <c r="AU7" s="83"/>
      <c r="AV7" s="83"/>
      <c r="AW7" s="83"/>
      <c r="AX7" s="69"/>
      <c r="AY7" s="69"/>
      <c r="AZ7" s="69"/>
      <c r="BA7" s="69"/>
      <c r="BB7" s="69"/>
      <c r="BC7" s="69"/>
      <c r="BD7" s="69"/>
      <c r="BE7" s="69"/>
      <c r="BF7" s="69"/>
      <c r="BG7" s="69"/>
      <c r="BH7" s="69"/>
      <c r="BI7" s="69"/>
      <c r="BJ7" s="69"/>
      <c r="BK7" s="69"/>
      <c r="BL7" s="69"/>
      <c r="BM7" s="69"/>
      <c r="BN7" s="69"/>
      <c r="BO7" s="69"/>
      <c r="BP7" s="69"/>
      <c r="BQ7" s="69"/>
      <c r="BR7" s="69"/>
      <c r="BS7" s="69"/>
      <c r="BT7" s="69"/>
      <c r="BU7" s="69"/>
      <c r="BV7" s="69"/>
      <c r="BW7" s="69"/>
      <c r="BX7" s="69"/>
      <c r="BY7" s="69"/>
      <c r="BZ7" s="69"/>
      <c r="CA7" s="69"/>
      <c r="CB7" s="69"/>
      <c r="CC7" s="69"/>
      <c r="CD7" s="69"/>
      <c r="CE7" s="69"/>
      <c r="CF7" s="69"/>
      <c r="CG7" s="69"/>
      <c r="CH7" s="69"/>
      <c r="CI7" s="69"/>
      <c r="CJ7" s="69"/>
      <c r="CK7" s="69"/>
      <c r="CL7" s="69"/>
      <c r="CM7" s="69"/>
      <c r="CN7" s="69"/>
      <c r="CO7" s="69"/>
      <c r="CP7" s="69"/>
      <c r="CQ7" s="69"/>
      <c r="CR7" s="69"/>
      <c r="CS7" s="69"/>
      <c r="CT7" s="69"/>
      <c r="CU7" s="69"/>
      <c r="CV7" s="69"/>
      <c r="CW7" s="69"/>
      <c r="CX7" s="69"/>
      <c r="CY7" s="69"/>
      <c r="CZ7" s="69"/>
      <c r="DA7" s="69"/>
      <c r="DB7" s="69"/>
      <c r="DC7" s="69"/>
      <c r="DD7" s="69"/>
      <c r="DE7" s="69"/>
      <c r="DF7" s="69"/>
      <c r="DG7" s="69"/>
      <c r="DH7" s="69"/>
      <c r="DI7" s="69"/>
      <c r="DJ7" s="69"/>
      <c r="DK7" s="69"/>
      <c r="DL7" s="69"/>
      <c r="DM7" s="69"/>
      <c r="DN7" s="69"/>
      <c r="DO7" s="69"/>
      <c r="DP7" s="69"/>
      <c r="DQ7" s="69"/>
      <c r="DR7" s="69"/>
      <c r="DS7" s="69"/>
      <c r="DT7" s="69"/>
      <c r="DU7" s="69"/>
      <c r="DV7" s="69"/>
      <c r="DW7" s="69"/>
      <c r="DX7" s="69"/>
      <c r="DY7" s="69"/>
      <c r="DZ7" s="69"/>
      <c r="EA7" s="69"/>
      <c r="EB7" s="69"/>
      <c r="EC7" s="69"/>
      <c r="ED7" s="69"/>
      <c r="EE7" s="69"/>
      <c r="EF7" s="69"/>
      <c r="EG7" s="69"/>
      <c r="EH7" s="69"/>
      <c r="EI7" s="69"/>
      <c r="EJ7" s="69"/>
      <c r="EK7" s="69"/>
      <c r="EL7" s="69"/>
      <c r="EM7" s="69"/>
      <c r="EN7" s="69"/>
      <c r="EO7" s="69"/>
      <c r="EP7" s="69"/>
      <c r="EQ7" s="69"/>
      <c r="ER7" s="69"/>
      <c r="ES7" s="69"/>
      <c r="ET7" s="69"/>
      <c r="EU7" s="69"/>
      <c r="EV7" s="69"/>
      <c r="EW7" s="69"/>
      <c r="EX7" s="69"/>
      <c r="EY7" s="69"/>
      <c r="EZ7" s="69"/>
      <c r="FA7" s="69"/>
      <c r="FB7" s="69"/>
      <c r="FC7" s="69"/>
      <c r="FD7" s="69"/>
      <c r="FE7" s="69"/>
      <c r="FF7" s="69"/>
      <c r="FG7" s="69"/>
      <c r="FH7" s="69"/>
      <c r="FI7" s="69"/>
      <c r="FJ7" s="69"/>
      <c r="FK7" s="69"/>
    </row>
    <row r="8" spans="1:167" s="16" customFormat="1" ht="15" customHeight="1">
      <c r="A8" s="80"/>
      <c r="B8" s="91">
        <v>10202</v>
      </c>
      <c r="C8" s="81" t="s">
        <v>910</v>
      </c>
      <c r="D8" s="81" t="s">
        <v>483</v>
      </c>
      <c r="E8" s="81" t="s">
        <v>483</v>
      </c>
      <c r="F8" s="97" t="s">
        <v>1012</v>
      </c>
      <c r="G8" s="96" t="s">
        <v>1020</v>
      </c>
      <c r="H8" s="95">
        <v>110</v>
      </c>
      <c r="I8" s="95">
        <v>120</v>
      </c>
      <c r="J8" s="92">
        <v>10203</v>
      </c>
      <c r="K8" s="85" t="s">
        <v>483</v>
      </c>
      <c r="L8" s="85" t="s">
        <v>483</v>
      </c>
      <c r="M8" s="85">
        <v>0</v>
      </c>
      <c r="N8" s="85">
        <v>10001</v>
      </c>
      <c r="O8" s="85">
        <v>3</v>
      </c>
      <c r="P8" s="85">
        <v>3</v>
      </c>
      <c r="Q8" s="85">
        <v>11</v>
      </c>
      <c r="R8" s="85">
        <v>1</v>
      </c>
      <c r="S8" s="93">
        <v>202</v>
      </c>
      <c r="T8" s="73" t="s">
        <v>525</v>
      </c>
      <c r="U8" s="85">
        <v>11</v>
      </c>
      <c r="V8" s="85">
        <v>1</v>
      </c>
      <c r="W8" s="85">
        <v>1</v>
      </c>
      <c r="X8" s="85">
        <v>4</v>
      </c>
      <c r="Y8" s="85">
        <v>1</v>
      </c>
      <c r="Z8" s="85">
        <v>8</v>
      </c>
      <c r="AA8" s="85" t="s">
        <v>483</v>
      </c>
      <c r="AB8" s="85" t="s">
        <v>483</v>
      </c>
      <c r="AC8" s="86" t="s">
        <v>695</v>
      </c>
      <c r="AD8" s="84"/>
      <c r="AE8" s="85" t="s">
        <v>1065</v>
      </c>
      <c r="AF8" s="85" t="s">
        <v>1066</v>
      </c>
      <c r="AG8" s="85">
        <v>1</v>
      </c>
      <c r="AH8" s="85" t="s">
        <v>483</v>
      </c>
      <c r="AI8" s="85">
        <v>0</v>
      </c>
      <c r="AJ8" s="85">
        <v>20002</v>
      </c>
      <c r="AK8" s="85">
        <v>20003</v>
      </c>
      <c r="AL8" s="85">
        <v>20004</v>
      </c>
      <c r="AM8" s="85">
        <v>0</v>
      </c>
      <c r="AN8" s="85">
        <v>1</v>
      </c>
      <c r="AO8" s="94" t="s">
        <v>1023</v>
      </c>
      <c r="AP8" s="88" t="s">
        <v>493</v>
      </c>
      <c r="AQ8" s="68" t="s">
        <v>955</v>
      </c>
      <c r="AR8" s="69"/>
      <c r="AS8" s="83" t="s">
        <v>1074</v>
      </c>
      <c r="AT8" s="83"/>
      <c r="AU8" s="83"/>
      <c r="AV8" s="83"/>
      <c r="AW8" s="83" t="e">
        <v>#NAME?</v>
      </c>
      <c r="AX8" s="69"/>
      <c r="AY8" s="69"/>
      <c r="AZ8" s="69"/>
      <c r="BA8" s="69"/>
      <c r="BB8" s="69"/>
      <c r="BC8" s="69"/>
      <c r="BD8" s="69"/>
      <c r="BE8" s="69"/>
      <c r="BF8" s="69"/>
      <c r="BG8" s="69"/>
      <c r="BH8" s="69"/>
      <c r="BI8" s="69"/>
      <c r="BJ8" s="69"/>
      <c r="BK8" s="69"/>
      <c r="BL8" s="69"/>
      <c r="BM8" s="69"/>
      <c r="BN8" s="69"/>
      <c r="BO8" s="69"/>
      <c r="BP8" s="69"/>
      <c r="BQ8" s="69"/>
      <c r="BR8" s="69"/>
      <c r="BS8" s="69"/>
      <c r="BT8" s="69"/>
      <c r="BU8" s="69"/>
      <c r="BV8" s="69"/>
      <c r="BW8" s="69"/>
      <c r="BX8" s="69"/>
      <c r="BY8" s="69"/>
      <c r="BZ8" s="69"/>
      <c r="CA8" s="69"/>
      <c r="CB8" s="69"/>
      <c r="CC8" s="69"/>
      <c r="CD8" s="69"/>
      <c r="CE8" s="69"/>
      <c r="CF8" s="69"/>
      <c r="CG8" s="69"/>
      <c r="CH8" s="69"/>
      <c r="CI8" s="69"/>
      <c r="CJ8" s="69"/>
      <c r="CK8" s="69"/>
      <c r="CL8" s="69"/>
      <c r="CM8" s="69"/>
      <c r="CN8" s="69"/>
      <c r="CO8" s="69"/>
      <c r="CP8" s="69"/>
      <c r="CQ8" s="69"/>
      <c r="CR8" s="69"/>
      <c r="CS8" s="69"/>
      <c r="CT8" s="69"/>
      <c r="CU8" s="69"/>
      <c r="CV8" s="69"/>
      <c r="CW8" s="69"/>
      <c r="CX8" s="69"/>
      <c r="CY8" s="69"/>
      <c r="CZ8" s="69"/>
      <c r="DA8" s="69"/>
      <c r="DB8" s="69"/>
      <c r="DC8" s="69"/>
      <c r="DD8" s="69"/>
      <c r="DE8" s="69"/>
      <c r="DF8" s="69"/>
      <c r="DG8" s="69"/>
      <c r="DH8" s="69"/>
      <c r="DI8" s="69"/>
      <c r="DJ8" s="69"/>
      <c r="DK8" s="69"/>
      <c r="DL8" s="69"/>
      <c r="DM8" s="69"/>
      <c r="DN8" s="69"/>
      <c r="DO8" s="69"/>
      <c r="DP8" s="69"/>
      <c r="DQ8" s="69"/>
      <c r="DR8" s="69"/>
      <c r="DS8" s="69"/>
      <c r="DT8" s="69"/>
      <c r="DU8" s="69"/>
      <c r="DV8" s="69"/>
      <c r="DW8" s="69"/>
      <c r="DX8" s="69"/>
      <c r="DY8" s="69"/>
      <c r="DZ8" s="69"/>
      <c r="EA8" s="69"/>
      <c r="EB8" s="69"/>
      <c r="EC8" s="69"/>
      <c r="ED8" s="69"/>
      <c r="EE8" s="69"/>
      <c r="EF8" s="69"/>
      <c r="EG8" s="69"/>
      <c r="EH8" s="69"/>
      <c r="EI8" s="69"/>
      <c r="EJ8" s="69"/>
      <c r="EK8" s="69"/>
      <c r="EL8" s="69"/>
      <c r="EM8" s="69"/>
      <c r="EN8" s="69"/>
      <c r="EO8" s="69"/>
      <c r="EP8" s="69"/>
      <c r="EQ8" s="69"/>
      <c r="ER8" s="69"/>
      <c r="ES8" s="69"/>
      <c r="ET8" s="69"/>
      <c r="EU8" s="69"/>
      <c r="EV8" s="69"/>
      <c r="EW8" s="69"/>
      <c r="EX8" s="69"/>
      <c r="EY8" s="69"/>
      <c r="EZ8" s="69"/>
      <c r="FA8" s="69"/>
      <c r="FB8" s="69"/>
      <c r="FC8" s="69"/>
      <c r="FD8" s="69"/>
      <c r="FE8" s="69"/>
      <c r="FF8" s="69"/>
      <c r="FG8" s="69"/>
      <c r="FH8" s="69"/>
      <c r="FI8" s="69"/>
      <c r="FJ8" s="69"/>
      <c r="FK8" s="69"/>
    </row>
    <row r="9" spans="1:167" s="16" customFormat="1" ht="15" customHeight="1">
      <c r="A9" s="80"/>
      <c r="B9" s="91">
        <v>10203</v>
      </c>
      <c r="C9" s="81" t="s">
        <v>925</v>
      </c>
      <c r="D9" s="81" t="s">
        <v>483</v>
      </c>
      <c r="E9" s="81" t="s">
        <v>483</v>
      </c>
      <c r="F9" s="97" t="s">
        <v>1016</v>
      </c>
      <c r="G9" s="96" t="s">
        <v>1017</v>
      </c>
      <c r="H9" s="95">
        <v>510</v>
      </c>
      <c r="I9" s="95">
        <v>370</v>
      </c>
      <c r="J9" s="92">
        <v>10204</v>
      </c>
      <c r="K9" s="85" t="s">
        <v>483</v>
      </c>
      <c r="L9" s="85" t="s">
        <v>483</v>
      </c>
      <c r="M9" s="85">
        <v>0</v>
      </c>
      <c r="N9" s="85">
        <v>10001</v>
      </c>
      <c r="O9" s="85">
        <v>3</v>
      </c>
      <c r="P9" s="85">
        <v>3</v>
      </c>
      <c r="Q9" s="85">
        <v>11</v>
      </c>
      <c r="R9" s="85">
        <v>1</v>
      </c>
      <c r="S9" s="93">
        <v>203</v>
      </c>
      <c r="T9" s="73" t="s">
        <v>526</v>
      </c>
      <c r="U9" s="85">
        <v>11</v>
      </c>
      <c r="V9" s="85">
        <v>1</v>
      </c>
      <c r="W9" s="85">
        <v>1</v>
      </c>
      <c r="X9" s="85" t="s">
        <v>969</v>
      </c>
      <c r="Y9" s="85">
        <v>1</v>
      </c>
      <c r="Z9" s="85" t="s">
        <v>970</v>
      </c>
      <c r="AA9" s="85" t="s">
        <v>483</v>
      </c>
      <c r="AB9" s="85" t="s">
        <v>483</v>
      </c>
      <c r="AC9" s="86" t="s">
        <v>695</v>
      </c>
      <c r="AD9" s="84"/>
      <c r="AE9" s="85" t="s">
        <v>1065</v>
      </c>
      <c r="AF9" s="85" t="s">
        <v>1066</v>
      </c>
      <c r="AG9" s="85">
        <v>1</v>
      </c>
      <c r="AH9" s="85" t="s">
        <v>483</v>
      </c>
      <c r="AI9" s="85">
        <v>0</v>
      </c>
      <c r="AJ9" s="85">
        <v>20002</v>
      </c>
      <c r="AK9" s="85">
        <v>20003</v>
      </c>
      <c r="AL9" s="85">
        <v>20004</v>
      </c>
      <c r="AM9" s="85">
        <v>0</v>
      </c>
      <c r="AN9" s="85">
        <v>1</v>
      </c>
      <c r="AO9" s="94" t="s">
        <v>1023</v>
      </c>
      <c r="AP9" s="85" t="s">
        <v>1075</v>
      </c>
      <c r="AQ9" s="68" t="s">
        <v>954</v>
      </c>
      <c r="AR9" s="69"/>
      <c r="AS9" s="83" t="s">
        <v>1076</v>
      </c>
      <c r="AT9" s="83"/>
      <c r="AU9" s="83"/>
      <c r="AV9" s="83"/>
      <c r="AW9" s="83" t="e">
        <v>#NAME?</v>
      </c>
      <c r="AX9" s="69"/>
      <c r="AY9" s="69"/>
      <c r="AZ9" s="69"/>
      <c r="BA9" s="69"/>
      <c r="BB9" s="69"/>
      <c r="BC9" s="69"/>
      <c r="BD9" s="69"/>
      <c r="BE9" s="69"/>
      <c r="BF9" s="69"/>
      <c r="BG9" s="69"/>
      <c r="BH9" s="69"/>
      <c r="BI9" s="69"/>
      <c r="BJ9" s="69"/>
      <c r="BK9" s="69"/>
      <c r="BL9" s="69"/>
      <c r="BM9" s="69"/>
      <c r="BN9" s="69"/>
      <c r="BO9" s="69"/>
      <c r="BP9" s="69"/>
      <c r="BQ9" s="69"/>
      <c r="BR9" s="69"/>
      <c r="BS9" s="69"/>
      <c r="BT9" s="69"/>
      <c r="BU9" s="69"/>
      <c r="BV9" s="69"/>
      <c r="BW9" s="69"/>
      <c r="BX9" s="69"/>
      <c r="BY9" s="69"/>
      <c r="BZ9" s="69"/>
      <c r="CA9" s="69"/>
      <c r="CB9" s="69"/>
      <c r="CC9" s="69"/>
      <c r="CD9" s="69"/>
      <c r="CE9" s="69"/>
      <c r="CF9" s="69"/>
      <c r="CG9" s="69"/>
      <c r="CH9" s="69"/>
      <c r="CI9" s="69"/>
      <c r="CJ9" s="69"/>
      <c r="CK9" s="69"/>
      <c r="CL9" s="69"/>
      <c r="CM9" s="69"/>
      <c r="CN9" s="69"/>
      <c r="CO9" s="69"/>
      <c r="CP9" s="69"/>
      <c r="CQ9" s="69"/>
      <c r="CR9" s="69"/>
      <c r="CS9" s="69"/>
      <c r="CT9" s="69"/>
      <c r="CU9" s="69"/>
      <c r="CV9" s="69"/>
      <c r="CW9" s="69"/>
      <c r="CX9" s="69"/>
      <c r="CY9" s="69"/>
      <c r="CZ9" s="69"/>
      <c r="DA9" s="69"/>
      <c r="DB9" s="69"/>
      <c r="DC9" s="69"/>
      <c r="DD9" s="69"/>
      <c r="DE9" s="69"/>
      <c r="DF9" s="69"/>
      <c r="DG9" s="69"/>
      <c r="DH9" s="69"/>
      <c r="DI9" s="69"/>
      <c r="DJ9" s="69"/>
      <c r="DK9" s="69"/>
      <c r="DL9" s="69"/>
      <c r="DM9" s="69"/>
      <c r="DN9" s="69"/>
      <c r="DO9" s="69"/>
      <c r="DP9" s="69"/>
      <c r="DQ9" s="69"/>
      <c r="DR9" s="69"/>
      <c r="DS9" s="69"/>
      <c r="DT9" s="69"/>
      <c r="DU9" s="69"/>
      <c r="DV9" s="69"/>
      <c r="DW9" s="69"/>
      <c r="DX9" s="69"/>
      <c r="DY9" s="69"/>
      <c r="DZ9" s="69"/>
      <c r="EA9" s="69"/>
      <c r="EB9" s="69"/>
      <c r="EC9" s="69"/>
      <c r="ED9" s="69"/>
      <c r="EE9" s="69"/>
      <c r="EF9" s="69"/>
      <c r="EG9" s="69"/>
      <c r="EH9" s="69"/>
      <c r="EI9" s="69"/>
      <c r="EJ9" s="69"/>
      <c r="EK9" s="69"/>
      <c r="EL9" s="69"/>
      <c r="EM9" s="69"/>
      <c r="EN9" s="69"/>
      <c r="EO9" s="69"/>
      <c r="EP9" s="69"/>
      <c r="EQ9" s="69"/>
      <c r="ER9" s="69"/>
      <c r="ES9" s="69"/>
      <c r="ET9" s="69"/>
      <c r="EU9" s="69"/>
      <c r="EV9" s="69"/>
      <c r="EW9" s="69"/>
      <c r="EX9" s="69"/>
      <c r="EY9" s="69"/>
      <c r="EZ9" s="69"/>
      <c r="FA9" s="69"/>
      <c r="FB9" s="69"/>
      <c r="FC9" s="69"/>
      <c r="FD9" s="69"/>
      <c r="FE9" s="69"/>
      <c r="FF9" s="69"/>
      <c r="FG9" s="69"/>
      <c r="FH9" s="69"/>
      <c r="FI9" s="69"/>
      <c r="FJ9" s="69"/>
      <c r="FK9" s="69"/>
    </row>
    <row r="10" spans="1:167" s="16" customFormat="1" ht="15" customHeight="1">
      <c r="A10" s="80"/>
      <c r="B10" s="91">
        <v>10204</v>
      </c>
      <c r="C10" s="81" t="s">
        <v>934</v>
      </c>
      <c r="D10" s="81" t="s">
        <v>483</v>
      </c>
      <c r="E10" s="81" t="s">
        <v>483</v>
      </c>
      <c r="F10" s="97" t="s">
        <v>1009</v>
      </c>
      <c r="G10" s="96" t="s">
        <v>1018</v>
      </c>
      <c r="H10" s="95">
        <v>440</v>
      </c>
      <c r="I10" s="95">
        <v>70</v>
      </c>
      <c r="J10" s="92">
        <v>10205</v>
      </c>
      <c r="K10" s="85" t="s">
        <v>483</v>
      </c>
      <c r="L10" s="85" t="s">
        <v>483</v>
      </c>
      <c r="M10" s="85">
        <v>0</v>
      </c>
      <c r="N10" s="85">
        <v>10001</v>
      </c>
      <c r="O10" s="85">
        <v>3</v>
      </c>
      <c r="P10" s="85">
        <v>3</v>
      </c>
      <c r="Q10" s="85">
        <v>11</v>
      </c>
      <c r="R10" s="85">
        <v>1</v>
      </c>
      <c r="S10" s="93">
        <v>204</v>
      </c>
      <c r="T10" s="73" t="s">
        <v>527</v>
      </c>
      <c r="U10" s="85">
        <v>11</v>
      </c>
      <c r="V10" s="85">
        <v>1</v>
      </c>
      <c r="W10" s="85">
        <v>1</v>
      </c>
      <c r="X10" s="85">
        <v>4</v>
      </c>
      <c r="Y10" s="85">
        <v>1</v>
      </c>
      <c r="Z10" s="85">
        <v>8</v>
      </c>
      <c r="AA10" s="85" t="s">
        <v>483</v>
      </c>
      <c r="AB10" s="80" t="s">
        <v>483</v>
      </c>
      <c r="AC10" s="86" t="s">
        <v>695</v>
      </c>
      <c r="AD10" s="84"/>
      <c r="AE10" s="85" t="s">
        <v>1065</v>
      </c>
      <c r="AF10" s="85" t="s">
        <v>1066</v>
      </c>
      <c r="AG10" s="85">
        <v>1</v>
      </c>
      <c r="AH10" s="85" t="s">
        <v>483</v>
      </c>
      <c r="AI10" s="85">
        <v>0</v>
      </c>
      <c r="AJ10" s="85">
        <v>20002</v>
      </c>
      <c r="AK10" s="85">
        <v>20003</v>
      </c>
      <c r="AL10" s="85">
        <v>20004</v>
      </c>
      <c r="AM10" s="85">
        <v>0</v>
      </c>
      <c r="AN10" s="85">
        <v>1</v>
      </c>
      <c r="AO10" s="94" t="s">
        <v>1023</v>
      </c>
      <c r="AP10" s="85" t="s">
        <v>484</v>
      </c>
      <c r="AQ10" s="68" t="s">
        <v>954</v>
      </c>
      <c r="AR10" s="69"/>
      <c r="AS10" s="83"/>
      <c r="AT10" s="83"/>
      <c r="AU10" s="83"/>
      <c r="AV10" s="83"/>
      <c r="AW10" s="83"/>
      <c r="AX10" s="69"/>
      <c r="AY10" s="69"/>
      <c r="AZ10" s="69"/>
      <c r="BA10" s="69"/>
      <c r="BB10" s="69"/>
      <c r="BC10" s="69"/>
      <c r="BD10" s="69"/>
      <c r="BE10" s="69"/>
      <c r="BF10" s="69"/>
      <c r="BG10" s="69"/>
      <c r="BH10" s="69"/>
      <c r="BI10" s="69"/>
      <c r="BJ10" s="69"/>
      <c r="BK10" s="69"/>
      <c r="BL10" s="69"/>
      <c r="BM10" s="69"/>
      <c r="BN10" s="69"/>
      <c r="BO10" s="69"/>
      <c r="BP10" s="69"/>
      <c r="BQ10" s="69"/>
      <c r="BR10" s="69"/>
      <c r="BS10" s="69"/>
      <c r="BT10" s="69"/>
      <c r="BU10" s="69"/>
      <c r="BV10" s="69"/>
      <c r="BW10" s="69"/>
      <c r="BX10" s="69"/>
      <c r="BY10" s="69"/>
      <c r="BZ10" s="69"/>
      <c r="CA10" s="69"/>
      <c r="CB10" s="69"/>
      <c r="CC10" s="69"/>
      <c r="CD10" s="69"/>
      <c r="CE10" s="69"/>
      <c r="CF10" s="69"/>
      <c r="CG10" s="69"/>
      <c r="CH10" s="69"/>
      <c r="CI10" s="69"/>
      <c r="CJ10" s="69"/>
      <c r="CK10" s="69"/>
      <c r="CL10" s="69"/>
      <c r="CM10" s="69"/>
      <c r="CN10" s="69"/>
      <c r="CO10" s="69"/>
      <c r="CP10" s="69"/>
      <c r="CQ10" s="69"/>
      <c r="CR10" s="69"/>
      <c r="CS10" s="69"/>
      <c r="CT10" s="69"/>
      <c r="CU10" s="69"/>
      <c r="CV10" s="69"/>
      <c r="CW10" s="69"/>
      <c r="CX10" s="69"/>
      <c r="CY10" s="69"/>
      <c r="CZ10" s="69"/>
      <c r="DA10" s="69"/>
      <c r="DB10" s="69"/>
      <c r="DC10" s="69"/>
      <c r="DD10" s="69"/>
      <c r="DE10" s="69"/>
      <c r="DF10" s="69"/>
      <c r="DG10" s="69"/>
      <c r="DH10" s="69"/>
      <c r="DI10" s="69"/>
      <c r="DJ10" s="69"/>
      <c r="DK10" s="69"/>
      <c r="DL10" s="69"/>
      <c r="DM10" s="69"/>
      <c r="DN10" s="69"/>
      <c r="DO10" s="69"/>
      <c r="DP10" s="69"/>
      <c r="DQ10" s="69"/>
      <c r="DR10" s="69"/>
      <c r="DS10" s="69"/>
      <c r="DT10" s="69"/>
      <c r="DU10" s="69"/>
      <c r="DV10" s="69"/>
      <c r="DW10" s="69"/>
      <c r="DX10" s="69"/>
      <c r="DY10" s="69"/>
      <c r="DZ10" s="69"/>
      <c r="EA10" s="69"/>
      <c r="EB10" s="69"/>
      <c r="EC10" s="69"/>
      <c r="ED10" s="69"/>
      <c r="EE10" s="69"/>
      <c r="EF10" s="69"/>
      <c r="EG10" s="69"/>
      <c r="EH10" s="69"/>
      <c r="EI10" s="69"/>
      <c r="EJ10" s="69"/>
      <c r="EK10" s="69"/>
      <c r="EL10" s="69"/>
      <c r="EM10" s="69"/>
      <c r="EN10" s="69"/>
      <c r="EO10" s="69"/>
      <c r="EP10" s="69"/>
      <c r="EQ10" s="69"/>
      <c r="ER10" s="69"/>
      <c r="ES10" s="69"/>
      <c r="ET10" s="69"/>
      <c r="EU10" s="69"/>
      <c r="EV10" s="69"/>
      <c r="EW10" s="69"/>
      <c r="EX10" s="69"/>
      <c r="EY10" s="69"/>
      <c r="EZ10" s="69"/>
      <c r="FA10" s="69"/>
      <c r="FB10" s="69"/>
      <c r="FC10" s="69"/>
      <c r="FD10" s="69"/>
      <c r="FE10" s="69"/>
      <c r="FF10" s="69"/>
      <c r="FG10" s="69"/>
      <c r="FH10" s="69"/>
      <c r="FI10" s="69"/>
      <c r="FJ10" s="69"/>
      <c r="FK10" s="69"/>
    </row>
    <row r="11" spans="1:167" s="16" customFormat="1" ht="15" customHeight="1">
      <c r="A11" s="80"/>
      <c r="B11" s="91">
        <v>10205</v>
      </c>
      <c r="C11" s="81" t="s">
        <v>935</v>
      </c>
      <c r="D11" s="81" t="s">
        <v>483</v>
      </c>
      <c r="E11" s="81" t="s">
        <v>483</v>
      </c>
      <c r="F11" s="97" t="s">
        <v>1014</v>
      </c>
      <c r="G11" s="96" t="s">
        <v>1024</v>
      </c>
      <c r="H11" s="95">
        <v>740</v>
      </c>
      <c r="I11" s="95">
        <v>130</v>
      </c>
      <c r="J11" s="92">
        <v>0</v>
      </c>
      <c r="K11" s="85" t="s">
        <v>483</v>
      </c>
      <c r="L11" s="85" t="s">
        <v>483</v>
      </c>
      <c r="M11" s="85">
        <v>0</v>
      </c>
      <c r="N11" s="85">
        <v>10001</v>
      </c>
      <c r="O11" s="85">
        <v>3</v>
      </c>
      <c r="P11" s="85">
        <v>3</v>
      </c>
      <c r="Q11" s="85">
        <v>11</v>
      </c>
      <c r="R11" s="85">
        <v>1</v>
      </c>
      <c r="S11" s="93">
        <v>205</v>
      </c>
      <c r="T11" s="73" t="s">
        <v>528</v>
      </c>
      <c r="U11" s="85">
        <v>11</v>
      </c>
      <c r="V11" s="85">
        <v>1</v>
      </c>
      <c r="W11" s="85">
        <v>1</v>
      </c>
      <c r="X11" s="85">
        <v>4</v>
      </c>
      <c r="Y11" s="85">
        <v>1</v>
      </c>
      <c r="Z11" s="85">
        <v>8</v>
      </c>
      <c r="AA11" s="85" t="s">
        <v>483</v>
      </c>
      <c r="AB11" s="85" t="s">
        <v>483</v>
      </c>
      <c r="AC11" s="86" t="s">
        <v>695</v>
      </c>
      <c r="AD11" s="84"/>
      <c r="AE11" s="85" t="s">
        <v>1065</v>
      </c>
      <c r="AF11" s="85" t="s">
        <v>1066</v>
      </c>
      <c r="AG11" s="85">
        <v>1</v>
      </c>
      <c r="AH11" s="85" t="s">
        <v>483</v>
      </c>
      <c r="AI11" s="85">
        <v>0</v>
      </c>
      <c r="AJ11" s="85">
        <v>20002</v>
      </c>
      <c r="AK11" s="85">
        <v>20003</v>
      </c>
      <c r="AL11" s="85">
        <v>20004</v>
      </c>
      <c r="AM11" s="85">
        <v>0</v>
      </c>
      <c r="AN11" s="85">
        <v>1</v>
      </c>
      <c r="AO11" s="94" t="s">
        <v>959</v>
      </c>
      <c r="AP11" s="85" t="s">
        <v>486</v>
      </c>
      <c r="AQ11" s="68" t="s">
        <v>954</v>
      </c>
      <c r="AR11" s="69"/>
      <c r="AS11" s="83"/>
      <c r="AT11" s="83"/>
      <c r="AU11" s="83"/>
      <c r="AV11" s="83"/>
      <c r="AW11" s="83"/>
      <c r="AX11" s="69"/>
      <c r="AY11" s="69"/>
      <c r="AZ11" s="69"/>
      <c r="BA11" s="69"/>
      <c r="BB11" s="69"/>
      <c r="BC11" s="69"/>
      <c r="BD11" s="69"/>
      <c r="BE11" s="69"/>
      <c r="BF11" s="69"/>
      <c r="BG11" s="69"/>
      <c r="BH11" s="69"/>
      <c r="BI11" s="69"/>
      <c r="BJ11" s="69"/>
      <c r="BK11" s="69"/>
      <c r="BL11" s="69"/>
      <c r="BM11" s="69"/>
      <c r="BN11" s="69"/>
      <c r="BO11" s="69"/>
      <c r="BP11" s="69"/>
      <c r="BQ11" s="69"/>
      <c r="BR11" s="69"/>
      <c r="BS11" s="69"/>
      <c r="BT11" s="69"/>
      <c r="BU11" s="69"/>
      <c r="BV11" s="69"/>
      <c r="BW11" s="69"/>
      <c r="BX11" s="69"/>
      <c r="BY11" s="69"/>
      <c r="BZ11" s="69"/>
      <c r="CA11" s="69"/>
      <c r="CB11" s="69"/>
      <c r="CC11" s="69"/>
      <c r="CD11" s="69"/>
      <c r="CE11" s="69"/>
      <c r="CF11" s="69"/>
      <c r="CG11" s="69"/>
      <c r="CH11" s="69"/>
      <c r="CI11" s="69"/>
      <c r="CJ11" s="69"/>
      <c r="CK11" s="69"/>
      <c r="CL11" s="69"/>
      <c r="CM11" s="69"/>
      <c r="CN11" s="69"/>
      <c r="CO11" s="69"/>
      <c r="CP11" s="69"/>
      <c r="CQ11" s="69"/>
      <c r="CR11" s="69"/>
      <c r="CS11" s="69"/>
      <c r="CT11" s="69"/>
      <c r="CU11" s="69"/>
      <c r="CV11" s="69"/>
      <c r="CW11" s="69"/>
      <c r="CX11" s="69"/>
      <c r="CY11" s="69"/>
      <c r="CZ11" s="69"/>
      <c r="DA11" s="69"/>
      <c r="DB11" s="69"/>
      <c r="DC11" s="69"/>
      <c r="DD11" s="69"/>
      <c r="DE11" s="69"/>
      <c r="DF11" s="69"/>
      <c r="DG11" s="69"/>
      <c r="DH11" s="69"/>
      <c r="DI11" s="69"/>
      <c r="DJ11" s="69"/>
      <c r="DK11" s="69"/>
      <c r="DL11" s="69"/>
      <c r="DM11" s="69"/>
      <c r="DN11" s="69"/>
      <c r="DO11" s="69"/>
      <c r="DP11" s="69"/>
      <c r="DQ11" s="69"/>
      <c r="DR11" s="69"/>
      <c r="DS11" s="69"/>
      <c r="DT11" s="69"/>
      <c r="DU11" s="69"/>
      <c r="DV11" s="69"/>
      <c r="DW11" s="69"/>
      <c r="DX11" s="69"/>
      <c r="DY11" s="69"/>
      <c r="DZ11" s="69"/>
      <c r="EA11" s="69"/>
      <c r="EB11" s="69"/>
      <c r="EC11" s="69"/>
      <c r="ED11" s="69"/>
      <c r="EE11" s="69"/>
      <c r="EF11" s="69"/>
      <c r="EG11" s="69"/>
      <c r="EH11" s="69"/>
      <c r="EI11" s="69"/>
      <c r="EJ11" s="69"/>
      <c r="EK11" s="69"/>
      <c r="EL11" s="69"/>
      <c r="EM11" s="69"/>
      <c r="EN11" s="69"/>
      <c r="EO11" s="69"/>
      <c r="EP11" s="69"/>
      <c r="EQ11" s="69"/>
      <c r="ER11" s="69"/>
      <c r="ES11" s="69"/>
      <c r="ET11" s="69"/>
      <c r="EU11" s="69"/>
      <c r="EV11" s="69"/>
      <c r="EW11" s="69"/>
      <c r="EX11" s="69"/>
      <c r="EY11" s="69"/>
      <c r="EZ11" s="69"/>
      <c r="FA11" s="69"/>
      <c r="FB11" s="69"/>
      <c r="FC11" s="69"/>
      <c r="FD11" s="69"/>
      <c r="FE11" s="69"/>
      <c r="FF11" s="69"/>
      <c r="FG11" s="69"/>
      <c r="FH11" s="69"/>
      <c r="FI11" s="69"/>
      <c r="FJ11" s="69"/>
      <c r="FK11" s="69"/>
    </row>
    <row r="12" spans="1:167" s="16" customFormat="1" ht="15" customHeight="1">
      <c r="A12" s="80"/>
      <c r="B12" s="91">
        <v>10301</v>
      </c>
      <c r="C12" s="81" t="s">
        <v>908</v>
      </c>
      <c r="D12" s="81" t="s">
        <v>483</v>
      </c>
      <c r="E12" s="81" t="s">
        <v>483</v>
      </c>
      <c r="F12" s="97" t="s">
        <v>1011</v>
      </c>
      <c r="G12" s="96" t="s">
        <v>1021</v>
      </c>
      <c r="H12" s="95">
        <v>100</v>
      </c>
      <c r="I12" s="95">
        <v>60</v>
      </c>
      <c r="J12" s="92">
        <v>10302</v>
      </c>
      <c r="K12" s="85" t="s">
        <v>483</v>
      </c>
      <c r="L12" s="85" t="s">
        <v>483</v>
      </c>
      <c r="M12" s="85">
        <v>0</v>
      </c>
      <c r="N12" s="85">
        <v>10001</v>
      </c>
      <c r="O12" s="85">
        <v>3</v>
      </c>
      <c r="P12" s="85">
        <v>3</v>
      </c>
      <c r="Q12" s="85">
        <v>11</v>
      </c>
      <c r="R12" s="85">
        <v>1</v>
      </c>
      <c r="S12" s="93">
        <v>301</v>
      </c>
      <c r="T12" s="73" t="s">
        <v>529</v>
      </c>
      <c r="U12" s="85">
        <v>11</v>
      </c>
      <c r="V12" s="85">
        <v>1</v>
      </c>
      <c r="W12" s="85">
        <v>1</v>
      </c>
      <c r="X12" s="85">
        <v>4</v>
      </c>
      <c r="Y12" s="85">
        <v>1</v>
      </c>
      <c r="Z12" s="85">
        <v>8</v>
      </c>
      <c r="AA12" s="85" t="s">
        <v>483</v>
      </c>
      <c r="AB12" s="80" t="s">
        <v>483</v>
      </c>
      <c r="AC12" s="86" t="s">
        <v>695</v>
      </c>
      <c r="AD12" s="84"/>
      <c r="AE12" s="85" t="s">
        <v>1065</v>
      </c>
      <c r="AF12" s="85" t="s">
        <v>1066</v>
      </c>
      <c r="AG12" s="85">
        <v>1</v>
      </c>
      <c r="AH12" s="85" t="s">
        <v>483</v>
      </c>
      <c r="AI12" s="85">
        <v>0</v>
      </c>
      <c r="AJ12" s="85">
        <v>20002</v>
      </c>
      <c r="AK12" s="85">
        <v>20003</v>
      </c>
      <c r="AL12" s="85">
        <v>20004</v>
      </c>
      <c r="AM12" s="85">
        <v>0</v>
      </c>
      <c r="AN12" s="85">
        <v>1</v>
      </c>
      <c r="AO12" s="94" t="s">
        <v>1023</v>
      </c>
      <c r="AP12" s="85" t="s">
        <v>485</v>
      </c>
      <c r="AQ12" s="68" t="s">
        <v>954</v>
      </c>
      <c r="AR12" s="69"/>
      <c r="AS12" s="83" t="s">
        <v>1077</v>
      </c>
      <c r="AT12" s="83"/>
      <c r="AU12" s="83"/>
      <c r="AV12" s="83"/>
      <c r="AW12" s="83" t="e">
        <v>#NAME?</v>
      </c>
      <c r="AX12" s="69"/>
      <c r="AY12" s="69"/>
      <c r="AZ12" s="69"/>
      <c r="BA12" s="69"/>
      <c r="BB12" s="69"/>
      <c r="BC12" s="69"/>
      <c r="BD12" s="69"/>
      <c r="BE12" s="69"/>
      <c r="BF12" s="69"/>
      <c r="BG12" s="69"/>
      <c r="BH12" s="69"/>
      <c r="BI12" s="69"/>
      <c r="BJ12" s="69"/>
      <c r="BK12" s="69"/>
      <c r="BL12" s="69"/>
      <c r="BM12" s="69"/>
      <c r="BN12" s="69"/>
      <c r="BO12" s="69"/>
      <c r="BP12" s="69"/>
      <c r="BQ12" s="69"/>
      <c r="BR12" s="69"/>
      <c r="BS12" s="69"/>
      <c r="BT12" s="69"/>
      <c r="BU12" s="69"/>
      <c r="BV12" s="69"/>
      <c r="BW12" s="69"/>
      <c r="BX12" s="69"/>
      <c r="BY12" s="69"/>
      <c r="BZ12" s="69"/>
      <c r="CA12" s="69"/>
      <c r="CB12" s="69"/>
      <c r="CC12" s="69"/>
      <c r="CD12" s="69"/>
      <c r="CE12" s="69"/>
      <c r="CF12" s="69"/>
      <c r="CG12" s="69"/>
      <c r="CH12" s="69"/>
      <c r="CI12" s="69"/>
      <c r="CJ12" s="69"/>
      <c r="CK12" s="69"/>
      <c r="CL12" s="69"/>
      <c r="CM12" s="69"/>
      <c r="CN12" s="69"/>
      <c r="CO12" s="69"/>
      <c r="CP12" s="69"/>
      <c r="CQ12" s="69"/>
      <c r="CR12" s="69"/>
      <c r="CS12" s="69"/>
      <c r="CT12" s="69"/>
      <c r="CU12" s="69"/>
      <c r="CV12" s="69"/>
      <c r="CW12" s="69"/>
      <c r="CX12" s="69"/>
      <c r="CY12" s="69"/>
      <c r="CZ12" s="69"/>
      <c r="DA12" s="69"/>
      <c r="DB12" s="69"/>
      <c r="DC12" s="69"/>
      <c r="DD12" s="69"/>
      <c r="DE12" s="69"/>
      <c r="DF12" s="69"/>
      <c r="DG12" s="69"/>
      <c r="DH12" s="69"/>
      <c r="DI12" s="69"/>
      <c r="DJ12" s="69"/>
      <c r="DK12" s="69"/>
      <c r="DL12" s="69"/>
      <c r="DM12" s="69"/>
      <c r="DN12" s="69"/>
      <c r="DO12" s="69"/>
      <c r="DP12" s="69"/>
      <c r="DQ12" s="69"/>
      <c r="DR12" s="69"/>
      <c r="DS12" s="69"/>
      <c r="DT12" s="69"/>
      <c r="DU12" s="69"/>
      <c r="DV12" s="69"/>
      <c r="DW12" s="69"/>
      <c r="DX12" s="69"/>
      <c r="DY12" s="69"/>
      <c r="DZ12" s="69"/>
      <c r="EA12" s="69"/>
      <c r="EB12" s="69"/>
      <c r="EC12" s="69"/>
      <c r="ED12" s="69"/>
      <c r="EE12" s="69"/>
      <c r="EF12" s="69"/>
      <c r="EG12" s="69"/>
      <c r="EH12" s="69"/>
      <c r="EI12" s="69"/>
      <c r="EJ12" s="69"/>
      <c r="EK12" s="69"/>
      <c r="EL12" s="69"/>
      <c r="EM12" s="69"/>
      <c r="EN12" s="69"/>
      <c r="EO12" s="69"/>
      <c r="EP12" s="69"/>
      <c r="EQ12" s="69"/>
      <c r="ER12" s="69"/>
      <c r="ES12" s="69"/>
      <c r="ET12" s="69"/>
      <c r="EU12" s="69"/>
      <c r="EV12" s="69"/>
      <c r="EW12" s="69"/>
      <c r="EX12" s="69"/>
      <c r="EY12" s="69"/>
      <c r="EZ12" s="69"/>
      <c r="FA12" s="69"/>
      <c r="FB12" s="69"/>
      <c r="FC12" s="69"/>
      <c r="FD12" s="69"/>
      <c r="FE12" s="69"/>
      <c r="FF12" s="69"/>
      <c r="FG12" s="69"/>
      <c r="FH12" s="69"/>
      <c r="FI12" s="69"/>
      <c r="FJ12" s="69"/>
      <c r="FK12" s="69"/>
    </row>
    <row r="13" spans="1:167" s="16" customFormat="1" ht="15" customHeight="1">
      <c r="A13" s="80"/>
      <c r="B13" s="91">
        <v>10302</v>
      </c>
      <c r="C13" s="81" t="s">
        <v>939</v>
      </c>
      <c r="D13" s="81" t="s">
        <v>483</v>
      </c>
      <c r="E13" s="81" t="s">
        <v>483</v>
      </c>
      <c r="F13" s="97" t="s">
        <v>1010</v>
      </c>
      <c r="G13" s="96" t="s">
        <v>1020</v>
      </c>
      <c r="H13" s="95">
        <v>100</v>
      </c>
      <c r="I13" s="95">
        <v>330</v>
      </c>
      <c r="J13" s="92">
        <v>10303</v>
      </c>
      <c r="K13" s="85" t="s">
        <v>483</v>
      </c>
      <c r="L13" s="85" t="s">
        <v>483</v>
      </c>
      <c r="M13" s="85">
        <v>0</v>
      </c>
      <c r="N13" s="85">
        <v>10001</v>
      </c>
      <c r="O13" s="85">
        <v>3</v>
      </c>
      <c r="P13" s="85">
        <v>3</v>
      </c>
      <c r="Q13" s="85">
        <v>11</v>
      </c>
      <c r="R13" s="85">
        <v>1</v>
      </c>
      <c r="S13" s="93">
        <v>302</v>
      </c>
      <c r="T13" s="73" t="s">
        <v>530</v>
      </c>
      <c r="U13" s="85" t="s">
        <v>973</v>
      </c>
      <c r="V13" s="85" t="s">
        <v>968</v>
      </c>
      <c r="W13" s="85" t="s">
        <v>972</v>
      </c>
      <c r="X13" s="85" t="s">
        <v>1068</v>
      </c>
      <c r="Y13" s="85" t="s">
        <v>972</v>
      </c>
      <c r="Z13" s="85" t="s">
        <v>1069</v>
      </c>
      <c r="AA13" s="85" t="s">
        <v>483</v>
      </c>
      <c r="AB13" s="85" t="s">
        <v>483</v>
      </c>
      <c r="AC13" s="86" t="s">
        <v>695</v>
      </c>
      <c r="AD13" s="84"/>
      <c r="AE13" s="85" t="s">
        <v>1065</v>
      </c>
      <c r="AF13" s="85" t="s">
        <v>1066</v>
      </c>
      <c r="AG13" s="85">
        <v>1</v>
      </c>
      <c r="AH13" s="85" t="s">
        <v>483</v>
      </c>
      <c r="AI13" s="85">
        <v>0</v>
      </c>
      <c r="AJ13" s="85">
        <v>20002</v>
      </c>
      <c r="AK13" s="85">
        <v>20003</v>
      </c>
      <c r="AL13" s="85">
        <v>20004</v>
      </c>
      <c r="AM13" s="85">
        <v>0</v>
      </c>
      <c r="AN13" s="85">
        <v>1</v>
      </c>
      <c r="AO13" s="94" t="s">
        <v>1023</v>
      </c>
      <c r="AP13" s="85" t="s">
        <v>487</v>
      </c>
      <c r="AQ13" s="68" t="s">
        <v>954</v>
      </c>
      <c r="AR13" s="69"/>
      <c r="AS13" s="83"/>
      <c r="AT13" s="83"/>
      <c r="AU13" s="83"/>
      <c r="AV13" s="83"/>
      <c r="AW13" s="83"/>
      <c r="AX13" s="69"/>
      <c r="AY13" s="69"/>
      <c r="AZ13" s="82"/>
      <c r="BA13" s="69"/>
      <c r="BB13" s="69"/>
      <c r="BC13" s="69"/>
      <c r="BD13" s="69"/>
      <c r="BE13" s="69"/>
      <c r="BF13" s="69"/>
      <c r="BG13" s="69"/>
      <c r="BH13" s="69"/>
      <c r="BI13" s="69"/>
      <c r="BJ13" s="69"/>
      <c r="BK13" s="69"/>
      <c r="BL13" s="69"/>
      <c r="BM13" s="69"/>
      <c r="BN13" s="69"/>
      <c r="BO13" s="69"/>
      <c r="BP13" s="69"/>
      <c r="BQ13" s="69"/>
      <c r="BR13" s="69"/>
      <c r="BS13" s="69"/>
      <c r="BT13" s="69"/>
      <c r="BU13" s="69"/>
      <c r="BV13" s="69"/>
      <c r="BW13" s="69"/>
      <c r="BX13" s="69"/>
      <c r="BY13" s="69"/>
      <c r="BZ13" s="69"/>
      <c r="CA13" s="69"/>
      <c r="CB13" s="69"/>
      <c r="CC13" s="69"/>
      <c r="CD13" s="69"/>
      <c r="CE13" s="69"/>
      <c r="CF13" s="69"/>
      <c r="CG13" s="69"/>
      <c r="CH13" s="69"/>
      <c r="CI13" s="69"/>
      <c r="CJ13" s="69"/>
      <c r="CK13" s="69"/>
      <c r="CL13" s="69"/>
      <c r="CM13" s="69"/>
      <c r="CN13" s="69"/>
      <c r="CO13" s="69"/>
      <c r="CP13" s="69"/>
      <c r="CQ13" s="69"/>
      <c r="CR13" s="69"/>
      <c r="CS13" s="69"/>
      <c r="CT13" s="69"/>
      <c r="CU13" s="69"/>
      <c r="CV13" s="69"/>
      <c r="CW13" s="69"/>
      <c r="CX13" s="69"/>
      <c r="CY13" s="69"/>
      <c r="CZ13" s="69"/>
      <c r="DA13" s="69"/>
      <c r="DB13" s="69"/>
      <c r="DC13" s="69"/>
      <c r="DD13" s="69"/>
      <c r="DE13" s="69"/>
      <c r="DF13" s="69"/>
      <c r="DG13" s="69"/>
      <c r="DH13" s="69"/>
      <c r="DI13" s="69"/>
      <c r="DJ13" s="69"/>
      <c r="DK13" s="69"/>
      <c r="DL13" s="69"/>
      <c r="DM13" s="69"/>
      <c r="DN13" s="69"/>
      <c r="DO13" s="69"/>
      <c r="DP13" s="69"/>
      <c r="DQ13" s="69"/>
      <c r="DR13" s="69"/>
      <c r="DS13" s="69"/>
      <c r="DT13" s="69"/>
      <c r="DU13" s="69"/>
      <c r="DV13" s="69"/>
      <c r="DW13" s="69"/>
      <c r="DX13" s="69"/>
      <c r="DY13" s="69"/>
      <c r="DZ13" s="69"/>
      <c r="EA13" s="69"/>
      <c r="EB13" s="69"/>
      <c r="EC13" s="69"/>
      <c r="ED13" s="69"/>
      <c r="EE13" s="69"/>
      <c r="EF13" s="69"/>
      <c r="EG13" s="69"/>
      <c r="EH13" s="69"/>
      <c r="EI13" s="69"/>
      <c r="EJ13" s="69"/>
      <c r="EK13" s="69"/>
      <c r="EL13" s="69"/>
      <c r="EM13" s="69"/>
      <c r="EN13" s="69"/>
      <c r="EO13" s="69"/>
      <c r="EP13" s="69"/>
      <c r="EQ13" s="69"/>
      <c r="ER13" s="69"/>
      <c r="ES13" s="69"/>
      <c r="ET13" s="69"/>
      <c r="EU13" s="69"/>
      <c r="EV13" s="69"/>
      <c r="EW13" s="69"/>
      <c r="EX13" s="69"/>
      <c r="EY13" s="69"/>
      <c r="EZ13" s="69"/>
      <c r="FA13" s="69"/>
      <c r="FB13" s="69"/>
      <c r="FC13" s="69"/>
      <c r="FD13" s="69"/>
      <c r="FE13" s="69"/>
      <c r="FF13" s="69"/>
      <c r="FG13" s="69"/>
      <c r="FH13" s="69"/>
      <c r="FI13" s="69"/>
      <c r="FJ13" s="69"/>
      <c r="FK13" s="69"/>
    </row>
    <row r="14" spans="1:167" s="16" customFormat="1" ht="15" customHeight="1">
      <c r="A14" s="80"/>
      <c r="B14" s="91">
        <v>10303</v>
      </c>
      <c r="C14" s="81" t="s">
        <v>941</v>
      </c>
      <c r="D14" s="81" t="s">
        <v>483</v>
      </c>
      <c r="E14" s="81" t="s">
        <v>483</v>
      </c>
      <c r="F14" s="97" t="s">
        <v>1011</v>
      </c>
      <c r="G14" s="96" t="s">
        <v>1025</v>
      </c>
      <c r="H14" s="95">
        <v>400</v>
      </c>
      <c r="I14" s="95">
        <v>180</v>
      </c>
      <c r="J14" s="92">
        <v>10304</v>
      </c>
      <c r="K14" s="85" t="s">
        <v>483</v>
      </c>
      <c r="L14" s="85" t="s">
        <v>483</v>
      </c>
      <c r="M14" s="85">
        <v>0</v>
      </c>
      <c r="N14" s="85">
        <v>10001</v>
      </c>
      <c r="O14" s="85">
        <v>3</v>
      </c>
      <c r="P14" s="85">
        <v>3</v>
      </c>
      <c r="Q14" s="85">
        <v>11</v>
      </c>
      <c r="R14" s="85">
        <v>1</v>
      </c>
      <c r="S14" s="93">
        <v>303</v>
      </c>
      <c r="T14" s="73" t="s">
        <v>531</v>
      </c>
      <c r="U14" s="85">
        <v>11</v>
      </c>
      <c r="V14" s="85">
        <v>1</v>
      </c>
      <c r="W14" s="85">
        <v>1</v>
      </c>
      <c r="X14" s="85">
        <v>4</v>
      </c>
      <c r="Y14" s="85">
        <v>1</v>
      </c>
      <c r="Z14" s="85">
        <v>8</v>
      </c>
      <c r="AA14" s="85" t="s">
        <v>483</v>
      </c>
      <c r="AB14" s="80" t="s">
        <v>483</v>
      </c>
      <c r="AC14" s="86" t="s">
        <v>695</v>
      </c>
      <c r="AD14" s="84"/>
      <c r="AE14" s="85" t="s">
        <v>1065</v>
      </c>
      <c r="AF14" s="85" t="s">
        <v>1066</v>
      </c>
      <c r="AG14" s="85">
        <v>1</v>
      </c>
      <c r="AH14" s="85" t="s">
        <v>483</v>
      </c>
      <c r="AI14" s="85">
        <v>0</v>
      </c>
      <c r="AJ14" s="85">
        <v>20002</v>
      </c>
      <c r="AK14" s="85">
        <v>20003</v>
      </c>
      <c r="AL14" s="85">
        <v>20004</v>
      </c>
      <c r="AM14" s="85">
        <v>0</v>
      </c>
      <c r="AN14" s="85">
        <v>1</v>
      </c>
      <c r="AO14" s="94" t="s">
        <v>1023</v>
      </c>
      <c r="AP14" s="85" t="s">
        <v>488</v>
      </c>
      <c r="AQ14" s="68" t="s">
        <v>954</v>
      </c>
      <c r="AR14" s="69"/>
      <c r="AS14" s="83"/>
      <c r="AT14" s="83"/>
      <c r="AU14" s="83"/>
      <c r="AV14" s="83"/>
      <c r="AW14" s="83"/>
      <c r="AX14" s="69"/>
      <c r="AY14" s="69"/>
      <c r="AZ14" s="82"/>
      <c r="BA14" s="69"/>
      <c r="BB14" s="69"/>
      <c r="BC14" s="69"/>
      <c r="BD14" s="69"/>
      <c r="BE14" s="69"/>
      <c r="BF14" s="69"/>
      <c r="BG14" s="69"/>
      <c r="BH14" s="69"/>
      <c r="BI14" s="69"/>
      <c r="BJ14" s="69"/>
      <c r="BK14" s="69"/>
      <c r="BL14" s="69"/>
      <c r="BM14" s="69"/>
      <c r="BN14" s="69"/>
      <c r="BO14" s="69"/>
      <c r="BP14" s="69"/>
      <c r="BQ14" s="69"/>
      <c r="BR14" s="69"/>
      <c r="BS14" s="69"/>
      <c r="BT14" s="69"/>
      <c r="BU14" s="69"/>
      <c r="BV14" s="69"/>
      <c r="BW14" s="69"/>
      <c r="BX14" s="69"/>
      <c r="BY14" s="69"/>
      <c r="BZ14" s="69"/>
      <c r="CA14" s="69"/>
      <c r="CB14" s="69"/>
      <c r="CC14" s="69"/>
      <c r="CD14" s="69"/>
      <c r="CE14" s="69"/>
      <c r="CF14" s="69"/>
      <c r="CG14" s="69"/>
      <c r="CH14" s="69"/>
      <c r="CI14" s="69"/>
      <c r="CJ14" s="69"/>
      <c r="CK14" s="69"/>
      <c r="CL14" s="69"/>
      <c r="CM14" s="69"/>
      <c r="CN14" s="69"/>
      <c r="CO14" s="69"/>
      <c r="CP14" s="69"/>
      <c r="CQ14" s="69"/>
      <c r="CR14" s="69"/>
      <c r="CS14" s="69"/>
      <c r="CT14" s="69"/>
      <c r="CU14" s="69"/>
      <c r="CV14" s="69"/>
      <c r="CW14" s="69"/>
      <c r="CX14" s="69"/>
      <c r="CY14" s="69"/>
      <c r="CZ14" s="69"/>
      <c r="DA14" s="69"/>
      <c r="DB14" s="69"/>
      <c r="DC14" s="69"/>
      <c r="DD14" s="69"/>
      <c r="DE14" s="69"/>
      <c r="DF14" s="69"/>
      <c r="DG14" s="69"/>
      <c r="DH14" s="69"/>
      <c r="DI14" s="69"/>
      <c r="DJ14" s="69"/>
      <c r="DK14" s="69"/>
      <c r="DL14" s="69"/>
      <c r="DM14" s="69"/>
      <c r="DN14" s="69"/>
      <c r="DO14" s="69"/>
      <c r="DP14" s="69"/>
      <c r="DQ14" s="69"/>
      <c r="DR14" s="69"/>
      <c r="DS14" s="69"/>
      <c r="DT14" s="69"/>
      <c r="DU14" s="69"/>
      <c r="DV14" s="69"/>
      <c r="DW14" s="69"/>
      <c r="DX14" s="69"/>
      <c r="DY14" s="69"/>
      <c r="DZ14" s="69"/>
      <c r="EA14" s="69"/>
      <c r="EB14" s="69"/>
      <c r="EC14" s="69"/>
      <c r="ED14" s="69"/>
      <c r="EE14" s="69"/>
      <c r="EF14" s="69"/>
      <c r="EG14" s="69"/>
      <c r="EH14" s="69"/>
      <c r="EI14" s="69"/>
      <c r="EJ14" s="69"/>
      <c r="EK14" s="69"/>
      <c r="EL14" s="69"/>
      <c r="EM14" s="69"/>
      <c r="EN14" s="69"/>
      <c r="EO14" s="69"/>
      <c r="EP14" s="69"/>
      <c r="EQ14" s="69"/>
      <c r="ER14" s="69"/>
      <c r="ES14" s="69"/>
      <c r="ET14" s="69"/>
      <c r="EU14" s="69"/>
      <c r="EV14" s="69"/>
      <c r="EW14" s="69"/>
      <c r="EX14" s="69"/>
      <c r="EY14" s="69"/>
      <c r="EZ14" s="69"/>
      <c r="FA14" s="69"/>
      <c r="FB14" s="69"/>
      <c r="FC14" s="69"/>
      <c r="FD14" s="69"/>
      <c r="FE14" s="69"/>
      <c r="FF14" s="69"/>
      <c r="FG14" s="69"/>
      <c r="FH14" s="69"/>
      <c r="FI14" s="69"/>
      <c r="FJ14" s="69"/>
      <c r="FK14" s="69"/>
    </row>
    <row r="15" spans="1:167" s="16" customFormat="1" ht="15" customHeight="1">
      <c r="A15" s="80"/>
      <c r="B15" s="91">
        <v>10304</v>
      </c>
      <c r="C15" s="81" t="s">
        <v>921</v>
      </c>
      <c r="D15" s="81" t="s">
        <v>483</v>
      </c>
      <c r="E15" s="81" t="s">
        <v>483</v>
      </c>
      <c r="F15" s="97" t="s">
        <v>1013</v>
      </c>
      <c r="G15" s="96" t="s">
        <v>1017</v>
      </c>
      <c r="H15" s="95">
        <v>520</v>
      </c>
      <c r="I15" s="95">
        <v>420</v>
      </c>
      <c r="J15" s="92">
        <v>10305</v>
      </c>
      <c r="K15" s="85" t="s">
        <v>483</v>
      </c>
      <c r="L15" s="85" t="s">
        <v>483</v>
      </c>
      <c r="M15" s="85">
        <v>0</v>
      </c>
      <c r="N15" s="85">
        <v>10001</v>
      </c>
      <c r="O15" s="85">
        <v>3</v>
      </c>
      <c r="P15" s="85">
        <v>3</v>
      </c>
      <c r="Q15" s="85">
        <v>11</v>
      </c>
      <c r="R15" s="85">
        <v>1</v>
      </c>
      <c r="S15" s="93">
        <v>304</v>
      </c>
      <c r="T15" s="73" t="s">
        <v>532</v>
      </c>
      <c r="U15" s="85">
        <v>11</v>
      </c>
      <c r="V15" s="85">
        <v>1</v>
      </c>
      <c r="W15" s="85">
        <v>1</v>
      </c>
      <c r="X15" s="85">
        <v>4</v>
      </c>
      <c r="Y15" s="85">
        <v>1</v>
      </c>
      <c r="Z15" s="85">
        <v>8</v>
      </c>
      <c r="AA15" s="85" t="s">
        <v>483</v>
      </c>
      <c r="AB15" s="85" t="s">
        <v>483</v>
      </c>
      <c r="AC15" s="86" t="s">
        <v>695</v>
      </c>
      <c r="AD15" s="84"/>
      <c r="AE15" s="85" t="s">
        <v>1065</v>
      </c>
      <c r="AF15" s="85" t="s">
        <v>1066</v>
      </c>
      <c r="AG15" s="85">
        <v>1</v>
      </c>
      <c r="AH15" s="85" t="s">
        <v>483</v>
      </c>
      <c r="AI15" s="85">
        <v>0</v>
      </c>
      <c r="AJ15" s="85">
        <v>20002</v>
      </c>
      <c r="AK15" s="85">
        <v>20003</v>
      </c>
      <c r="AL15" s="85">
        <v>20004</v>
      </c>
      <c r="AM15" s="85">
        <v>0</v>
      </c>
      <c r="AN15" s="85">
        <v>1</v>
      </c>
      <c r="AO15" s="94" t="s">
        <v>1023</v>
      </c>
      <c r="AP15" s="85" t="s">
        <v>489</v>
      </c>
      <c r="AQ15" s="68" t="s">
        <v>954</v>
      </c>
      <c r="AR15" s="69"/>
      <c r="AS15" s="83" t="s">
        <v>1078</v>
      </c>
      <c r="AT15" s="83"/>
      <c r="AU15" s="83"/>
      <c r="AV15" s="83"/>
      <c r="AW15" s="83" t="e">
        <v>#NAME?</v>
      </c>
      <c r="AX15" s="69"/>
      <c r="AY15" s="69"/>
      <c r="AZ15" s="82"/>
      <c r="BA15" s="69"/>
      <c r="BB15" s="69"/>
      <c r="BC15" s="69"/>
      <c r="BD15" s="69"/>
      <c r="BE15" s="69"/>
      <c r="BF15" s="69"/>
      <c r="BG15" s="69"/>
      <c r="BH15" s="69"/>
      <c r="BI15" s="69"/>
      <c r="BJ15" s="69"/>
      <c r="BK15" s="69"/>
      <c r="BL15" s="69"/>
      <c r="BM15" s="69"/>
      <c r="BN15" s="69"/>
      <c r="BO15" s="69"/>
      <c r="BP15" s="69"/>
      <c r="BQ15" s="69"/>
      <c r="BR15" s="69"/>
      <c r="BS15" s="69"/>
      <c r="BT15" s="69"/>
      <c r="BU15" s="69"/>
      <c r="BV15" s="69"/>
      <c r="BW15" s="69"/>
      <c r="BX15" s="69"/>
      <c r="BY15" s="69"/>
      <c r="BZ15" s="69"/>
      <c r="CA15" s="69"/>
      <c r="CB15" s="69"/>
      <c r="CC15" s="69"/>
      <c r="CD15" s="69"/>
      <c r="CE15" s="69"/>
      <c r="CF15" s="69"/>
      <c r="CG15" s="69"/>
      <c r="CH15" s="69"/>
      <c r="CI15" s="69"/>
      <c r="CJ15" s="69"/>
      <c r="CK15" s="69"/>
      <c r="CL15" s="69"/>
      <c r="CM15" s="69"/>
      <c r="CN15" s="69"/>
      <c r="CO15" s="69"/>
      <c r="CP15" s="69"/>
      <c r="CQ15" s="69"/>
      <c r="CR15" s="69"/>
      <c r="CS15" s="69"/>
      <c r="CT15" s="69"/>
      <c r="CU15" s="69"/>
      <c r="CV15" s="69"/>
      <c r="CW15" s="69"/>
      <c r="CX15" s="69"/>
      <c r="CY15" s="69"/>
      <c r="CZ15" s="69"/>
      <c r="DA15" s="69"/>
      <c r="DB15" s="69"/>
      <c r="DC15" s="69"/>
      <c r="DD15" s="69"/>
      <c r="DE15" s="69"/>
      <c r="DF15" s="69"/>
      <c r="DG15" s="69"/>
      <c r="DH15" s="69"/>
      <c r="DI15" s="69"/>
      <c r="DJ15" s="69"/>
      <c r="DK15" s="69"/>
      <c r="DL15" s="69"/>
      <c r="DM15" s="69"/>
      <c r="DN15" s="69"/>
      <c r="DO15" s="69"/>
      <c r="DP15" s="69"/>
      <c r="DQ15" s="69"/>
      <c r="DR15" s="69"/>
      <c r="DS15" s="69"/>
      <c r="DT15" s="69"/>
      <c r="DU15" s="69"/>
      <c r="DV15" s="69"/>
      <c r="DW15" s="69"/>
      <c r="DX15" s="69"/>
      <c r="DY15" s="69"/>
      <c r="DZ15" s="69"/>
      <c r="EA15" s="69"/>
      <c r="EB15" s="69"/>
      <c r="EC15" s="69"/>
      <c r="ED15" s="69"/>
      <c r="EE15" s="69"/>
      <c r="EF15" s="69"/>
      <c r="EG15" s="69"/>
      <c r="EH15" s="69"/>
      <c r="EI15" s="69"/>
      <c r="EJ15" s="69"/>
      <c r="EK15" s="69"/>
      <c r="EL15" s="69"/>
      <c r="EM15" s="69"/>
      <c r="EN15" s="69"/>
      <c r="EO15" s="69"/>
      <c r="EP15" s="69"/>
      <c r="EQ15" s="69"/>
      <c r="ER15" s="69"/>
      <c r="ES15" s="69"/>
      <c r="ET15" s="69"/>
      <c r="EU15" s="69"/>
      <c r="EV15" s="69"/>
      <c r="EW15" s="69"/>
      <c r="EX15" s="69"/>
      <c r="EY15" s="69"/>
      <c r="EZ15" s="69"/>
      <c r="FA15" s="69"/>
      <c r="FB15" s="69"/>
      <c r="FC15" s="69"/>
      <c r="FD15" s="69"/>
      <c r="FE15" s="69"/>
      <c r="FF15" s="69"/>
      <c r="FG15" s="69"/>
      <c r="FH15" s="69"/>
      <c r="FI15" s="69"/>
      <c r="FJ15" s="69"/>
      <c r="FK15" s="69"/>
    </row>
    <row r="16" spans="1:167" s="16" customFormat="1" ht="14.25">
      <c r="A16" s="80"/>
      <c r="B16" s="91">
        <v>10305</v>
      </c>
      <c r="C16" s="81" t="s">
        <v>937</v>
      </c>
      <c r="D16" s="81" t="s">
        <v>483</v>
      </c>
      <c r="E16" s="81" t="s">
        <v>483</v>
      </c>
      <c r="F16" s="97" t="s">
        <v>1012</v>
      </c>
      <c r="G16" s="96" t="s">
        <v>1018</v>
      </c>
      <c r="H16" s="95">
        <v>730</v>
      </c>
      <c r="I16" s="95">
        <v>130</v>
      </c>
      <c r="J16" s="92">
        <v>0</v>
      </c>
      <c r="K16" s="85" t="s">
        <v>483</v>
      </c>
      <c r="L16" s="85" t="s">
        <v>483</v>
      </c>
      <c r="M16" s="85">
        <v>0</v>
      </c>
      <c r="N16" s="85">
        <v>10001</v>
      </c>
      <c r="O16" s="85">
        <v>3</v>
      </c>
      <c r="P16" s="85">
        <v>3</v>
      </c>
      <c r="Q16" s="85">
        <v>11</v>
      </c>
      <c r="R16" s="85">
        <v>1</v>
      </c>
      <c r="S16" s="93">
        <v>305</v>
      </c>
      <c r="T16" s="73" t="s">
        <v>533</v>
      </c>
      <c r="U16" s="85">
        <v>11</v>
      </c>
      <c r="V16" s="85">
        <v>1</v>
      </c>
      <c r="W16" s="85">
        <v>1</v>
      </c>
      <c r="X16" s="85" t="s">
        <v>969</v>
      </c>
      <c r="Y16" s="85">
        <v>1</v>
      </c>
      <c r="Z16" s="85" t="s">
        <v>970</v>
      </c>
      <c r="AA16" s="85" t="s">
        <v>483</v>
      </c>
      <c r="AB16" s="85" t="s">
        <v>483</v>
      </c>
      <c r="AC16" s="86" t="s">
        <v>695</v>
      </c>
      <c r="AD16" s="84"/>
      <c r="AE16" s="85" t="s">
        <v>1065</v>
      </c>
      <c r="AF16" s="85" t="s">
        <v>1066</v>
      </c>
      <c r="AG16" s="85">
        <v>1</v>
      </c>
      <c r="AH16" s="85" t="s">
        <v>483</v>
      </c>
      <c r="AI16" s="85">
        <v>0</v>
      </c>
      <c r="AJ16" s="85">
        <v>20002</v>
      </c>
      <c r="AK16" s="85">
        <v>20003</v>
      </c>
      <c r="AL16" s="85">
        <v>20004</v>
      </c>
      <c r="AM16" s="85">
        <v>0</v>
      </c>
      <c r="AN16" s="85">
        <v>1</v>
      </c>
      <c r="AO16" s="94" t="s">
        <v>960</v>
      </c>
      <c r="AP16" s="85" t="s">
        <v>1079</v>
      </c>
      <c r="AQ16" s="68" t="s">
        <v>957</v>
      </c>
      <c r="AR16" s="69"/>
      <c r="AS16" s="83" t="s">
        <v>1080</v>
      </c>
      <c r="AT16" s="83"/>
      <c r="AU16" s="83"/>
      <c r="AV16" s="83"/>
      <c r="AW16" s="83" t="e">
        <v>#NAME?</v>
      </c>
      <c r="AX16" s="69"/>
      <c r="AY16" s="69"/>
      <c r="AZ16" s="70"/>
      <c r="BA16" s="70"/>
      <c r="BB16" s="69"/>
      <c r="BC16" s="69"/>
      <c r="BD16" s="69"/>
      <c r="BE16" s="69"/>
      <c r="BF16" s="69"/>
      <c r="BG16" s="69"/>
      <c r="BH16" s="69"/>
      <c r="BI16" s="69"/>
      <c r="BJ16" s="69"/>
      <c r="BK16" s="69"/>
      <c r="BL16" s="69"/>
      <c r="BM16" s="69"/>
      <c r="BN16" s="69"/>
      <c r="BO16" s="69"/>
      <c r="BP16" s="69"/>
      <c r="BQ16" s="69"/>
      <c r="BR16" s="69"/>
      <c r="BS16" s="69"/>
      <c r="BT16" s="69"/>
      <c r="BU16" s="69"/>
      <c r="BV16" s="69"/>
      <c r="BW16" s="69"/>
      <c r="BX16" s="69"/>
      <c r="BY16" s="69"/>
      <c r="BZ16" s="69"/>
      <c r="CA16" s="69"/>
      <c r="CB16" s="69"/>
      <c r="CC16" s="69"/>
      <c r="CD16" s="69"/>
      <c r="CE16" s="69"/>
      <c r="CF16" s="69"/>
      <c r="CG16" s="69"/>
      <c r="CH16" s="69"/>
      <c r="CI16" s="69"/>
      <c r="CJ16" s="69"/>
      <c r="CK16" s="69"/>
      <c r="CL16" s="69"/>
      <c r="CM16" s="69"/>
      <c r="CN16" s="69"/>
      <c r="CO16" s="69"/>
      <c r="CP16" s="69"/>
      <c r="CQ16" s="69"/>
      <c r="CR16" s="69"/>
      <c r="CS16" s="69"/>
      <c r="CT16" s="69"/>
      <c r="CU16" s="69"/>
      <c r="CV16" s="69"/>
      <c r="CW16" s="69"/>
      <c r="CX16" s="69"/>
      <c r="CY16" s="69"/>
      <c r="CZ16" s="69"/>
      <c r="DA16" s="69"/>
      <c r="DB16" s="69"/>
      <c r="DC16" s="69"/>
      <c r="DD16" s="69"/>
      <c r="DE16" s="69"/>
      <c r="DF16" s="69"/>
      <c r="DG16" s="69"/>
      <c r="DH16" s="69"/>
      <c r="DI16" s="69"/>
      <c r="DJ16" s="69"/>
      <c r="DK16" s="69"/>
      <c r="DL16" s="69"/>
      <c r="DM16" s="69"/>
      <c r="DN16" s="69"/>
      <c r="DO16" s="69"/>
      <c r="DP16" s="69"/>
      <c r="DQ16" s="69"/>
      <c r="DR16" s="69"/>
      <c r="DS16" s="69"/>
      <c r="DT16" s="69"/>
      <c r="DU16" s="69"/>
      <c r="DV16" s="69"/>
      <c r="DW16" s="69"/>
      <c r="DX16" s="69"/>
      <c r="DY16" s="69"/>
      <c r="DZ16" s="69"/>
      <c r="EA16" s="69"/>
      <c r="EB16" s="69"/>
      <c r="EC16" s="69"/>
      <c r="ED16" s="69"/>
      <c r="EE16" s="69"/>
      <c r="EF16" s="69"/>
      <c r="EG16" s="69"/>
      <c r="EH16" s="69"/>
      <c r="EI16" s="69"/>
      <c r="EJ16" s="69"/>
      <c r="EK16" s="69"/>
      <c r="EL16" s="69"/>
      <c r="EM16" s="69"/>
      <c r="EN16" s="69"/>
      <c r="EO16" s="69"/>
      <c r="EP16" s="69"/>
      <c r="EQ16" s="69"/>
      <c r="ER16" s="69"/>
      <c r="ES16" s="69"/>
      <c r="ET16" s="69"/>
      <c r="EU16" s="69"/>
      <c r="EV16" s="69"/>
      <c r="EW16" s="69"/>
      <c r="EX16" s="69"/>
      <c r="EY16" s="69"/>
      <c r="EZ16" s="69"/>
      <c r="FA16" s="69"/>
      <c r="FB16" s="69"/>
      <c r="FC16" s="69"/>
      <c r="FD16" s="69"/>
      <c r="FE16" s="69"/>
      <c r="FF16" s="69"/>
      <c r="FG16" s="69"/>
      <c r="FH16" s="69"/>
      <c r="FI16" s="69"/>
      <c r="FJ16" s="69"/>
      <c r="FK16" s="69"/>
    </row>
    <row r="17" spans="1:53" s="16" customFormat="1" ht="14.25">
      <c r="A17" s="80"/>
      <c r="B17" s="91">
        <v>10401</v>
      </c>
      <c r="C17" s="81" t="s">
        <v>916</v>
      </c>
      <c r="D17" s="81" t="s">
        <v>483</v>
      </c>
      <c r="E17" s="81" t="s">
        <v>483</v>
      </c>
      <c r="F17" s="97" t="s">
        <v>1014</v>
      </c>
      <c r="G17" s="96" t="s">
        <v>1018</v>
      </c>
      <c r="H17" s="95">
        <v>60</v>
      </c>
      <c r="I17" s="95">
        <v>390</v>
      </c>
      <c r="J17" s="92">
        <v>10402</v>
      </c>
      <c r="K17" s="85" t="s">
        <v>483</v>
      </c>
      <c r="L17" s="85" t="s">
        <v>483</v>
      </c>
      <c r="M17" s="85">
        <v>0</v>
      </c>
      <c r="N17" s="85">
        <v>10001</v>
      </c>
      <c r="O17" s="85">
        <v>3</v>
      </c>
      <c r="P17" s="85">
        <v>3</v>
      </c>
      <c r="Q17" s="85">
        <v>11</v>
      </c>
      <c r="R17" s="85">
        <v>1</v>
      </c>
      <c r="S17" s="93">
        <v>401</v>
      </c>
      <c r="T17" s="73" t="s">
        <v>534</v>
      </c>
      <c r="U17" s="85">
        <v>11</v>
      </c>
      <c r="V17" s="85">
        <v>1</v>
      </c>
      <c r="W17" s="85">
        <v>1</v>
      </c>
      <c r="X17" s="85">
        <v>4</v>
      </c>
      <c r="Y17" s="85">
        <v>1</v>
      </c>
      <c r="Z17" s="85">
        <v>8</v>
      </c>
      <c r="AA17" s="85" t="s">
        <v>483</v>
      </c>
      <c r="AB17" s="80" t="s">
        <v>483</v>
      </c>
      <c r="AC17" s="86" t="s">
        <v>695</v>
      </c>
      <c r="AD17" s="84"/>
      <c r="AE17" s="85" t="s">
        <v>1065</v>
      </c>
      <c r="AF17" s="85" t="s">
        <v>1066</v>
      </c>
      <c r="AG17" s="85">
        <v>1</v>
      </c>
      <c r="AH17" s="85" t="s">
        <v>483</v>
      </c>
      <c r="AI17" s="85">
        <v>0</v>
      </c>
      <c r="AJ17" s="85">
        <v>20002</v>
      </c>
      <c r="AK17" s="85">
        <v>20003</v>
      </c>
      <c r="AL17" s="85">
        <v>20004</v>
      </c>
      <c r="AM17" s="85">
        <v>0</v>
      </c>
      <c r="AN17" s="85">
        <v>1</v>
      </c>
      <c r="AO17" s="94" t="s">
        <v>1023</v>
      </c>
      <c r="AP17" s="85" t="s">
        <v>495</v>
      </c>
      <c r="AQ17" s="68" t="s">
        <v>957</v>
      </c>
      <c r="AR17" s="69"/>
      <c r="AS17" s="83"/>
      <c r="AT17" s="83"/>
      <c r="AU17" s="83"/>
      <c r="AV17" s="83"/>
      <c r="AW17" s="83"/>
      <c r="AX17" s="69"/>
      <c r="AY17" s="69"/>
      <c r="AZ17" s="70"/>
      <c r="BA17" s="70"/>
    </row>
    <row r="18" spans="1:53" s="16" customFormat="1" ht="14.25">
      <c r="A18" s="80"/>
      <c r="B18" s="91">
        <v>10402</v>
      </c>
      <c r="C18" s="81" t="s">
        <v>938</v>
      </c>
      <c r="D18" s="81" t="s">
        <v>483</v>
      </c>
      <c r="E18" s="81" t="s">
        <v>483</v>
      </c>
      <c r="F18" s="97" t="s">
        <v>1013</v>
      </c>
      <c r="G18" s="96" t="s">
        <v>1021</v>
      </c>
      <c r="H18" s="95">
        <v>110</v>
      </c>
      <c r="I18" s="95">
        <v>120</v>
      </c>
      <c r="J18" s="92">
        <v>10403</v>
      </c>
      <c r="K18" s="85" t="s">
        <v>483</v>
      </c>
      <c r="L18" s="85" t="s">
        <v>483</v>
      </c>
      <c r="M18" s="85">
        <v>0</v>
      </c>
      <c r="N18" s="85">
        <v>10001</v>
      </c>
      <c r="O18" s="85">
        <v>3</v>
      </c>
      <c r="P18" s="85">
        <v>3</v>
      </c>
      <c r="Q18" s="85">
        <v>11</v>
      </c>
      <c r="R18" s="85">
        <v>1</v>
      </c>
      <c r="S18" s="93">
        <v>402</v>
      </c>
      <c r="T18" s="73" t="s">
        <v>535</v>
      </c>
      <c r="U18" s="85">
        <v>11</v>
      </c>
      <c r="V18" s="85">
        <v>1</v>
      </c>
      <c r="W18" s="85">
        <v>1</v>
      </c>
      <c r="X18" s="85">
        <v>4</v>
      </c>
      <c r="Y18" s="85">
        <v>1</v>
      </c>
      <c r="Z18" s="85">
        <v>8</v>
      </c>
      <c r="AA18" s="85" t="s">
        <v>483</v>
      </c>
      <c r="AB18" s="85" t="s">
        <v>483</v>
      </c>
      <c r="AC18" s="86" t="s">
        <v>695</v>
      </c>
      <c r="AD18" s="84"/>
      <c r="AE18" s="85" t="s">
        <v>1065</v>
      </c>
      <c r="AF18" s="85" t="s">
        <v>1066</v>
      </c>
      <c r="AG18" s="85">
        <v>1</v>
      </c>
      <c r="AH18" s="85" t="s">
        <v>483</v>
      </c>
      <c r="AI18" s="85">
        <v>0</v>
      </c>
      <c r="AJ18" s="85">
        <v>20002</v>
      </c>
      <c r="AK18" s="85">
        <v>20003</v>
      </c>
      <c r="AL18" s="85">
        <v>20004</v>
      </c>
      <c r="AM18" s="85">
        <v>0</v>
      </c>
      <c r="AN18" s="85">
        <v>1</v>
      </c>
      <c r="AO18" s="94" t="s">
        <v>1023</v>
      </c>
      <c r="AP18" s="85" t="s">
        <v>496</v>
      </c>
      <c r="AQ18" s="68" t="s">
        <v>957</v>
      </c>
      <c r="AR18" s="69"/>
      <c r="AS18" s="83"/>
      <c r="AT18" s="83"/>
      <c r="AU18" s="83"/>
      <c r="AV18" s="83"/>
      <c r="AW18" s="83"/>
      <c r="AX18" s="69"/>
      <c r="AY18" s="69"/>
      <c r="AZ18" s="70"/>
      <c r="BA18" s="70"/>
    </row>
    <row r="19" spans="1:53" s="16" customFormat="1" ht="14.25">
      <c r="A19" s="80"/>
      <c r="B19" s="91">
        <v>10403</v>
      </c>
      <c r="C19" s="81" t="s">
        <v>906</v>
      </c>
      <c r="D19" s="81" t="s">
        <v>483</v>
      </c>
      <c r="E19" s="81" t="s">
        <v>483</v>
      </c>
      <c r="F19" s="97" t="s">
        <v>1013</v>
      </c>
      <c r="G19" s="96" t="s">
        <v>1081</v>
      </c>
      <c r="H19" s="95">
        <v>510</v>
      </c>
      <c r="I19" s="95">
        <v>370</v>
      </c>
      <c r="J19" s="92">
        <v>10404</v>
      </c>
      <c r="K19" s="85" t="s">
        <v>483</v>
      </c>
      <c r="L19" s="85" t="s">
        <v>483</v>
      </c>
      <c r="M19" s="85">
        <v>0</v>
      </c>
      <c r="N19" s="85">
        <v>10001</v>
      </c>
      <c r="O19" s="85">
        <v>3</v>
      </c>
      <c r="P19" s="85">
        <v>3</v>
      </c>
      <c r="Q19" s="85">
        <v>11</v>
      </c>
      <c r="R19" s="85">
        <v>1</v>
      </c>
      <c r="S19" s="93">
        <v>403</v>
      </c>
      <c r="T19" s="73" t="s">
        <v>536</v>
      </c>
      <c r="U19" s="85">
        <v>11</v>
      </c>
      <c r="V19" s="85">
        <v>1</v>
      </c>
      <c r="W19" s="85">
        <v>1</v>
      </c>
      <c r="X19" s="85">
        <v>4</v>
      </c>
      <c r="Y19" s="85">
        <v>1</v>
      </c>
      <c r="Z19" s="85">
        <v>8</v>
      </c>
      <c r="AA19" s="85" t="s">
        <v>483</v>
      </c>
      <c r="AB19" s="80" t="s">
        <v>483</v>
      </c>
      <c r="AC19" s="86" t="s">
        <v>695</v>
      </c>
      <c r="AD19" s="84"/>
      <c r="AE19" s="85" t="s">
        <v>1065</v>
      </c>
      <c r="AF19" s="85" t="s">
        <v>1066</v>
      </c>
      <c r="AG19" s="85">
        <v>1</v>
      </c>
      <c r="AH19" s="85" t="s">
        <v>483</v>
      </c>
      <c r="AI19" s="85">
        <v>0</v>
      </c>
      <c r="AJ19" s="85">
        <v>20002</v>
      </c>
      <c r="AK19" s="85">
        <v>20003</v>
      </c>
      <c r="AL19" s="85">
        <v>20004</v>
      </c>
      <c r="AM19" s="85">
        <v>0</v>
      </c>
      <c r="AN19" s="85">
        <v>1</v>
      </c>
      <c r="AO19" s="94" t="s">
        <v>1023</v>
      </c>
      <c r="AP19" s="85" t="s">
        <v>494</v>
      </c>
      <c r="AQ19" s="68" t="s">
        <v>957</v>
      </c>
      <c r="AR19" s="69"/>
      <c r="AS19" s="83" t="s">
        <v>1082</v>
      </c>
      <c r="AT19" s="83"/>
      <c r="AU19" s="83"/>
      <c r="AV19" s="83"/>
      <c r="AW19" s="83" t="e">
        <v>#NAME?</v>
      </c>
      <c r="AX19" s="69"/>
      <c r="AY19" s="69"/>
      <c r="AZ19" s="70"/>
      <c r="BA19" s="70"/>
    </row>
    <row r="20" spans="1:53" s="16" customFormat="1" ht="14.25">
      <c r="A20" s="80"/>
      <c r="B20" s="91">
        <v>10404</v>
      </c>
      <c r="C20" s="81" t="s">
        <v>917</v>
      </c>
      <c r="D20" s="81" t="s">
        <v>483</v>
      </c>
      <c r="E20" s="81" t="s">
        <v>483</v>
      </c>
      <c r="F20" s="97" t="s">
        <v>1013</v>
      </c>
      <c r="G20" s="96" t="s">
        <v>1019</v>
      </c>
      <c r="H20" s="95">
        <v>440</v>
      </c>
      <c r="I20" s="95">
        <v>70</v>
      </c>
      <c r="J20" s="92">
        <v>10405</v>
      </c>
      <c r="K20" s="85" t="s">
        <v>483</v>
      </c>
      <c r="L20" s="85" t="s">
        <v>483</v>
      </c>
      <c r="M20" s="85">
        <v>0</v>
      </c>
      <c r="N20" s="85">
        <v>10001</v>
      </c>
      <c r="O20" s="85">
        <v>3</v>
      </c>
      <c r="P20" s="85">
        <v>3</v>
      </c>
      <c r="Q20" s="85">
        <v>11</v>
      </c>
      <c r="R20" s="85">
        <v>1</v>
      </c>
      <c r="S20" s="93">
        <v>404</v>
      </c>
      <c r="T20" s="73" t="s">
        <v>537</v>
      </c>
      <c r="U20" s="85" t="s">
        <v>971</v>
      </c>
      <c r="V20" s="85" t="s">
        <v>1071</v>
      </c>
      <c r="W20" s="85" t="s">
        <v>971</v>
      </c>
      <c r="X20" s="85" t="s">
        <v>1072</v>
      </c>
      <c r="Y20" s="85" t="s">
        <v>971</v>
      </c>
      <c r="Z20" s="85" t="s">
        <v>1073</v>
      </c>
      <c r="AA20" s="85" t="s">
        <v>483</v>
      </c>
      <c r="AB20" s="85" t="s">
        <v>483</v>
      </c>
      <c r="AC20" s="86" t="s">
        <v>695</v>
      </c>
      <c r="AD20" s="84"/>
      <c r="AE20" s="85" t="s">
        <v>1065</v>
      </c>
      <c r="AF20" s="85" t="s">
        <v>1066</v>
      </c>
      <c r="AG20" s="85">
        <v>1</v>
      </c>
      <c r="AH20" s="85" t="s">
        <v>483</v>
      </c>
      <c r="AI20" s="85">
        <v>0</v>
      </c>
      <c r="AJ20" s="85">
        <v>20002</v>
      </c>
      <c r="AK20" s="85">
        <v>20003</v>
      </c>
      <c r="AL20" s="85">
        <v>20004</v>
      </c>
      <c r="AM20" s="85">
        <v>0</v>
      </c>
      <c r="AN20" s="85">
        <v>1</v>
      </c>
      <c r="AO20" s="94" t="s">
        <v>1023</v>
      </c>
      <c r="AP20" s="85" t="s">
        <v>497</v>
      </c>
      <c r="AQ20" s="68" t="s">
        <v>957</v>
      </c>
      <c r="AR20" s="69"/>
      <c r="AS20" s="83"/>
      <c r="AT20" s="83"/>
      <c r="AU20" s="83"/>
      <c r="AV20" s="83"/>
      <c r="AW20" s="83"/>
      <c r="AX20" s="69"/>
      <c r="AY20" s="69"/>
      <c r="AZ20" s="70"/>
      <c r="BA20" s="70"/>
    </row>
    <row r="21" spans="1:53" s="16" customFormat="1" ht="14.25">
      <c r="A21" s="80"/>
      <c r="B21" s="91">
        <v>10405</v>
      </c>
      <c r="C21" s="89" t="s">
        <v>518</v>
      </c>
      <c r="D21" s="81" t="s">
        <v>483</v>
      </c>
      <c r="E21" s="81" t="s">
        <v>483</v>
      </c>
      <c r="F21" s="97" t="s">
        <v>1014</v>
      </c>
      <c r="G21" s="96" t="s">
        <v>1083</v>
      </c>
      <c r="H21" s="95">
        <v>740</v>
      </c>
      <c r="I21" s="95">
        <v>130</v>
      </c>
      <c r="J21" s="92">
        <v>0</v>
      </c>
      <c r="K21" s="85" t="s">
        <v>483</v>
      </c>
      <c r="L21" s="85" t="s">
        <v>483</v>
      </c>
      <c r="M21" s="85">
        <v>0</v>
      </c>
      <c r="N21" s="85">
        <v>10001</v>
      </c>
      <c r="O21" s="85">
        <v>3</v>
      </c>
      <c r="P21" s="85">
        <v>3</v>
      </c>
      <c r="Q21" s="85">
        <v>11</v>
      </c>
      <c r="R21" s="85">
        <v>1</v>
      </c>
      <c r="S21" s="93">
        <v>405</v>
      </c>
      <c r="T21" s="73" t="s">
        <v>538</v>
      </c>
      <c r="U21" s="85">
        <v>11</v>
      </c>
      <c r="V21" s="85">
        <v>1</v>
      </c>
      <c r="W21" s="85">
        <v>1</v>
      </c>
      <c r="X21" s="85">
        <v>4</v>
      </c>
      <c r="Y21" s="85">
        <v>1</v>
      </c>
      <c r="Z21" s="85">
        <v>8</v>
      </c>
      <c r="AA21" s="85" t="s">
        <v>483</v>
      </c>
      <c r="AB21" s="80" t="s">
        <v>483</v>
      </c>
      <c r="AC21" s="86" t="s">
        <v>695</v>
      </c>
      <c r="AD21" s="84"/>
      <c r="AE21" s="85" t="s">
        <v>1065</v>
      </c>
      <c r="AF21" s="85" t="s">
        <v>1066</v>
      </c>
      <c r="AG21" s="85">
        <v>1</v>
      </c>
      <c r="AH21" s="85" t="s">
        <v>483</v>
      </c>
      <c r="AI21" s="85">
        <v>0</v>
      </c>
      <c r="AJ21" s="85">
        <v>20002</v>
      </c>
      <c r="AK21" s="85">
        <v>20003</v>
      </c>
      <c r="AL21" s="85">
        <v>20004</v>
      </c>
      <c r="AM21" s="85">
        <v>0</v>
      </c>
      <c r="AN21" s="85">
        <v>1</v>
      </c>
      <c r="AO21" s="94" t="s">
        <v>961</v>
      </c>
      <c r="AP21" s="85" t="s">
        <v>498</v>
      </c>
      <c r="AQ21" s="68" t="s">
        <v>957</v>
      </c>
      <c r="AR21" s="69"/>
      <c r="AS21" s="83"/>
      <c r="AT21" s="83"/>
      <c r="AU21" s="83"/>
      <c r="AV21" s="83"/>
      <c r="AW21" s="83"/>
      <c r="AX21" s="69"/>
      <c r="AY21" s="69"/>
      <c r="AZ21" s="70"/>
      <c r="BA21" s="70"/>
    </row>
    <row r="22" spans="1:53" s="16" customFormat="1" ht="14.25">
      <c r="A22" s="80" t="s">
        <v>1084</v>
      </c>
      <c r="B22" s="91">
        <v>10501</v>
      </c>
      <c r="C22" s="81" t="s">
        <v>915</v>
      </c>
      <c r="D22" s="81" t="s">
        <v>483</v>
      </c>
      <c r="E22" s="81" t="s">
        <v>483</v>
      </c>
      <c r="F22" s="97" t="s">
        <v>1013</v>
      </c>
      <c r="G22" s="96" t="s">
        <v>1017</v>
      </c>
      <c r="H22" s="95">
        <v>100</v>
      </c>
      <c r="I22" s="95">
        <v>60</v>
      </c>
      <c r="J22" s="92">
        <v>10502</v>
      </c>
      <c r="K22" s="85" t="s">
        <v>483</v>
      </c>
      <c r="L22" s="85" t="s">
        <v>483</v>
      </c>
      <c r="M22" s="85">
        <v>0</v>
      </c>
      <c r="N22" s="85">
        <v>10001</v>
      </c>
      <c r="O22" s="85">
        <v>3</v>
      </c>
      <c r="P22" s="85">
        <v>3</v>
      </c>
      <c r="Q22" s="85">
        <v>11</v>
      </c>
      <c r="R22" s="85">
        <v>1</v>
      </c>
      <c r="S22" s="93">
        <v>501</v>
      </c>
      <c r="T22" s="73" t="s">
        <v>539</v>
      </c>
      <c r="U22" s="85">
        <v>11</v>
      </c>
      <c r="V22" s="85">
        <v>1</v>
      </c>
      <c r="W22" s="85">
        <v>1</v>
      </c>
      <c r="X22" s="85">
        <v>4</v>
      </c>
      <c r="Y22" s="85">
        <v>1</v>
      </c>
      <c r="Z22" s="85">
        <v>8</v>
      </c>
      <c r="AA22" s="85" t="s">
        <v>483</v>
      </c>
      <c r="AB22" s="85" t="s">
        <v>483</v>
      </c>
      <c r="AC22" s="86" t="s">
        <v>695</v>
      </c>
      <c r="AD22" s="84"/>
      <c r="AE22" s="85" t="s">
        <v>1065</v>
      </c>
      <c r="AF22" s="85" t="s">
        <v>1066</v>
      </c>
      <c r="AG22" s="85">
        <v>1</v>
      </c>
      <c r="AH22" s="85" t="s">
        <v>483</v>
      </c>
      <c r="AI22" s="85">
        <v>0</v>
      </c>
      <c r="AJ22" s="85">
        <v>20002</v>
      </c>
      <c r="AK22" s="85">
        <v>20003</v>
      </c>
      <c r="AL22" s="85">
        <v>20004</v>
      </c>
      <c r="AM22" s="85">
        <v>0</v>
      </c>
      <c r="AN22" s="85">
        <v>1</v>
      </c>
      <c r="AO22" s="94" t="s">
        <v>1023</v>
      </c>
      <c r="AP22" s="85" t="s">
        <v>499</v>
      </c>
      <c r="AQ22" s="68" t="s">
        <v>957</v>
      </c>
      <c r="AR22" s="69"/>
      <c r="AS22" s="83" t="s">
        <v>1085</v>
      </c>
      <c r="AT22" s="83"/>
      <c r="AU22" s="83"/>
      <c r="AV22" s="83"/>
      <c r="AW22" s="83" t="e">
        <v>#NAME?</v>
      </c>
      <c r="AX22" s="69"/>
      <c r="AY22" s="69"/>
      <c r="AZ22" s="70"/>
      <c r="BA22" s="70"/>
    </row>
    <row r="23" spans="1:53" s="16" customFormat="1" ht="14.25">
      <c r="A23" s="80"/>
      <c r="B23" s="91">
        <v>10502</v>
      </c>
      <c r="C23" s="90" t="s">
        <v>31</v>
      </c>
      <c r="D23" s="81" t="s">
        <v>483</v>
      </c>
      <c r="E23" s="81" t="s">
        <v>483</v>
      </c>
      <c r="F23" s="97" t="s">
        <v>1015</v>
      </c>
      <c r="G23" s="96" t="s">
        <v>1019</v>
      </c>
      <c r="H23" s="95">
        <v>100</v>
      </c>
      <c r="I23" s="95">
        <v>330</v>
      </c>
      <c r="J23" s="92">
        <v>10503</v>
      </c>
      <c r="K23" s="85" t="s">
        <v>483</v>
      </c>
      <c r="L23" s="85" t="s">
        <v>483</v>
      </c>
      <c r="M23" s="85">
        <v>0</v>
      </c>
      <c r="N23" s="85">
        <v>10001</v>
      </c>
      <c r="O23" s="85">
        <v>3</v>
      </c>
      <c r="P23" s="85">
        <v>3</v>
      </c>
      <c r="Q23" s="85">
        <v>11</v>
      </c>
      <c r="R23" s="85">
        <v>1</v>
      </c>
      <c r="S23" s="93">
        <v>502</v>
      </c>
      <c r="T23" s="73" t="s">
        <v>540</v>
      </c>
      <c r="U23" s="85">
        <v>11</v>
      </c>
      <c r="V23" s="85">
        <v>1</v>
      </c>
      <c r="W23" s="85">
        <v>1</v>
      </c>
      <c r="X23" s="85">
        <v>4</v>
      </c>
      <c r="Y23" s="85">
        <v>1</v>
      </c>
      <c r="Z23" s="85">
        <v>8</v>
      </c>
      <c r="AA23" s="85" t="s">
        <v>483</v>
      </c>
      <c r="AB23" s="85" t="s">
        <v>483</v>
      </c>
      <c r="AC23" s="86" t="s">
        <v>695</v>
      </c>
      <c r="AD23" s="84"/>
      <c r="AE23" s="85" t="s">
        <v>1065</v>
      </c>
      <c r="AF23" s="85" t="s">
        <v>1066</v>
      </c>
      <c r="AG23" s="85">
        <v>1</v>
      </c>
      <c r="AH23" s="85" t="s">
        <v>483</v>
      </c>
      <c r="AI23" s="85">
        <v>0</v>
      </c>
      <c r="AJ23" s="85">
        <v>20002</v>
      </c>
      <c r="AK23" s="85">
        <v>20003</v>
      </c>
      <c r="AL23" s="85">
        <v>20004</v>
      </c>
      <c r="AM23" s="85">
        <v>0</v>
      </c>
      <c r="AN23" s="85">
        <v>1</v>
      </c>
      <c r="AO23" s="94" t="s">
        <v>1023</v>
      </c>
      <c r="AP23" s="85" t="s">
        <v>1086</v>
      </c>
      <c r="AQ23" s="68" t="s">
        <v>956</v>
      </c>
      <c r="AR23" s="69"/>
      <c r="AS23" s="83" t="s">
        <v>1087</v>
      </c>
      <c r="AT23" s="83"/>
      <c r="AU23" s="83"/>
      <c r="AV23" s="83"/>
      <c r="AW23" s="83" t="e">
        <v>#NAME?</v>
      </c>
      <c r="AX23" s="69"/>
      <c r="AY23" s="69"/>
      <c r="AZ23" s="70"/>
      <c r="BA23" s="70"/>
    </row>
    <row r="24" spans="1:53" s="16" customFormat="1" ht="14.25">
      <c r="A24" s="80"/>
      <c r="B24" s="91">
        <v>10503</v>
      </c>
      <c r="C24" s="81" t="s">
        <v>932</v>
      </c>
      <c r="D24" s="81" t="s">
        <v>483</v>
      </c>
      <c r="E24" s="81" t="s">
        <v>483</v>
      </c>
      <c r="F24" s="97" t="s">
        <v>1013</v>
      </c>
      <c r="G24" s="96" t="s">
        <v>1081</v>
      </c>
      <c r="H24" s="95">
        <v>400</v>
      </c>
      <c r="I24" s="95">
        <v>180</v>
      </c>
      <c r="J24" s="92">
        <v>10504</v>
      </c>
      <c r="K24" s="85" t="s">
        <v>483</v>
      </c>
      <c r="L24" s="85" t="s">
        <v>483</v>
      </c>
      <c r="M24" s="85">
        <v>0</v>
      </c>
      <c r="N24" s="85">
        <v>10001</v>
      </c>
      <c r="O24" s="85">
        <v>3</v>
      </c>
      <c r="P24" s="85">
        <v>3</v>
      </c>
      <c r="Q24" s="85">
        <v>11</v>
      </c>
      <c r="R24" s="85">
        <v>1</v>
      </c>
      <c r="S24" s="93">
        <v>503</v>
      </c>
      <c r="T24" s="73" t="s">
        <v>541</v>
      </c>
      <c r="U24" s="85">
        <v>11</v>
      </c>
      <c r="V24" s="85">
        <v>1</v>
      </c>
      <c r="W24" s="85">
        <v>1</v>
      </c>
      <c r="X24" s="85">
        <v>4</v>
      </c>
      <c r="Y24" s="85">
        <v>1</v>
      </c>
      <c r="Z24" s="85">
        <v>8</v>
      </c>
      <c r="AA24" s="85" t="s">
        <v>483</v>
      </c>
      <c r="AB24" s="80" t="s">
        <v>483</v>
      </c>
      <c r="AC24" s="86" t="s">
        <v>695</v>
      </c>
      <c r="AD24" s="84"/>
      <c r="AE24" s="85" t="s">
        <v>1065</v>
      </c>
      <c r="AF24" s="85" t="s">
        <v>1066</v>
      </c>
      <c r="AG24" s="85">
        <v>1</v>
      </c>
      <c r="AH24" s="85" t="s">
        <v>483</v>
      </c>
      <c r="AI24" s="85">
        <v>0</v>
      </c>
      <c r="AJ24" s="85">
        <v>20002</v>
      </c>
      <c r="AK24" s="85">
        <v>20003</v>
      </c>
      <c r="AL24" s="85">
        <v>20004</v>
      </c>
      <c r="AM24" s="85">
        <v>0</v>
      </c>
      <c r="AN24" s="85">
        <v>1</v>
      </c>
      <c r="AO24" s="94" t="s">
        <v>1023</v>
      </c>
      <c r="AP24" s="85" t="s">
        <v>500</v>
      </c>
      <c r="AQ24" s="68" t="s">
        <v>956</v>
      </c>
      <c r="AR24" s="69"/>
      <c r="AS24" s="83"/>
      <c r="AT24" s="83"/>
      <c r="AU24" s="83"/>
      <c r="AV24" s="83"/>
      <c r="AW24" s="83"/>
      <c r="AX24" s="69"/>
      <c r="AY24" s="69"/>
      <c r="AZ24" s="70"/>
      <c r="BA24" s="70"/>
    </row>
    <row r="25" spans="1:53" s="16" customFormat="1" ht="14.25">
      <c r="A25" s="80"/>
      <c r="B25" s="91">
        <v>10504</v>
      </c>
      <c r="C25" s="81" t="s">
        <v>930</v>
      </c>
      <c r="D25" s="81" t="s">
        <v>483</v>
      </c>
      <c r="E25" s="81" t="s">
        <v>483</v>
      </c>
      <c r="F25" s="97" t="s">
        <v>1013</v>
      </c>
      <c r="G25" s="96" t="s">
        <v>1024</v>
      </c>
      <c r="H25" s="95">
        <v>520</v>
      </c>
      <c r="I25" s="95">
        <v>420</v>
      </c>
      <c r="J25" s="92">
        <v>10505</v>
      </c>
      <c r="K25" s="85" t="s">
        <v>483</v>
      </c>
      <c r="L25" s="85" t="s">
        <v>483</v>
      </c>
      <c r="M25" s="85">
        <v>0</v>
      </c>
      <c r="N25" s="85">
        <v>10001</v>
      </c>
      <c r="O25" s="85">
        <v>3</v>
      </c>
      <c r="P25" s="85">
        <v>3</v>
      </c>
      <c r="Q25" s="85">
        <v>11</v>
      </c>
      <c r="R25" s="85">
        <v>1</v>
      </c>
      <c r="S25" s="93">
        <v>504</v>
      </c>
      <c r="T25" s="73" t="s">
        <v>542</v>
      </c>
      <c r="U25" s="85">
        <v>11</v>
      </c>
      <c r="V25" s="85">
        <v>1</v>
      </c>
      <c r="W25" s="85">
        <v>1</v>
      </c>
      <c r="X25" s="85">
        <v>4</v>
      </c>
      <c r="Y25" s="85">
        <v>1</v>
      </c>
      <c r="Z25" s="85">
        <v>8</v>
      </c>
      <c r="AA25" s="85" t="s">
        <v>483</v>
      </c>
      <c r="AB25" s="85" t="s">
        <v>483</v>
      </c>
      <c r="AC25" s="86" t="s">
        <v>695</v>
      </c>
      <c r="AD25" s="84"/>
      <c r="AE25" s="85" t="s">
        <v>1065</v>
      </c>
      <c r="AF25" s="85" t="s">
        <v>1066</v>
      </c>
      <c r="AG25" s="85">
        <v>1</v>
      </c>
      <c r="AH25" s="85" t="s">
        <v>483</v>
      </c>
      <c r="AI25" s="85">
        <v>0</v>
      </c>
      <c r="AJ25" s="85">
        <v>20002</v>
      </c>
      <c r="AK25" s="85">
        <v>20003</v>
      </c>
      <c r="AL25" s="85">
        <v>20004</v>
      </c>
      <c r="AM25" s="85">
        <v>0</v>
      </c>
      <c r="AN25" s="85">
        <v>1</v>
      </c>
      <c r="AO25" s="94" t="s">
        <v>1023</v>
      </c>
      <c r="AP25" s="85" t="s">
        <v>501</v>
      </c>
      <c r="AQ25" s="68" t="s">
        <v>956</v>
      </c>
      <c r="AR25" s="69"/>
      <c r="AS25" s="83"/>
      <c r="AT25" s="83"/>
      <c r="AU25" s="83"/>
      <c r="AV25" s="83"/>
      <c r="AW25" s="83"/>
      <c r="AX25" s="69"/>
      <c r="AY25" s="69"/>
      <c r="AZ25" s="70"/>
      <c r="BA25" s="70"/>
    </row>
    <row r="26" spans="1:53" s="16" customFormat="1" ht="14.25">
      <c r="A26" s="80"/>
      <c r="B26" s="91">
        <v>10505</v>
      </c>
      <c r="C26" s="90" t="s">
        <v>32</v>
      </c>
      <c r="D26" s="81" t="s">
        <v>483</v>
      </c>
      <c r="E26" s="81" t="s">
        <v>483</v>
      </c>
      <c r="F26" s="97" t="s">
        <v>1009</v>
      </c>
      <c r="G26" s="96" t="s">
        <v>1018</v>
      </c>
      <c r="H26" s="95">
        <v>730</v>
      </c>
      <c r="I26" s="95">
        <v>130</v>
      </c>
      <c r="J26" s="92">
        <v>0</v>
      </c>
      <c r="K26" s="85" t="s">
        <v>483</v>
      </c>
      <c r="L26" s="85" t="s">
        <v>483</v>
      </c>
      <c r="M26" s="85">
        <v>0</v>
      </c>
      <c r="N26" s="85">
        <v>10001</v>
      </c>
      <c r="O26" s="85">
        <v>3</v>
      </c>
      <c r="P26" s="85">
        <v>3</v>
      </c>
      <c r="Q26" s="85">
        <v>11</v>
      </c>
      <c r="R26" s="85">
        <v>1</v>
      </c>
      <c r="S26" s="93">
        <v>505</v>
      </c>
      <c r="T26" s="73" t="s">
        <v>543</v>
      </c>
      <c r="U26" s="85">
        <v>11</v>
      </c>
      <c r="V26" s="85">
        <v>1</v>
      </c>
      <c r="W26" s="85">
        <v>1</v>
      </c>
      <c r="X26" s="85">
        <v>4</v>
      </c>
      <c r="Y26" s="85">
        <v>1</v>
      </c>
      <c r="Z26" s="85">
        <v>8</v>
      </c>
      <c r="AA26" s="85" t="s">
        <v>483</v>
      </c>
      <c r="AB26" s="80" t="s">
        <v>483</v>
      </c>
      <c r="AC26" s="86" t="s">
        <v>695</v>
      </c>
      <c r="AD26" s="84"/>
      <c r="AE26" s="85" t="s">
        <v>1065</v>
      </c>
      <c r="AF26" s="85" t="s">
        <v>1066</v>
      </c>
      <c r="AG26" s="85">
        <v>1</v>
      </c>
      <c r="AH26" s="85" t="s">
        <v>483</v>
      </c>
      <c r="AI26" s="85">
        <v>0</v>
      </c>
      <c r="AJ26" s="85">
        <v>20002</v>
      </c>
      <c r="AK26" s="85">
        <v>20003</v>
      </c>
      <c r="AL26" s="85">
        <v>20004</v>
      </c>
      <c r="AM26" s="85">
        <v>0</v>
      </c>
      <c r="AN26" s="85">
        <v>1</v>
      </c>
      <c r="AO26" s="94" t="s">
        <v>962</v>
      </c>
      <c r="AP26" s="85" t="s">
        <v>502</v>
      </c>
      <c r="AQ26" s="68" t="s">
        <v>956</v>
      </c>
      <c r="AR26" s="69"/>
      <c r="AS26" s="83" t="s">
        <v>1088</v>
      </c>
      <c r="AT26" s="83"/>
      <c r="AU26" s="83"/>
      <c r="AV26" s="83"/>
      <c r="AW26" s="83" t="e">
        <v>#NAME?</v>
      </c>
      <c r="AX26" s="69"/>
      <c r="AY26" s="69"/>
      <c r="AZ26" s="70"/>
      <c r="BA26" s="70"/>
    </row>
    <row r="27" spans="1:53" s="16" customFormat="1" ht="14.25">
      <c r="A27" s="80"/>
      <c r="B27" s="91">
        <v>10601</v>
      </c>
      <c r="C27" s="81" t="s">
        <v>926</v>
      </c>
      <c r="D27" s="81" t="s">
        <v>483</v>
      </c>
      <c r="E27" s="81" t="s">
        <v>483</v>
      </c>
      <c r="F27" s="97" t="s">
        <v>1013</v>
      </c>
      <c r="G27" s="96" t="s">
        <v>1081</v>
      </c>
      <c r="H27" s="95">
        <v>40</v>
      </c>
      <c r="I27" s="95">
        <v>70</v>
      </c>
      <c r="J27" s="92">
        <v>10602</v>
      </c>
      <c r="K27" s="85" t="s">
        <v>483</v>
      </c>
      <c r="L27" s="85" t="s">
        <v>483</v>
      </c>
      <c r="M27" s="85">
        <v>0</v>
      </c>
      <c r="N27" s="85">
        <v>10001</v>
      </c>
      <c r="O27" s="85">
        <v>3</v>
      </c>
      <c r="P27" s="85">
        <v>3</v>
      </c>
      <c r="Q27" s="85">
        <v>11</v>
      </c>
      <c r="R27" s="85">
        <v>1</v>
      </c>
      <c r="S27" s="93">
        <v>601</v>
      </c>
      <c r="T27" s="73" t="s">
        <v>544</v>
      </c>
      <c r="U27" s="85" t="s">
        <v>973</v>
      </c>
      <c r="V27" s="85" t="s">
        <v>968</v>
      </c>
      <c r="W27" s="85" t="s">
        <v>972</v>
      </c>
      <c r="X27" s="85" t="s">
        <v>1068</v>
      </c>
      <c r="Y27" s="85" t="s">
        <v>972</v>
      </c>
      <c r="Z27" s="85" t="s">
        <v>1069</v>
      </c>
      <c r="AA27" s="85" t="s">
        <v>483</v>
      </c>
      <c r="AB27" s="85" t="s">
        <v>483</v>
      </c>
      <c r="AC27" s="86" t="s">
        <v>695</v>
      </c>
      <c r="AD27" s="84"/>
      <c r="AE27" s="85" t="s">
        <v>1065</v>
      </c>
      <c r="AF27" s="85" t="s">
        <v>1066</v>
      </c>
      <c r="AG27" s="85">
        <v>1</v>
      </c>
      <c r="AH27" s="85" t="s">
        <v>483</v>
      </c>
      <c r="AI27" s="85">
        <v>0</v>
      </c>
      <c r="AJ27" s="85">
        <v>20002</v>
      </c>
      <c r="AK27" s="85">
        <v>20003</v>
      </c>
      <c r="AL27" s="85">
        <v>20004</v>
      </c>
      <c r="AM27" s="85">
        <v>0</v>
      </c>
      <c r="AN27" s="85">
        <v>1</v>
      </c>
      <c r="AO27" s="94" t="s">
        <v>1023</v>
      </c>
      <c r="AP27" s="85" t="s">
        <v>503</v>
      </c>
      <c r="AQ27" s="68" t="s">
        <v>956</v>
      </c>
      <c r="AR27" s="69"/>
      <c r="AS27" s="83"/>
      <c r="AT27" s="83"/>
      <c r="AU27" s="83"/>
      <c r="AV27" s="83"/>
      <c r="AW27" s="83"/>
      <c r="AX27" s="69"/>
      <c r="AY27" s="69"/>
      <c r="AZ27" s="70"/>
      <c r="BA27" s="70"/>
    </row>
    <row r="28" spans="1:53" s="16" customFormat="1" ht="14.25">
      <c r="A28" s="80"/>
      <c r="B28" s="91">
        <v>10602</v>
      </c>
      <c r="C28" s="81" t="s">
        <v>936</v>
      </c>
      <c r="D28" s="81" t="s">
        <v>483</v>
      </c>
      <c r="E28" s="81" t="s">
        <v>483</v>
      </c>
      <c r="F28" s="97" t="s">
        <v>1014</v>
      </c>
      <c r="G28" s="96" t="s">
        <v>1018</v>
      </c>
      <c r="H28" s="95">
        <v>160</v>
      </c>
      <c r="I28" s="95">
        <v>280</v>
      </c>
      <c r="J28" s="92">
        <v>10603</v>
      </c>
      <c r="K28" s="85" t="s">
        <v>483</v>
      </c>
      <c r="L28" s="85" t="s">
        <v>483</v>
      </c>
      <c r="M28" s="85">
        <v>0</v>
      </c>
      <c r="N28" s="85">
        <v>10001</v>
      </c>
      <c r="O28" s="85">
        <v>3</v>
      </c>
      <c r="P28" s="85">
        <v>3</v>
      </c>
      <c r="Q28" s="85">
        <v>11</v>
      </c>
      <c r="R28" s="85">
        <v>1</v>
      </c>
      <c r="S28" s="93">
        <v>602</v>
      </c>
      <c r="T28" s="73" t="s">
        <v>545</v>
      </c>
      <c r="U28" s="85">
        <v>11</v>
      </c>
      <c r="V28" s="85">
        <v>1</v>
      </c>
      <c r="W28" s="85">
        <v>1</v>
      </c>
      <c r="X28" s="85">
        <v>4</v>
      </c>
      <c r="Y28" s="85">
        <v>1</v>
      </c>
      <c r="Z28" s="85">
        <v>8</v>
      </c>
      <c r="AA28" s="85" t="s">
        <v>483</v>
      </c>
      <c r="AB28" s="80" t="s">
        <v>483</v>
      </c>
      <c r="AC28" s="86" t="s">
        <v>695</v>
      </c>
      <c r="AD28" s="84"/>
      <c r="AE28" s="85" t="s">
        <v>1065</v>
      </c>
      <c r="AF28" s="85" t="s">
        <v>1066</v>
      </c>
      <c r="AG28" s="85">
        <v>1</v>
      </c>
      <c r="AH28" s="85" t="s">
        <v>483</v>
      </c>
      <c r="AI28" s="85">
        <v>0</v>
      </c>
      <c r="AJ28" s="85">
        <v>20002</v>
      </c>
      <c r="AK28" s="85">
        <v>20003</v>
      </c>
      <c r="AL28" s="85">
        <v>20004</v>
      </c>
      <c r="AM28" s="85">
        <v>0</v>
      </c>
      <c r="AN28" s="85">
        <v>1</v>
      </c>
      <c r="AO28" s="94" t="s">
        <v>1023</v>
      </c>
      <c r="AP28" s="85" t="s">
        <v>504</v>
      </c>
      <c r="AQ28" s="68" t="s">
        <v>956</v>
      </c>
      <c r="AR28" s="69"/>
      <c r="AS28" s="83"/>
      <c r="AT28" s="83"/>
      <c r="AU28" s="83"/>
      <c r="AV28" s="83"/>
      <c r="AW28" s="83"/>
      <c r="AX28" s="69"/>
      <c r="AY28" s="69"/>
      <c r="AZ28" s="70"/>
      <c r="BA28" s="70"/>
    </row>
    <row r="29" spans="1:53" s="16" customFormat="1" ht="14.25">
      <c r="A29" s="80"/>
      <c r="B29" s="91">
        <v>10603</v>
      </c>
      <c r="C29" s="81" t="s">
        <v>33</v>
      </c>
      <c r="D29" s="81" t="s">
        <v>483</v>
      </c>
      <c r="E29" s="81" t="s">
        <v>483</v>
      </c>
      <c r="F29" s="97" t="s">
        <v>1012</v>
      </c>
      <c r="G29" s="96" t="s">
        <v>1017</v>
      </c>
      <c r="H29" s="95">
        <v>440</v>
      </c>
      <c r="I29" s="95">
        <v>420</v>
      </c>
      <c r="J29" s="92">
        <v>10604</v>
      </c>
      <c r="K29" s="85" t="s">
        <v>483</v>
      </c>
      <c r="L29" s="85" t="s">
        <v>483</v>
      </c>
      <c r="M29" s="85">
        <v>0</v>
      </c>
      <c r="N29" s="85">
        <v>10001</v>
      </c>
      <c r="O29" s="85">
        <v>3</v>
      </c>
      <c r="P29" s="85">
        <v>3</v>
      </c>
      <c r="Q29" s="85">
        <v>11</v>
      </c>
      <c r="R29" s="85">
        <v>1</v>
      </c>
      <c r="S29" s="93">
        <v>603</v>
      </c>
      <c r="T29" s="73" t="s">
        <v>546</v>
      </c>
      <c r="U29" s="85">
        <v>11</v>
      </c>
      <c r="V29" s="85">
        <v>1</v>
      </c>
      <c r="W29" s="85">
        <v>1</v>
      </c>
      <c r="X29" s="85">
        <v>4</v>
      </c>
      <c r="Y29" s="85">
        <v>1</v>
      </c>
      <c r="Z29" s="85">
        <v>8</v>
      </c>
      <c r="AA29" s="85" t="s">
        <v>483</v>
      </c>
      <c r="AB29" s="85" t="s">
        <v>483</v>
      </c>
      <c r="AC29" s="86" t="s">
        <v>695</v>
      </c>
      <c r="AD29" s="84"/>
      <c r="AE29" s="85" t="s">
        <v>1065</v>
      </c>
      <c r="AF29" s="85" t="s">
        <v>1066</v>
      </c>
      <c r="AG29" s="85">
        <v>1</v>
      </c>
      <c r="AH29" s="85" t="s">
        <v>483</v>
      </c>
      <c r="AI29" s="85">
        <v>0</v>
      </c>
      <c r="AJ29" s="85">
        <v>20002</v>
      </c>
      <c r="AK29" s="85">
        <v>20003</v>
      </c>
      <c r="AL29" s="85">
        <v>20004</v>
      </c>
      <c r="AM29" s="85">
        <v>0</v>
      </c>
      <c r="AN29" s="85">
        <v>1</v>
      </c>
      <c r="AO29" s="94" t="s">
        <v>1023</v>
      </c>
      <c r="AP29" s="85" t="s">
        <v>505</v>
      </c>
      <c r="AQ29" s="68" t="s">
        <v>956</v>
      </c>
      <c r="AR29" s="69"/>
      <c r="AS29" s="83" t="s">
        <v>1089</v>
      </c>
      <c r="AT29" s="83"/>
      <c r="AU29" s="83"/>
      <c r="AV29" s="83"/>
      <c r="AW29" s="83" t="e">
        <v>#NAME?</v>
      </c>
      <c r="AX29" s="69"/>
      <c r="AY29" s="69"/>
      <c r="AZ29" s="70"/>
      <c r="BA29" s="70"/>
    </row>
    <row r="30" spans="1:53" s="16" customFormat="1" ht="14.25">
      <c r="A30" s="80"/>
      <c r="B30" s="91">
        <v>10604</v>
      </c>
      <c r="C30" s="81" t="s">
        <v>927</v>
      </c>
      <c r="D30" s="81" t="s">
        <v>483</v>
      </c>
      <c r="E30" s="81" t="s">
        <v>483</v>
      </c>
      <c r="F30" s="97" t="s">
        <v>1016</v>
      </c>
      <c r="G30" s="96" t="s">
        <v>1025</v>
      </c>
      <c r="H30" s="95">
        <v>470</v>
      </c>
      <c r="I30" s="95">
        <v>80</v>
      </c>
      <c r="J30" s="92">
        <v>10605</v>
      </c>
      <c r="K30" s="85" t="s">
        <v>483</v>
      </c>
      <c r="L30" s="85" t="s">
        <v>483</v>
      </c>
      <c r="M30" s="85">
        <v>0</v>
      </c>
      <c r="N30" s="85">
        <v>10001</v>
      </c>
      <c r="O30" s="85">
        <v>3</v>
      </c>
      <c r="P30" s="85">
        <v>3</v>
      </c>
      <c r="Q30" s="85">
        <v>11</v>
      </c>
      <c r="R30" s="85">
        <v>1</v>
      </c>
      <c r="S30" s="93">
        <v>604</v>
      </c>
      <c r="T30" s="73" t="s">
        <v>547</v>
      </c>
      <c r="U30" s="85" t="s">
        <v>973</v>
      </c>
      <c r="V30" s="85" t="s">
        <v>968</v>
      </c>
      <c r="W30" s="85" t="s">
        <v>968</v>
      </c>
      <c r="X30" s="85" t="s">
        <v>974</v>
      </c>
      <c r="Y30" s="85" t="s">
        <v>968</v>
      </c>
      <c r="Z30" s="85" t="s">
        <v>975</v>
      </c>
      <c r="AA30" s="85" t="s">
        <v>483</v>
      </c>
      <c r="AB30" s="85" t="s">
        <v>483</v>
      </c>
      <c r="AC30" s="86" t="s">
        <v>695</v>
      </c>
      <c r="AD30" s="84"/>
      <c r="AE30" s="85" t="s">
        <v>1065</v>
      </c>
      <c r="AF30" s="85" t="s">
        <v>1066</v>
      </c>
      <c r="AG30" s="85">
        <v>1</v>
      </c>
      <c r="AH30" s="85" t="s">
        <v>483</v>
      </c>
      <c r="AI30" s="85">
        <v>0</v>
      </c>
      <c r="AJ30" s="85">
        <v>20002</v>
      </c>
      <c r="AK30" s="85">
        <v>20003</v>
      </c>
      <c r="AL30" s="85">
        <v>20004</v>
      </c>
      <c r="AM30" s="85">
        <v>0</v>
      </c>
      <c r="AN30" s="85">
        <v>1</v>
      </c>
      <c r="AO30" s="94" t="s">
        <v>1023</v>
      </c>
      <c r="AP30" s="85" t="s">
        <v>1090</v>
      </c>
      <c r="AQ30" s="68" t="s">
        <v>953</v>
      </c>
      <c r="AR30" s="69"/>
      <c r="AS30" s="83" t="s">
        <v>1091</v>
      </c>
      <c r="AT30" s="83"/>
      <c r="AU30" s="83"/>
      <c r="AV30" s="83"/>
      <c r="AW30" s="83" t="e">
        <v>#NAME?</v>
      </c>
      <c r="AX30" s="69"/>
      <c r="AY30" s="69"/>
      <c r="AZ30" s="70"/>
      <c r="BA30" s="70"/>
    </row>
    <row r="31" spans="1:53" s="16" customFormat="1" ht="14.25">
      <c r="A31" s="80"/>
      <c r="B31" s="91">
        <v>10605</v>
      </c>
      <c r="C31" s="81" t="s">
        <v>923</v>
      </c>
      <c r="D31" s="81" t="s">
        <v>483</v>
      </c>
      <c r="E31" s="81" t="s">
        <v>483</v>
      </c>
      <c r="F31" s="97" t="s">
        <v>1011</v>
      </c>
      <c r="G31" s="96" t="s">
        <v>1024</v>
      </c>
      <c r="H31" s="95">
        <v>780</v>
      </c>
      <c r="I31" s="95">
        <v>200</v>
      </c>
      <c r="J31" s="92">
        <v>0</v>
      </c>
      <c r="K31" s="85" t="s">
        <v>483</v>
      </c>
      <c r="L31" s="85" t="s">
        <v>483</v>
      </c>
      <c r="M31" s="85">
        <v>0</v>
      </c>
      <c r="N31" s="85">
        <v>10001</v>
      </c>
      <c r="O31" s="85">
        <v>3</v>
      </c>
      <c r="P31" s="85">
        <v>3</v>
      </c>
      <c r="Q31" s="85">
        <v>11</v>
      </c>
      <c r="R31" s="85">
        <v>1</v>
      </c>
      <c r="S31" s="93">
        <v>605</v>
      </c>
      <c r="T31" s="73" t="s">
        <v>548</v>
      </c>
      <c r="U31" s="85">
        <v>11</v>
      </c>
      <c r="V31" s="85">
        <v>1</v>
      </c>
      <c r="W31" s="85">
        <v>1</v>
      </c>
      <c r="X31" s="85">
        <v>4</v>
      </c>
      <c r="Y31" s="85">
        <v>1</v>
      </c>
      <c r="Z31" s="85">
        <v>8</v>
      </c>
      <c r="AA31" s="85" t="s">
        <v>483</v>
      </c>
      <c r="AB31" s="80" t="s">
        <v>483</v>
      </c>
      <c r="AC31" s="86" t="s">
        <v>695</v>
      </c>
      <c r="AD31" s="84"/>
      <c r="AE31" s="85" t="s">
        <v>1065</v>
      </c>
      <c r="AF31" s="85" t="s">
        <v>1066</v>
      </c>
      <c r="AG31" s="85">
        <v>1</v>
      </c>
      <c r="AH31" s="85" t="s">
        <v>483</v>
      </c>
      <c r="AI31" s="85">
        <v>0</v>
      </c>
      <c r="AJ31" s="85">
        <v>20002</v>
      </c>
      <c r="AK31" s="85">
        <v>20003</v>
      </c>
      <c r="AL31" s="85">
        <v>20004</v>
      </c>
      <c r="AM31" s="85">
        <v>0</v>
      </c>
      <c r="AN31" s="85">
        <v>1</v>
      </c>
      <c r="AO31" s="94" t="s">
        <v>963</v>
      </c>
      <c r="AP31" s="85" t="s">
        <v>506</v>
      </c>
      <c r="AQ31" s="68" t="s">
        <v>953</v>
      </c>
      <c r="AR31" s="69"/>
      <c r="AS31" s="83"/>
      <c r="AT31" s="83"/>
      <c r="AU31" s="83"/>
      <c r="AV31" s="83"/>
      <c r="AW31" s="83"/>
      <c r="AX31" s="69"/>
      <c r="AY31" s="69"/>
      <c r="AZ31" s="70"/>
      <c r="BA31" s="70"/>
    </row>
    <row r="32" spans="1:53" s="16" customFormat="1" ht="14.25">
      <c r="A32" s="80"/>
      <c r="B32" s="91">
        <v>10701</v>
      </c>
      <c r="C32" s="81" t="s">
        <v>931</v>
      </c>
      <c r="D32" s="81" t="s">
        <v>483</v>
      </c>
      <c r="E32" s="81" t="s">
        <v>483</v>
      </c>
      <c r="F32" s="97" t="s">
        <v>1011</v>
      </c>
      <c r="G32" s="96" t="s">
        <v>1020</v>
      </c>
      <c r="H32" s="95">
        <v>100</v>
      </c>
      <c r="I32" s="95">
        <v>60</v>
      </c>
      <c r="J32" s="92">
        <v>10702</v>
      </c>
      <c r="K32" s="85" t="s">
        <v>483</v>
      </c>
      <c r="L32" s="85" t="s">
        <v>483</v>
      </c>
      <c r="M32" s="85">
        <v>0</v>
      </c>
      <c r="N32" s="85">
        <v>10001</v>
      </c>
      <c r="O32" s="85">
        <v>3</v>
      </c>
      <c r="P32" s="85">
        <v>3</v>
      </c>
      <c r="Q32" s="85">
        <v>11</v>
      </c>
      <c r="R32" s="85">
        <v>1</v>
      </c>
      <c r="S32" s="93">
        <v>701</v>
      </c>
      <c r="T32" s="73" t="s">
        <v>549</v>
      </c>
      <c r="U32" s="85">
        <v>11</v>
      </c>
      <c r="V32" s="85">
        <v>1</v>
      </c>
      <c r="W32" s="85">
        <v>1</v>
      </c>
      <c r="X32" s="85">
        <v>4</v>
      </c>
      <c r="Y32" s="85">
        <v>1</v>
      </c>
      <c r="Z32" s="85">
        <v>8</v>
      </c>
      <c r="AA32" s="85" t="s">
        <v>483</v>
      </c>
      <c r="AB32" s="85" t="s">
        <v>483</v>
      </c>
      <c r="AC32" s="86" t="s">
        <v>695</v>
      </c>
      <c r="AD32" s="84"/>
      <c r="AE32" s="85" t="s">
        <v>1065</v>
      </c>
      <c r="AF32" s="85" t="s">
        <v>1066</v>
      </c>
      <c r="AG32" s="85">
        <v>1</v>
      </c>
      <c r="AH32" s="85" t="s">
        <v>483</v>
      </c>
      <c r="AI32" s="85">
        <v>0</v>
      </c>
      <c r="AJ32" s="85">
        <v>20002</v>
      </c>
      <c r="AK32" s="85">
        <v>20003</v>
      </c>
      <c r="AL32" s="85">
        <v>20004</v>
      </c>
      <c r="AM32" s="85">
        <v>0</v>
      </c>
      <c r="AN32" s="85">
        <v>1</v>
      </c>
      <c r="AO32" s="94" t="s">
        <v>1023</v>
      </c>
      <c r="AP32" s="85" t="s">
        <v>507</v>
      </c>
      <c r="AQ32" s="68" t="s">
        <v>953</v>
      </c>
      <c r="AR32" s="69"/>
      <c r="AS32" s="83"/>
      <c r="AT32" s="83"/>
      <c r="AU32" s="83"/>
      <c r="AV32" s="83"/>
      <c r="AW32" s="83"/>
      <c r="AX32" s="69"/>
      <c r="AY32" s="69"/>
      <c r="AZ32" s="70"/>
      <c r="BA32" s="70"/>
    </row>
    <row r="33" spans="1:53" s="16" customFormat="1" ht="14.25">
      <c r="A33" s="80"/>
      <c r="B33" s="91">
        <v>10702</v>
      </c>
      <c r="C33" s="81" t="s">
        <v>920</v>
      </c>
      <c r="D33" s="81" t="s">
        <v>483</v>
      </c>
      <c r="E33" s="81" t="s">
        <v>483</v>
      </c>
      <c r="F33" s="97" t="s">
        <v>1012</v>
      </c>
      <c r="G33" s="96" t="s">
        <v>1092</v>
      </c>
      <c r="H33" s="95">
        <v>100</v>
      </c>
      <c r="I33" s="95">
        <v>330</v>
      </c>
      <c r="J33" s="92">
        <v>10703</v>
      </c>
      <c r="K33" s="85" t="s">
        <v>483</v>
      </c>
      <c r="L33" s="85" t="s">
        <v>483</v>
      </c>
      <c r="M33" s="85">
        <v>0</v>
      </c>
      <c r="N33" s="85">
        <v>10001</v>
      </c>
      <c r="O33" s="85">
        <v>3</v>
      </c>
      <c r="P33" s="85">
        <v>3</v>
      </c>
      <c r="Q33" s="85">
        <v>11</v>
      </c>
      <c r="R33" s="85">
        <v>1</v>
      </c>
      <c r="S33" s="93">
        <v>702</v>
      </c>
      <c r="T33" s="73" t="s">
        <v>550</v>
      </c>
      <c r="U33" s="85">
        <v>11</v>
      </c>
      <c r="V33" s="85">
        <v>1</v>
      </c>
      <c r="W33" s="85">
        <v>1</v>
      </c>
      <c r="X33" s="85">
        <v>4</v>
      </c>
      <c r="Y33" s="85">
        <v>1</v>
      </c>
      <c r="Z33" s="85">
        <v>8</v>
      </c>
      <c r="AA33" s="85" t="s">
        <v>483</v>
      </c>
      <c r="AB33" s="80" t="s">
        <v>483</v>
      </c>
      <c r="AC33" s="86" t="s">
        <v>695</v>
      </c>
      <c r="AD33" s="84"/>
      <c r="AE33" s="85" t="s">
        <v>1065</v>
      </c>
      <c r="AF33" s="85" t="s">
        <v>1066</v>
      </c>
      <c r="AG33" s="85">
        <v>1</v>
      </c>
      <c r="AH33" s="85" t="s">
        <v>483</v>
      </c>
      <c r="AI33" s="85">
        <v>0</v>
      </c>
      <c r="AJ33" s="85">
        <v>20002</v>
      </c>
      <c r="AK33" s="85">
        <v>20003</v>
      </c>
      <c r="AL33" s="85">
        <v>20004</v>
      </c>
      <c r="AM33" s="85">
        <v>0</v>
      </c>
      <c r="AN33" s="85">
        <v>1</v>
      </c>
      <c r="AO33" s="94" t="s">
        <v>1023</v>
      </c>
      <c r="AP33" s="85" t="s">
        <v>508</v>
      </c>
      <c r="AQ33" s="68" t="s">
        <v>953</v>
      </c>
      <c r="AR33" s="69"/>
      <c r="AS33" s="83" t="s">
        <v>1093</v>
      </c>
      <c r="AT33" s="83"/>
      <c r="AU33" s="83"/>
      <c r="AV33" s="83"/>
      <c r="AW33" s="83" t="e">
        <v>#NAME?</v>
      </c>
      <c r="AX33" s="69"/>
      <c r="AY33" s="69"/>
      <c r="AZ33" s="70"/>
      <c r="BA33" s="70"/>
    </row>
    <row r="34" spans="1:53" s="16" customFormat="1" ht="14.25">
      <c r="A34" s="80"/>
      <c r="B34" s="91">
        <v>10703</v>
      </c>
      <c r="C34" s="81" t="s">
        <v>929</v>
      </c>
      <c r="D34" s="81" t="s">
        <v>483</v>
      </c>
      <c r="E34" s="81" t="s">
        <v>483</v>
      </c>
      <c r="F34" s="97" t="s">
        <v>1012</v>
      </c>
      <c r="G34" s="96" t="s">
        <v>1019</v>
      </c>
      <c r="H34" s="95">
        <v>400</v>
      </c>
      <c r="I34" s="95">
        <v>180</v>
      </c>
      <c r="J34" s="92">
        <v>10704</v>
      </c>
      <c r="K34" s="85" t="s">
        <v>483</v>
      </c>
      <c r="L34" s="85" t="s">
        <v>483</v>
      </c>
      <c r="M34" s="85">
        <v>0</v>
      </c>
      <c r="N34" s="85">
        <v>10001</v>
      </c>
      <c r="O34" s="85">
        <v>3</v>
      </c>
      <c r="P34" s="85">
        <v>3</v>
      </c>
      <c r="Q34" s="85">
        <v>11</v>
      </c>
      <c r="R34" s="85">
        <v>1</v>
      </c>
      <c r="S34" s="93">
        <v>703</v>
      </c>
      <c r="T34" s="73" t="s">
        <v>551</v>
      </c>
      <c r="U34" s="85" t="s">
        <v>971</v>
      </c>
      <c r="V34" s="85" t="s">
        <v>1071</v>
      </c>
      <c r="W34" s="85" t="s">
        <v>971</v>
      </c>
      <c r="X34" s="85" t="s">
        <v>1072</v>
      </c>
      <c r="Y34" s="85" t="s">
        <v>971</v>
      </c>
      <c r="Z34" s="85" t="s">
        <v>1073</v>
      </c>
      <c r="AA34" s="85" t="s">
        <v>483</v>
      </c>
      <c r="AB34" s="85" t="s">
        <v>483</v>
      </c>
      <c r="AC34" s="86" t="s">
        <v>695</v>
      </c>
      <c r="AD34" s="84"/>
      <c r="AE34" s="85" t="s">
        <v>1065</v>
      </c>
      <c r="AF34" s="85" t="s">
        <v>1066</v>
      </c>
      <c r="AG34" s="85">
        <v>1</v>
      </c>
      <c r="AH34" s="85" t="s">
        <v>483</v>
      </c>
      <c r="AI34" s="85">
        <v>0</v>
      </c>
      <c r="AJ34" s="85">
        <v>20002</v>
      </c>
      <c r="AK34" s="85">
        <v>20003</v>
      </c>
      <c r="AL34" s="85">
        <v>20004</v>
      </c>
      <c r="AM34" s="85">
        <v>0</v>
      </c>
      <c r="AN34" s="85">
        <v>1</v>
      </c>
      <c r="AO34" s="94" t="s">
        <v>1023</v>
      </c>
      <c r="AP34" s="85" t="s">
        <v>509</v>
      </c>
      <c r="AQ34" s="68" t="s">
        <v>953</v>
      </c>
      <c r="AR34" s="69"/>
      <c r="AS34" s="83"/>
      <c r="AT34" s="83"/>
      <c r="AU34" s="83"/>
      <c r="AV34" s="83"/>
      <c r="AW34" s="83"/>
      <c r="AX34" s="69"/>
      <c r="AY34" s="69"/>
      <c r="AZ34" s="70"/>
      <c r="BA34" s="70"/>
    </row>
    <row r="35" spans="1:53" s="16" customFormat="1" ht="14.25">
      <c r="A35" s="80"/>
      <c r="B35" s="91">
        <v>10704</v>
      </c>
      <c r="C35" s="81" t="s">
        <v>922</v>
      </c>
      <c r="D35" s="81" t="s">
        <v>483</v>
      </c>
      <c r="E35" s="81" t="s">
        <v>483</v>
      </c>
      <c r="F35" s="97" t="s">
        <v>1010</v>
      </c>
      <c r="G35" s="96" t="s">
        <v>1083</v>
      </c>
      <c r="H35" s="95">
        <v>520</v>
      </c>
      <c r="I35" s="95">
        <v>420</v>
      </c>
      <c r="J35" s="92">
        <v>10705</v>
      </c>
      <c r="K35" s="85" t="s">
        <v>483</v>
      </c>
      <c r="L35" s="85" t="s">
        <v>483</v>
      </c>
      <c r="M35" s="85">
        <v>0</v>
      </c>
      <c r="N35" s="85">
        <v>10001</v>
      </c>
      <c r="O35" s="85">
        <v>3</v>
      </c>
      <c r="P35" s="85">
        <v>3</v>
      </c>
      <c r="Q35" s="85">
        <v>11</v>
      </c>
      <c r="R35" s="85">
        <v>1</v>
      </c>
      <c r="S35" s="93">
        <v>704</v>
      </c>
      <c r="T35" s="73" t="s">
        <v>552</v>
      </c>
      <c r="U35" s="85">
        <v>11</v>
      </c>
      <c r="V35" s="85">
        <v>1</v>
      </c>
      <c r="W35" s="85">
        <v>1</v>
      </c>
      <c r="X35" s="85">
        <v>4</v>
      </c>
      <c r="Y35" s="85">
        <v>1</v>
      </c>
      <c r="Z35" s="85">
        <v>8</v>
      </c>
      <c r="AA35" s="85" t="s">
        <v>483</v>
      </c>
      <c r="AB35" s="80" t="s">
        <v>483</v>
      </c>
      <c r="AC35" s="86" t="s">
        <v>695</v>
      </c>
      <c r="AD35" s="84"/>
      <c r="AE35" s="85" t="s">
        <v>1065</v>
      </c>
      <c r="AF35" s="85" t="s">
        <v>1066</v>
      </c>
      <c r="AG35" s="85">
        <v>1</v>
      </c>
      <c r="AH35" s="85" t="s">
        <v>483</v>
      </c>
      <c r="AI35" s="85">
        <v>0</v>
      </c>
      <c r="AJ35" s="85">
        <v>20002</v>
      </c>
      <c r="AK35" s="85">
        <v>20003</v>
      </c>
      <c r="AL35" s="85">
        <v>20004</v>
      </c>
      <c r="AM35" s="85">
        <v>0</v>
      </c>
      <c r="AN35" s="85">
        <v>1</v>
      </c>
      <c r="AO35" s="94" t="s">
        <v>1023</v>
      </c>
      <c r="AP35" s="85" t="s">
        <v>510</v>
      </c>
      <c r="AQ35" s="68" t="s">
        <v>953</v>
      </c>
      <c r="AR35" s="69"/>
      <c r="AS35" s="83"/>
      <c r="AT35" s="83"/>
      <c r="AU35" s="83"/>
      <c r="AV35" s="83"/>
      <c r="AW35" s="83"/>
      <c r="AX35" s="69"/>
      <c r="AY35" s="69"/>
      <c r="AZ35" s="70"/>
      <c r="BA35" s="70"/>
    </row>
    <row r="36" spans="1:53" s="16" customFormat="1" ht="14.25">
      <c r="A36" s="80"/>
      <c r="B36" s="91">
        <v>10705</v>
      </c>
      <c r="C36" s="81" t="s">
        <v>912</v>
      </c>
      <c r="D36" s="81" t="s">
        <v>483</v>
      </c>
      <c r="E36" s="81" t="s">
        <v>483</v>
      </c>
      <c r="F36" s="97" t="s">
        <v>1010</v>
      </c>
      <c r="G36" s="96" t="s">
        <v>1024</v>
      </c>
      <c r="H36" s="95">
        <v>730</v>
      </c>
      <c r="I36" s="95">
        <v>130</v>
      </c>
      <c r="J36" s="92">
        <v>0</v>
      </c>
      <c r="K36" s="85" t="s">
        <v>483</v>
      </c>
      <c r="L36" s="85" t="s">
        <v>483</v>
      </c>
      <c r="M36" s="85">
        <v>0</v>
      </c>
      <c r="N36" s="85">
        <v>10001</v>
      </c>
      <c r="O36" s="85">
        <v>3</v>
      </c>
      <c r="P36" s="85">
        <v>3</v>
      </c>
      <c r="Q36" s="85">
        <v>11</v>
      </c>
      <c r="R36" s="85">
        <v>1</v>
      </c>
      <c r="S36" s="93">
        <v>705</v>
      </c>
      <c r="T36" s="73" t="s">
        <v>553</v>
      </c>
      <c r="U36" s="85">
        <v>11</v>
      </c>
      <c r="V36" s="85">
        <v>1</v>
      </c>
      <c r="W36" s="85">
        <v>1</v>
      </c>
      <c r="X36" s="85">
        <v>4</v>
      </c>
      <c r="Y36" s="85">
        <v>1</v>
      </c>
      <c r="Z36" s="85">
        <v>8</v>
      </c>
      <c r="AA36" s="85" t="s">
        <v>483</v>
      </c>
      <c r="AB36" s="85" t="s">
        <v>483</v>
      </c>
      <c r="AC36" s="86" t="s">
        <v>695</v>
      </c>
      <c r="AD36" s="84"/>
      <c r="AE36" s="85" t="s">
        <v>1065</v>
      </c>
      <c r="AF36" s="85" t="s">
        <v>1066</v>
      </c>
      <c r="AG36" s="85">
        <v>1</v>
      </c>
      <c r="AH36" s="85" t="s">
        <v>483</v>
      </c>
      <c r="AI36" s="85">
        <v>0</v>
      </c>
      <c r="AJ36" s="85">
        <v>20002</v>
      </c>
      <c r="AK36" s="85">
        <v>20003</v>
      </c>
      <c r="AL36" s="85">
        <v>20004</v>
      </c>
      <c r="AM36" s="85">
        <v>0</v>
      </c>
      <c r="AN36" s="85">
        <v>1</v>
      </c>
      <c r="AO36" s="94" t="s">
        <v>964</v>
      </c>
      <c r="AP36" s="85" t="s">
        <v>511</v>
      </c>
      <c r="AQ36" s="68" t="s">
        <v>953</v>
      </c>
      <c r="AR36" s="69"/>
      <c r="AS36" s="83" t="s">
        <v>1094</v>
      </c>
      <c r="AT36" s="83"/>
      <c r="AU36" s="83"/>
      <c r="AV36" s="83"/>
      <c r="AW36" s="83" t="e">
        <v>#NAME?</v>
      </c>
      <c r="AX36" s="69"/>
      <c r="AY36" s="69"/>
      <c r="AZ36" s="70"/>
      <c r="BA36" s="70"/>
    </row>
    <row r="37" spans="1:53" s="16" customFormat="1" ht="12.75" customHeight="1">
      <c r="A37" s="80"/>
      <c r="B37" s="91">
        <v>10801</v>
      </c>
      <c r="C37" s="81" t="s">
        <v>911</v>
      </c>
      <c r="D37" s="81" t="s">
        <v>483</v>
      </c>
      <c r="E37" s="81" t="s">
        <v>483</v>
      </c>
      <c r="F37" s="97" t="s">
        <v>1011</v>
      </c>
      <c r="G37" s="96" t="s">
        <v>1017</v>
      </c>
      <c r="H37" s="95">
        <v>60</v>
      </c>
      <c r="I37" s="95">
        <v>390</v>
      </c>
      <c r="J37" s="92">
        <v>10802</v>
      </c>
      <c r="K37" s="85" t="s">
        <v>483</v>
      </c>
      <c r="L37" s="85" t="s">
        <v>483</v>
      </c>
      <c r="M37" s="85">
        <v>0</v>
      </c>
      <c r="N37" s="85">
        <v>10001</v>
      </c>
      <c r="O37" s="85">
        <v>3</v>
      </c>
      <c r="P37" s="85">
        <v>3</v>
      </c>
      <c r="Q37" s="85">
        <v>11</v>
      </c>
      <c r="R37" s="85">
        <v>1</v>
      </c>
      <c r="S37" s="93">
        <v>801</v>
      </c>
      <c r="T37" s="73" t="s">
        <v>554</v>
      </c>
      <c r="U37" s="85">
        <v>11</v>
      </c>
      <c r="V37" s="85">
        <v>1</v>
      </c>
      <c r="W37" s="85">
        <v>1</v>
      </c>
      <c r="X37" s="85" t="s">
        <v>969</v>
      </c>
      <c r="Y37" s="85">
        <v>1</v>
      </c>
      <c r="Z37" s="85" t="s">
        <v>970</v>
      </c>
      <c r="AA37" s="85" t="s">
        <v>483</v>
      </c>
      <c r="AB37" s="85" t="s">
        <v>483</v>
      </c>
      <c r="AC37" s="86" t="s">
        <v>695</v>
      </c>
      <c r="AD37" s="84"/>
      <c r="AE37" s="85" t="s">
        <v>1065</v>
      </c>
      <c r="AF37" s="85" t="s">
        <v>1066</v>
      </c>
      <c r="AG37" s="85">
        <v>1</v>
      </c>
      <c r="AH37" s="85" t="s">
        <v>483</v>
      </c>
      <c r="AI37" s="85">
        <v>0</v>
      </c>
      <c r="AJ37" s="85">
        <v>20002</v>
      </c>
      <c r="AK37" s="85">
        <v>20003</v>
      </c>
      <c r="AL37" s="85">
        <v>20004</v>
      </c>
      <c r="AM37" s="85">
        <v>0</v>
      </c>
      <c r="AN37" s="85">
        <v>1</v>
      </c>
      <c r="AO37" s="94" t="s">
        <v>1023</v>
      </c>
      <c r="AP37" s="85" t="s">
        <v>1095</v>
      </c>
      <c r="AQ37" s="68" t="s">
        <v>952</v>
      </c>
      <c r="AR37" s="69"/>
      <c r="AS37" s="83" t="s">
        <v>1096</v>
      </c>
      <c r="AT37" s="83"/>
      <c r="AU37" s="83"/>
      <c r="AV37" s="83"/>
      <c r="AW37" s="83" t="e">
        <v>#NAME?</v>
      </c>
      <c r="AX37" s="69"/>
      <c r="AY37" s="69"/>
      <c r="AZ37" s="70"/>
      <c r="BA37" s="70"/>
    </row>
    <row r="38" spans="1:53" s="16" customFormat="1" ht="14.25">
      <c r="A38" s="80"/>
      <c r="B38" s="91">
        <v>10802</v>
      </c>
      <c r="C38" s="81" t="s">
        <v>913</v>
      </c>
      <c r="D38" s="81" t="s">
        <v>483</v>
      </c>
      <c r="E38" s="81" t="s">
        <v>483</v>
      </c>
      <c r="F38" s="97" t="s">
        <v>1016</v>
      </c>
      <c r="G38" s="96" t="s">
        <v>1021</v>
      </c>
      <c r="H38" s="95">
        <v>110</v>
      </c>
      <c r="I38" s="95">
        <v>120</v>
      </c>
      <c r="J38" s="92">
        <v>10803</v>
      </c>
      <c r="K38" s="85" t="s">
        <v>483</v>
      </c>
      <c r="L38" s="85" t="s">
        <v>483</v>
      </c>
      <c r="M38" s="85">
        <v>0</v>
      </c>
      <c r="N38" s="85">
        <v>10001</v>
      </c>
      <c r="O38" s="85">
        <v>3</v>
      </c>
      <c r="P38" s="85">
        <v>3</v>
      </c>
      <c r="Q38" s="85">
        <v>11</v>
      </c>
      <c r="R38" s="85">
        <v>1</v>
      </c>
      <c r="S38" s="93">
        <v>802</v>
      </c>
      <c r="T38" s="73" t="s">
        <v>555</v>
      </c>
      <c r="U38" s="85">
        <v>11</v>
      </c>
      <c r="V38" s="85">
        <v>1</v>
      </c>
      <c r="W38" s="85">
        <v>1</v>
      </c>
      <c r="X38" s="85">
        <v>4</v>
      </c>
      <c r="Y38" s="85">
        <v>1</v>
      </c>
      <c r="Z38" s="85">
        <v>8</v>
      </c>
      <c r="AA38" s="85" t="s">
        <v>483</v>
      </c>
      <c r="AB38" s="80" t="s">
        <v>483</v>
      </c>
      <c r="AC38" s="86" t="s">
        <v>695</v>
      </c>
      <c r="AD38" s="84"/>
      <c r="AE38" s="85" t="s">
        <v>1065</v>
      </c>
      <c r="AF38" s="85" t="s">
        <v>1066</v>
      </c>
      <c r="AG38" s="85">
        <v>1</v>
      </c>
      <c r="AH38" s="85" t="s">
        <v>483</v>
      </c>
      <c r="AI38" s="85">
        <v>0</v>
      </c>
      <c r="AJ38" s="85">
        <v>20002</v>
      </c>
      <c r="AK38" s="85">
        <v>20003</v>
      </c>
      <c r="AL38" s="85">
        <v>20004</v>
      </c>
      <c r="AM38" s="85">
        <v>0</v>
      </c>
      <c r="AN38" s="85">
        <v>1</v>
      </c>
      <c r="AO38" s="94" t="s">
        <v>1023</v>
      </c>
      <c r="AP38" s="85" t="s">
        <v>512</v>
      </c>
      <c r="AQ38" s="68" t="s">
        <v>952</v>
      </c>
      <c r="AR38" s="69"/>
      <c r="AS38" s="83"/>
      <c r="AT38" s="83"/>
      <c r="AU38" s="83"/>
      <c r="AV38" s="83"/>
      <c r="AW38" s="83"/>
      <c r="AX38" s="69"/>
      <c r="AY38" s="69"/>
      <c r="AZ38" s="70"/>
      <c r="BA38" s="70"/>
    </row>
    <row r="39" spans="1:53" s="16" customFormat="1" ht="14.25">
      <c r="A39" s="80"/>
      <c r="B39" s="91">
        <v>10803</v>
      </c>
      <c r="C39" s="81" t="s">
        <v>914</v>
      </c>
      <c r="D39" s="81" t="s">
        <v>483</v>
      </c>
      <c r="E39" s="81" t="s">
        <v>483</v>
      </c>
      <c r="F39" s="97" t="s">
        <v>1011</v>
      </c>
      <c r="G39" s="96" t="s">
        <v>1019</v>
      </c>
      <c r="H39" s="95">
        <v>510</v>
      </c>
      <c r="I39" s="95">
        <v>370</v>
      </c>
      <c r="J39" s="92">
        <v>10804</v>
      </c>
      <c r="K39" s="85" t="s">
        <v>483</v>
      </c>
      <c r="L39" s="85" t="s">
        <v>483</v>
      </c>
      <c r="M39" s="85">
        <v>0</v>
      </c>
      <c r="N39" s="85">
        <v>10001</v>
      </c>
      <c r="O39" s="85">
        <v>3</v>
      </c>
      <c r="P39" s="85">
        <v>3</v>
      </c>
      <c r="Q39" s="85">
        <v>11</v>
      </c>
      <c r="R39" s="85">
        <v>1</v>
      </c>
      <c r="S39" s="93">
        <v>803</v>
      </c>
      <c r="T39" s="73" t="s">
        <v>556</v>
      </c>
      <c r="U39" s="85">
        <v>11</v>
      </c>
      <c r="V39" s="85">
        <v>1</v>
      </c>
      <c r="W39" s="85">
        <v>1</v>
      </c>
      <c r="X39" s="85">
        <v>4</v>
      </c>
      <c r="Y39" s="85">
        <v>1</v>
      </c>
      <c r="Z39" s="85">
        <v>8</v>
      </c>
      <c r="AA39" s="85" t="s">
        <v>483</v>
      </c>
      <c r="AB39" s="85" t="s">
        <v>483</v>
      </c>
      <c r="AC39" s="86" t="s">
        <v>695</v>
      </c>
      <c r="AD39" s="84"/>
      <c r="AE39" s="85" t="s">
        <v>1065</v>
      </c>
      <c r="AF39" s="85" t="s">
        <v>1066</v>
      </c>
      <c r="AG39" s="85">
        <v>1</v>
      </c>
      <c r="AH39" s="85" t="s">
        <v>483</v>
      </c>
      <c r="AI39" s="85">
        <v>0</v>
      </c>
      <c r="AJ39" s="85">
        <v>20002</v>
      </c>
      <c r="AK39" s="85">
        <v>20003</v>
      </c>
      <c r="AL39" s="85">
        <v>20004</v>
      </c>
      <c r="AM39" s="85">
        <v>0</v>
      </c>
      <c r="AN39" s="85">
        <v>1</v>
      </c>
      <c r="AO39" s="94" t="s">
        <v>1023</v>
      </c>
      <c r="AP39" s="85" t="s">
        <v>513</v>
      </c>
      <c r="AQ39" s="68" t="s">
        <v>952</v>
      </c>
      <c r="AR39" s="69"/>
      <c r="AS39" s="83"/>
      <c r="AT39" s="83"/>
      <c r="AU39" s="83"/>
      <c r="AV39" s="83"/>
      <c r="AW39" s="83"/>
      <c r="AX39" s="69"/>
      <c r="AY39" s="69"/>
      <c r="AZ39" s="70"/>
      <c r="BA39" s="70"/>
    </row>
    <row r="40" spans="1:53" s="16" customFormat="1" ht="14.25">
      <c r="A40" s="80"/>
      <c r="B40" s="91">
        <v>10804</v>
      </c>
      <c r="C40" s="81" t="s">
        <v>34</v>
      </c>
      <c r="D40" s="81" t="s">
        <v>483</v>
      </c>
      <c r="E40" s="81" t="s">
        <v>483</v>
      </c>
      <c r="F40" s="97" t="s">
        <v>1011</v>
      </c>
      <c r="G40" s="96" t="s">
        <v>1081</v>
      </c>
      <c r="H40" s="95">
        <v>440</v>
      </c>
      <c r="I40" s="95">
        <v>70</v>
      </c>
      <c r="J40" s="92">
        <v>10805</v>
      </c>
      <c r="K40" s="85" t="s">
        <v>483</v>
      </c>
      <c r="L40" s="85" t="s">
        <v>483</v>
      </c>
      <c r="M40" s="85">
        <v>0</v>
      </c>
      <c r="N40" s="85">
        <v>10001</v>
      </c>
      <c r="O40" s="85">
        <v>3</v>
      </c>
      <c r="P40" s="85">
        <v>3</v>
      </c>
      <c r="Q40" s="85">
        <v>11</v>
      </c>
      <c r="R40" s="85">
        <v>1</v>
      </c>
      <c r="S40" s="93">
        <v>804</v>
      </c>
      <c r="T40" s="73" t="s">
        <v>557</v>
      </c>
      <c r="U40" s="85">
        <v>11</v>
      </c>
      <c r="V40" s="85">
        <v>1</v>
      </c>
      <c r="W40" s="85">
        <v>1</v>
      </c>
      <c r="X40" s="85">
        <v>4</v>
      </c>
      <c r="Y40" s="85">
        <v>1</v>
      </c>
      <c r="Z40" s="85">
        <v>8</v>
      </c>
      <c r="AA40" s="85" t="s">
        <v>483</v>
      </c>
      <c r="AB40" s="80" t="s">
        <v>483</v>
      </c>
      <c r="AC40" s="86" t="s">
        <v>695</v>
      </c>
      <c r="AD40" s="84"/>
      <c r="AE40" s="85" t="s">
        <v>1065</v>
      </c>
      <c r="AF40" s="85" t="s">
        <v>1066</v>
      </c>
      <c r="AG40" s="85">
        <v>1</v>
      </c>
      <c r="AH40" s="85" t="s">
        <v>483</v>
      </c>
      <c r="AI40" s="85">
        <v>0</v>
      </c>
      <c r="AJ40" s="85">
        <v>20002</v>
      </c>
      <c r="AK40" s="85">
        <v>20003</v>
      </c>
      <c r="AL40" s="85">
        <v>20004</v>
      </c>
      <c r="AM40" s="85">
        <v>0</v>
      </c>
      <c r="AN40" s="85">
        <v>1</v>
      </c>
      <c r="AO40" s="94" t="s">
        <v>1023</v>
      </c>
      <c r="AP40" s="85" t="s">
        <v>514</v>
      </c>
      <c r="AQ40" s="68" t="s">
        <v>952</v>
      </c>
      <c r="AR40" s="69"/>
      <c r="AS40" s="83" t="s">
        <v>1097</v>
      </c>
      <c r="AT40" s="83"/>
      <c r="AU40" s="83"/>
      <c r="AV40" s="83"/>
      <c r="AW40" s="83" t="e">
        <v>#NAME?</v>
      </c>
      <c r="AX40" s="69"/>
      <c r="AY40" s="69"/>
      <c r="AZ40" s="70"/>
      <c r="BA40" s="70"/>
    </row>
    <row r="41" spans="1:53" s="16" customFormat="1" ht="14.25">
      <c r="A41" s="80"/>
      <c r="B41" s="91">
        <v>10805</v>
      </c>
      <c r="C41" s="81" t="s">
        <v>928</v>
      </c>
      <c r="D41" s="81" t="s">
        <v>483</v>
      </c>
      <c r="E41" s="81" t="s">
        <v>483</v>
      </c>
      <c r="F41" s="97" t="s">
        <v>1013</v>
      </c>
      <c r="G41" s="96" t="s">
        <v>1018</v>
      </c>
      <c r="H41" s="95">
        <v>740</v>
      </c>
      <c r="I41" s="95">
        <v>130</v>
      </c>
      <c r="J41" s="92">
        <v>0</v>
      </c>
      <c r="K41" s="85" t="s">
        <v>483</v>
      </c>
      <c r="L41" s="85" t="s">
        <v>483</v>
      </c>
      <c r="M41" s="85">
        <v>0</v>
      </c>
      <c r="N41" s="85">
        <v>10001</v>
      </c>
      <c r="O41" s="85">
        <v>3</v>
      </c>
      <c r="P41" s="85">
        <v>3</v>
      </c>
      <c r="Q41" s="85">
        <v>11</v>
      </c>
      <c r="R41" s="85">
        <v>1</v>
      </c>
      <c r="S41" s="93">
        <v>805</v>
      </c>
      <c r="T41" s="73" t="s">
        <v>558</v>
      </c>
      <c r="U41" s="85" t="s">
        <v>973</v>
      </c>
      <c r="V41" s="85" t="s">
        <v>968</v>
      </c>
      <c r="W41" s="85" t="s">
        <v>968</v>
      </c>
      <c r="X41" s="85" t="s">
        <v>974</v>
      </c>
      <c r="Y41" s="85" t="s">
        <v>968</v>
      </c>
      <c r="Z41" s="85" t="s">
        <v>975</v>
      </c>
      <c r="AA41" s="85" t="s">
        <v>483</v>
      </c>
      <c r="AB41" s="85" t="s">
        <v>483</v>
      </c>
      <c r="AC41" s="86" t="s">
        <v>695</v>
      </c>
      <c r="AD41" s="84"/>
      <c r="AE41" s="85" t="s">
        <v>1065</v>
      </c>
      <c r="AF41" s="85" t="s">
        <v>1066</v>
      </c>
      <c r="AG41" s="85">
        <v>1</v>
      </c>
      <c r="AH41" s="85" t="s">
        <v>483</v>
      </c>
      <c r="AI41" s="85">
        <v>0</v>
      </c>
      <c r="AJ41" s="85">
        <v>20002</v>
      </c>
      <c r="AK41" s="85">
        <v>20003</v>
      </c>
      <c r="AL41" s="85">
        <v>20004</v>
      </c>
      <c r="AM41" s="85">
        <v>0</v>
      </c>
      <c r="AN41" s="85">
        <v>1</v>
      </c>
      <c r="AO41" s="94" t="s">
        <v>965</v>
      </c>
      <c r="AP41" s="85" t="s">
        <v>515</v>
      </c>
      <c r="AQ41" s="68" t="s">
        <v>952</v>
      </c>
      <c r="AR41" s="69"/>
      <c r="AS41" s="83"/>
      <c r="AT41" s="83"/>
      <c r="AU41" s="83"/>
      <c r="AV41" s="83"/>
      <c r="AW41" s="83"/>
      <c r="AX41" s="69"/>
      <c r="AY41" s="69"/>
      <c r="AZ41" s="70"/>
      <c r="BA41" s="70"/>
    </row>
    <row r="42" spans="1:53" s="16" customFormat="1" ht="14.25">
      <c r="A42" s="80"/>
      <c r="B42" s="91">
        <v>10901</v>
      </c>
      <c r="C42" s="81" t="s">
        <v>933</v>
      </c>
      <c r="D42" s="81" t="s">
        <v>483</v>
      </c>
      <c r="E42" s="81" t="s">
        <v>483</v>
      </c>
      <c r="F42" s="97" t="s">
        <v>1013</v>
      </c>
      <c r="G42" s="96" t="s">
        <v>1021</v>
      </c>
      <c r="H42" s="95">
        <v>40</v>
      </c>
      <c r="I42" s="95">
        <v>70</v>
      </c>
      <c r="J42" s="92">
        <v>10902</v>
      </c>
      <c r="K42" s="85" t="s">
        <v>483</v>
      </c>
      <c r="L42" s="85" t="s">
        <v>483</v>
      </c>
      <c r="M42" s="85">
        <v>0</v>
      </c>
      <c r="N42" s="85">
        <v>10001</v>
      </c>
      <c r="O42" s="85">
        <v>3</v>
      </c>
      <c r="P42" s="85">
        <v>3</v>
      </c>
      <c r="Q42" s="85">
        <v>11</v>
      </c>
      <c r="R42" s="85">
        <v>1</v>
      </c>
      <c r="S42" s="93">
        <v>901</v>
      </c>
      <c r="T42" s="73" t="s">
        <v>559</v>
      </c>
      <c r="U42" s="85">
        <v>11</v>
      </c>
      <c r="V42" s="85">
        <v>1</v>
      </c>
      <c r="W42" s="85">
        <v>1</v>
      </c>
      <c r="X42" s="85">
        <v>4</v>
      </c>
      <c r="Y42" s="85">
        <v>1</v>
      </c>
      <c r="Z42" s="85">
        <v>8</v>
      </c>
      <c r="AA42" s="85" t="s">
        <v>483</v>
      </c>
      <c r="AB42" s="80" t="s">
        <v>483</v>
      </c>
      <c r="AC42" s="86" t="s">
        <v>695</v>
      </c>
      <c r="AD42" s="84"/>
      <c r="AE42" s="85" t="s">
        <v>1065</v>
      </c>
      <c r="AF42" s="85" t="s">
        <v>1066</v>
      </c>
      <c r="AG42" s="85">
        <v>1</v>
      </c>
      <c r="AH42" s="85" t="s">
        <v>483</v>
      </c>
      <c r="AI42" s="85">
        <v>0</v>
      </c>
      <c r="AJ42" s="85">
        <v>20002</v>
      </c>
      <c r="AK42" s="85">
        <v>20003</v>
      </c>
      <c r="AL42" s="85">
        <v>20004</v>
      </c>
      <c r="AM42" s="85">
        <v>0</v>
      </c>
      <c r="AN42" s="85">
        <v>1</v>
      </c>
      <c r="AO42" s="94" t="s">
        <v>1023</v>
      </c>
      <c r="AP42" s="85" t="s">
        <v>516</v>
      </c>
      <c r="AQ42" s="68" t="s">
        <v>952</v>
      </c>
      <c r="AR42" s="69"/>
      <c r="AS42" s="83"/>
      <c r="AT42" s="83"/>
      <c r="AU42" s="83"/>
      <c r="AV42" s="83"/>
      <c r="AW42" s="83"/>
      <c r="AX42" s="69"/>
      <c r="AY42" s="69"/>
      <c r="AZ42" s="70"/>
      <c r="BA42" s="70"/>
    </row>
    <row r="43" spans="1:53" s="16" customFormat="1" ht="14.25">
      <c r="A43" s="80"/>
      <c r="B43" s="91">
        <v>10902</v>
      </c>
      <c r="C43" s="81" t="s">
        <v>919</v>
      </c>
      <c r="D43" s="81" t="s">
        <v>483</v>
      </c>
      <c r="E43" s="81" t="s">
        <v>483</v>
      </c>
      <c r="F43" s="97" t="s">
        <v>1011</v>
      </c>
      <c r="G43" s="96" t="s">
        <v>1017</v>
      </c>
      <c r="H43" s="95">
        <v>160</v>
      </c>
      <c r="I43" s="95">
        <v>280</v>
      </c>
      <c r="J43" s="92">
        <v>10903</v>
      </c>
      <c r="K43" s="85" t="s">
        <v>483</v>
      </c>
      <c r="L43" s="85" t="s">
        <v>483</v>
      </c>
      <c r="M43" s="85">
        <v>0</v>
      </c>
      <c r="N43" s="85">
        <v>10001</v>
      </c>
      <c r="O43" s="85">
        <v>3</v>
      </c>
      <c r="P43" s="85">
        <v>3</v>
      </c>
      <c r="Q43" s="85">
        <v>11</v>
      </c>
      <c r="R43" s="85">
        <v>1</v>
      </c>
      <c r="S43" s="93">
        <v>902</v>
      </c>
      <c r="T43" s="73" t="s">
        <v>560</v>
      </c>
      <c r="U43" s="85">
        <v>11</v>
      </c>
      <c r="V43" s="85">
        <v>1</v>
      </c>
      <c r="W43" s="85">
        <v>1</v>
      </c>
      <c r="X43" s="85">
        <v>4</v>
      </c>
      <c r="Y43" s="85">
        <v>1</v>
      </c>
      <c r="Z43" s="85">
        <v>8</v>
      </c>
      <c r="AA43" s="85" t="s">
        <v>483</v>
      </c>
      <c r="AB43" s="85" t="s">
        <v>483</v>
      </c>
      <c r="AC43" s="86" t="s">
        <v>695</v>
      </c>
      <c r="AD43" s="84"/>
      <c r="AE43" s="85" t="s">
        <v>1065</v>
      </c>
      <c r="AF43" s="85" t="s">
        <v>1066</v>
      </c>
      <c r="AG43" s="85">
        <v>1</v>
      </c>
      <c r="AH43" s="85" t="s">
        <v>483</v>
      </c>
      <c r="AI43" s="85">
        <v>0</v>
      </c>
      <c r="AJ43" s="85">
        <v>20002</v>
      </c>
      <c r="AK43" s="85">
        <v>20003</v>
      </c>
      <c r="AL43" s="85">
        <v>20004</v>
      </c>
      <c r="AM43" s="85">
        <v>0</v>
      </c>
      <c r="AN43" s="85">
        <v>1</v>
      </c>
      <c r="AO43" s="94" t="s">
        <v>1023</v>
      </c>
      <c r="AP43" s="85" t="s">
        <v>517</v>
      </c>
      <c r="AQ43" s="68" t="s">
        <v>952</v>
      </c>
      <c r="AR43" s="69"/>
      <c r="AS43" s="83" t="e">
        <v>#REF!</v>
      </c>
      <c r="AT43" s="83"/>
      <c r="AU43" s="83"/>
      <c r="AV43" s="83"/>
      <c r="AW43" s="83" t="e">
        <v>#NAME?</v>
      </c>
      <c r="AX43" s="69"/>
      <c r="AY43" s="69"/>
      <c r="AZ43" s="70"/>
      <c r="BA43" s="70"/>
    </row>
    <row r="44" spans="1:53" s="16" customFormat="1" ht="14.25">
      <c r="A44" s="80"/>
      <c r="B44" s="91">
        <v>10903</v>
      </c>
      <c r="C44" s="81" t="s">
        <v>928</v>
      </c>
      <c r="D44" s="81" t="s">
        <v>483</v>
      </c>
      <c r="E44" s="81" t="s">
        <v>483</v>
      </c>
      <c r="F44" s="97" t="s">
        <v>1010</v>
      </c>
      <c r="G44" s="96" t="s">
        <v>1081</v>
      </c>
      <c r="H44" s="95">
        <v>440</v>
      </c>
      <c r="I44" s="95">
        <v>420</v>
      </c>
      <c r="J44" s="92">
        <v>10904</v>
      </c>
      <c r="K44" s="85" t="s">
        <v>483</v>
      </c>
      <c r="L44" s="85" t="s">
        <v>483</v>
      </c>
      <c r="M44" s="85">
        <v>0</v>
      </c>
      <c r="N44" s="85">
        <v>10001</v>
      </c>
      <c r="O44" s="85">
        <v>3</v>
      </c>
      <c r="P44" s="85">
        <v>3</v>
      </c>
      <c r="Q44" s="85">
        <v>11</v>
      </c>
      <c r="R44" s="85">
        <v>1</v>
      </c>
      <c r="S44" s="93">
        <v>903</v>
      </c>
      <c r="T44" s="73" t="s">
        <v>558</v>
      </c>
      <c r="U44" s="85" t="s">
        <v>973</v>
      </c>
      <c r="V44" s="85" t="s">
        <v>968</v>
      </c>
      <c r="W44" s="85" t="s">
        <v>968</v>
      </c>
      <c r="X44" s="85" t="s">
        <v>974</v>
      </c>
      <c r="Y44" s="85" t="s">
        <v>968</v>
      </c>
      <c r="Z44" s="85" t="s">
        <v>975</v>
      </c>
      <c r="AA44" s="85" t="s">
        <v>483</v>
      </c>
      <c r="AB44" s="85" t="s">
        <v>483</v>
      </c>
      <c r="AC44" s="86" t="s">
        <v>695</v>
      </c>
      <c r="AD44" s="84"/>
      <c r="AE44" s="85" t="s">
        <v>1065</v>
      </c>
      <c r="AF44" s="85" t="s">
        <v>1066</v>
      </c>
      <c r="AG44" s="85">
        <v>1</v>
      </c>
      <c r="AH44" s="85" t="s">
        <v>483</v>
      </c>
      <c r="AI44" s="85">
        <v>0</v>
      </c>
      <c r="AJ44" s="85">
        <v>20002</v>
      </c>
      <c r="AK44" s="85">
        <v>20003</v>
      </c>
      <c r="AL44" s="85">
        <v>20004</v>
      </c>
      <c r="AM44" s="85">
        <v>0</v>
      </c>
      <c r="AN44" s="85">
        <v>1</v>
      </c>
      <c r="AO44" s="94" t="s">
        <v>1023</v>
      </c>
      <c r="AP44" s="85" t="s">
        <v>515</v>
      </c>
      <c r="AQ44" s="68" t="s">
        <v>952</v>
      </c>
      <c r="AR44" s="69"/>
      <c r="AS44" s="83"/>
      <c r="AT44" s="83"/>
      <c r="AU44" s="83"/>
      <c r="AV44" s="83"/>
      <c r="AW44" s="83"/>
      <c r="AX44" s="69"/>
      <c r="AY44" s="69"/>
      <c r="AZ44" s="70"/>
      <c r="BA44" s="70"/>
    </row>
    <row r="45" spans="1:53" s="16" customFormat="1" ht="14.25">
      <c r="A45" s="80"/>
      <c r="B45" s="91">
        <v>10904</v>
      </c>
      <c r="C45" s="81" t="s">
        <v>933</v>
      </c>
      <c r="D45" s="81" t="s">
        <v>483</v>
      </c>
      <c r="E45" s="81" t="s">
        <v>483</v>
      </c>
      <c r="F45" s="97" t="s">
        <v>1012</v>
      </c>
      <c r="G45" s="96" t="s">
        <v>1025</v>
      </c>
      <c r="H45" s="95">
        <v>470</v>
      </c>
      <c r="I45" s="95">
        <v>80</v>
      </c>
      <c r="J45" s="92">
        <v>10905</v>
      </c>
      <c r="K45" s="85" t="s">
        <v>483</v>
      </c>
      <c r="L45" s="85" t="s">
        <v>483</v>
      </c>
      <c r="M45" s="85">
        <v>0</v>
      </c>
      <c r="N45" s="85">
        <v>10001</v>
      </c>
      <c r="O45" s="85">
        <v>3</v>
      </c>
      <c r="P45" s="85">
        <v>3</v>
      </c>
      <c r="Q45" s="85">
        <v>11</v>
      </c>
      <c r="R45" s="85">
        <v>1</v>
      </c>
      <c r="S45" s="93">
        <v>904</v>
      </c>
      <c r="T45" s="73" t="s">
        <v>559</v>
      </c>
      <c r="U45" s="85">
        <v>11</v>
      </c>
      <c r="V45" s="85">
        <v>1</v>
      </c>
      <c r="W45" s="85">
        <v>1</v>
      </c>
      <c r="X45" s="85">
        <v>4</v>
      </c>
      <c r="Y45" s="85">
        <v>1</v>
      </c>
      <c r="Z45" s="85">
        <v>8</v>
      </c>
      <c r="AA45" s="85" t="s">
        <v>483</v>
      </c>
      <c r="AB45" s="80" t="s">
        <v>483</v>
      </c>
      <c r="AC45" s="86" t="s">
        <v>695</v>
      </c>
      <c r="AD45" s="84"/>
      <c r="AE45" s="85" t="s">
        <v>1065</v>
      </c>
      <c r="AF45" s="85" t="s">
        <v>1066</v>
      </c>
      <c r="AG45" s="85">
        <v>1</v>
      </c>
      <c r="AH45" s="85" t="s">
        <v>483</v>
      </c>
      <c r="AI45" s="85">
        <v>0</v>
      </c>
      <c r="AJ45" s="85">
        <v>20002</v>
      </c>
      <c r="AK45" s="85">
        <v>20003</v>
      </c>
      <c r="AL45" s="85">
        <v>20004</v>
      </c>
      <c r="AM45" s="85">
        <v>0</v>
      </c>
      <c r="AN45" s="85">
        <v>1</v>
      </c>
      <c r="AO45" s="94" t="s">
        <v>1023</v>
      </c>
      <c r="AP45" s="85" t="s">
        <v>516</v>
      </c>
      <c r="AQ45" s="68" t="s">
        <v>952</v>
      </c>
      <c r="AR45" s="69"/>
      <c r="AS45" s="83"/>
      <c r="AT45" s="83"/>
      <c r="AU45" s="83"/>
      <c r="AV45" s="83"/>
      <c r="AW45" s="83"/>
      <c r="AX45" s="69"/>
      <c r="AY45" s="69"/>
      <c r="AZ45" s="70"/>
      <c r="BA45" s="70"/>
    </row>
    <row r="46" spans="1:53" s="16" customFormat="1" ht="14.25">
      <c r="A46" s="80"/>
      <c r="B46" s="91">
        <v>10905</v>
      </c>
      <c r="C46" s="81" t="s">
        <v>919</v>
      </c>
      <c r="D46" s="81" t="s">
        <v>483</v>
      </c>
      <c r="E46" s="81" t="s">
        <v>483</v>
      </c>
      <c r="F46" s="97" t="s">
        <v>1016</v>
      </c>
      <c r="G46" s="96" t="s">
        <v>1018</v>
      </c>
      <c r="H46" s="95">
        <v>780</v>
      </c>
      <c r="I46" s="95">
        <v>200</v>
      </c>
      <c r="J46" s="92">
        <v>0</v>
      </c>
      <c r="K46" s="85" t="s">
        <v>483</v>
      </c>
      <c r="L46" s="85" t="s">
        <v>483</v>
      </c>
      <c r="M46" s="85">
        <v>0</v>
      </c>
      <c r="N46" s="85">
        <v>10001</v>
      </c>
      <c r="O46" s="85">
        <v>3</v>
      </c>
      <c r="P46" s="85">
        <v>3</v>
      </c>
      <c r="Q46" s="85">
        <v>11</v>
      </c>
      <c r="R46" s="85">
        <v>1</v>
      </c>
      <c r="S46" s="93">
        <v>905</v>
      </c>
      <c r="T46" s="73" t="s">
        <v>560</v>
      </c>
      <c r="U46" s="85">
        <v>11</v>
      </c>
      <c r="V46" s="85">
        <v>1</v>
      </c>
      <c r="W46" s="85">
        <v>1</v>
      </c>
      <c r="X46" s="85">
        <v>4</v>
      </c>
      <c r="Y46" s="85">
        <v>1</v>
      </c>
      <c r="Z46" s="85">
        <v>8</v>
      </c>
      <c r="AA46" s="85" t="s">
        <v>483</v>
      </c>
      <c r="AB46" s="85" t="s">
        <v>483</v>
      </c>
      <c r="AC46" s="86" t="s">
        <v>695</v>
      </c>
      <c r="AD46" s="84"/>
      <c r="AE46" s="85" t="s">
        <v>1065</v>
      </c>
      <c r="AF46" s="85" t="s">
        <v>1066</v>
      </c>
      <c r="AG46" s="85">
        <v>1</v>
      </c>
      <c r="AH46" s="85" t="s">
        <v>483</v>
      </c>
      <c r="AI46" s="85">
        <v>0</v>
      </c>
      <c r="AJ46" s="85">
        <v>20002</v>
      </c>
      <c r="AK46" s="85">
        <v>20003</v>
      </c>
      <c r="AL46" s="85">
        <v>20004</v>
      </c>
      <c r="AM46" s="85">
        <v>0</v>
      </c>
      <c r="AN46" s="85">
        <v>1</v>
      </c>
      <c r="AO46" s="94" t="s">
        <v>966</v>
      </c>
      <c r="AP46" s="85" t="s">
        <v>517</v>
      </c>
      <c r="AQ46" s="68" t="s">
        <v>952</v>
      </c>
      <c r="AR46" s="69"/>
      <c r="AS46" s="83" t="e">
        <v>#REF!</v>
      </c>
      <c r="AT46" s="83"/>
      <c r="AU46" s="83"/>
      <c r="AV46" s="83"/>
      <c r="AW46" s="83" t="e">
        <v>#NAME?</v>
      </c>
      <c r="AX46" s="69"/>
      <c r="AY46" s="69"/>
      <c r="AZ46" s="70"/>
      <c r="BA46" s="70"/>
    </row>
    <row r="47" spans="1:53" s="16" customFormat="1">
      <c r="A47" s="69"/>
      <c r="B47" s="69"/>
      <c r="C47" s="69"/>
      <c r="D47" s="69"/>
      <c r="E47" s="69"/>
      <c r="F47" s="69"/>
      <c r="G47" s="69"/>
      <c r="H47" s="69"/>
      <c r="I47" s="69"/>
      <c r="J47" s="69"/>
      <c r="K47" s="69"/>
      <c r="L47" s="69"/>
      <c r="M47" s="69"/>
      <c r="N47" s="69"/>
      <c r="O47" s="69"/>
      <c r="P47" s="69"/>
      <c r="Q47" s="69"/>
      <c r="R47" s="69"/>
      <c r="S47" s="69"/>
      <c r="T47" s="69"/>
      <c r="U47" s="69"/>
      <c r="V47" s="69"/>
      <c r="W47" s="69"/>
      <c r="X47" s="69"/>
      <c r="Y47" s="69"/>
      <c r="Z47" s="69"/>
      <c r="AA47" s="69"/>
      <c r="AB47" s="69"/>
      <c r="AC47" s="69"/>
      <c r="AD47" s="69"/>
      <c r="AE47" s="69"/>
      <c r="AF47" s="69"/>
      <c r="AG47" s="69"/>
      <c r="AH47" s="69"/>
      <c r="AI47" s="69"/>
      <c r="AJ47" s="69"/>
      <c r="AK47" s="69"/>
      <c r="AL47" s="69"/>
      <c r="AM47" s="69"/>
      <c r="AN47" s="69"/>
      <c r="AO47" s="74"/>
      <c r="AP47" s="69"/>
      <c r="AQ47" s="79"/>
      <c r="AR47" s="69"/>
      <c r="AS47" s="69"/>
      <c r="AT47" s="69"/>
      <c r="AU47" s="69"/>
      <c r="AV47" s="69"/>
      <c r="AW47" s="69"/>
      <c r="AX47" s="69"/>
      <c r="AY47" s="69"/>
      <c r="AZ47" s="69"/>
      <c r="BA47" s="69"/>
    </row>
    <row r="48" spans="1:53" s="16" customFormat="1">
      <c r="A48" s="69"/>
      <c r="B48" s="69"/>
      <c r="C48" s="69"/>
      <c r="D48" s="69"/>
      <c r="E48" s="69"/>
      <c r="F48" s="69"/>
      <c r="G48" s="69"/>
      <c r="H48" s="69"/>
      <c r="I48" s="69"/>
      <c r="J48" s="69"/>
      <c r="K48" s="69"/>
      <c r="L48" s="69"/>
      <c r="M48" s="69"/>
      <c r="N48" s="69"/>
      <c r="O48" s="69"/>
      <c r="P48" s="69"/>
      <c r="Q48" s="69"/>
      <c r="R48" s="69"/>
      <c r="S48" s="69"/>
      <c r="T48" s="69"/>
      <c r="U48" s="69"/>
      <c r="V48" s="69"/>
      <c r="W48" s="69"/>
      <c r="X48" s="69"/>
      <c r="Y48" s="69"/>
      <c r="Z48" s="69"/>
      <c r="AA48" s="69"/>
      <c r="AB48" s="69"/>
      <c r="AC48" s="69"/>
      <c r="AD48" s="69"/>
      <c r="AE48" s="69"/>
      <c r="AF48" s="69"/>
      <c r="AG48" s="69"/>
      <c r="AH48" s="69"/>
      <c r="AI48" s="69"/>
      <c r="AJ48" s="69"/>
      <c r="AK48" s="69"/>
      <c r="AL48" s="69"/>
      <c r="AM48" s="69"/>
      <c r="AN48" s="69"/>
      <c r="AO48" s="74"/>
      <c r="AP48" s="69"/>
      <c r="AQ48" s="79"/>
      <c r="AR48" s="69"/>
      <c r="AS48" s="69"/>
      <c r="AT48" s="69"/>
      <c r="AU48" s="69"/>
      <c r="AV48" s="69"/>
      <c r="AW48" s="69"/>
      <c r="AX48" s="69"/>
      <c r="AY48" s="69"/>
      <c r="AZ48" s="69"/>
      <c r="BA48" s="69"/>
    </row>
    <row r="49" spans="41:43" s="16" customFormat="1">
      <c r="AO49" s="74"/>
      <c r="AP49" s="69"/>
      <c r="AQ49" s="79"/>
    </row>
    <row r="50" spans="41:43" s="16" customFormat="1">
      <c r="AO50" s="74"/>
      <c r="AP50" s="69"/>
      <c r="AQ50" s="79"/>
    </row>
    <row r="51" spans="41:43" s="16" customFormat="1">
      <c r="AO51" s="74"/>
      <c r="AP51" s="69"/>
      <c r="AQ51" s="79"/>
    </row>
    <row r="52" spans="41:43" s="16" customFormat="1">
      <c r="AO52" s="74"/>
      <c r="AP52" s="69"/>
      <c r="AQ52" s="79"/>
    </row>
    <row r="53" spans="41:43" s="16" customFormat="1">
      <c r="AO53" s="74"/>
      <c r="AP53" s="69"/>
      <c r="AQ53" s="79"/>
    </row>
    <row r="54" spans="41:43" s="16" customFormat="1">
      <c r="AO54" s="74"/>
      <c r="AP54" s="69"/>
      <c r="AQ54" s="79"/>
    </row>
    <row r="55" spans="41:43" s="16" customFormat="1">
      <c r="AO55" s="74"/>
      <c r="AP55" s="69"/>
      <c r="AQ55" s="79"/>
    </row>
    <row r="56" spans="41:43" s="16" customFormat="1">
      <c r="AO56" s="74"/>
      <c r="AP56" s="69"/>
      <c r="AQ56" s="79"/>
    </row>
    <row r="57" spans="41:43" s="16" customFormat="1">
      <c r="AO57" s="74"/>
      <c r="AP57" s="69"/>
      <c r="AQ57" s="79"/>
    </row>
    <row r="58" spans="41:43" s="16" customFormat="1">
      <c r="AO58" s="74"/>
      <c r="AP58" s="69"/>
      <c r="AQ58" s="79"/>
    </row>
    <row r="59" spans="41:43" s="16" customFormat="1">
      <c r="AO59" s="74"/>
      <c r="AP59" s="69"/>
      <c r="AQ59" s="79"/>
    </row>
    <row r="60" spans="41:43" s="16" customFormat="1">
      <c r="AO60" s="74"/>
      <c r="AP60" s="69"/>
      <c r="AQ60" s="79"/>
    </row>
    <row r="61" spans="41:43" s="16" customFormat="1">
      <c r="AO61" s="74"/>
      <c r="AP61" s="69"/>
      <c r="AQ61" s="79"/>
    </row>
    <row r="62" spans="41:43" s="16" customFormat="1">
      <c r="AO62" s="74"/>
      <c r="AP62" s="69"/>
      <c r="AQ62" s="79"/>
    </row>
    <row r="63" spans="41:43" s="16" customFormat="1">
      <c r="AO63" s="74"/>
      <c r="AP63" s="69"/>
      <c r="AQ63" s="79"/>
    </row>
    <row r="64" spans="41:43" s="16" customFormat="1">
      <c r="AO64" s="74"/>
      <c r="AP64" s="69"/>
      <c r="AQ64" s="79"/>
    </row>
    <row r="65" spans="41:43" s="16" customFormat="1">
      <c r="AO65" s="74"/>
      <c r="AP65" s="69"/>
      <c r="AQ65" s="79"/>
    </row>
    <row r="66" spans="41:43" s="16" customFormat="1">
      <c r="AO66" s="74"/>
      <c r="AP66" s="69"/>
      <c r="AQ66" s="79"/>
    </row>
    <row r="67" spans="41:43" s="16" customFormat="1">
      <c r="AO67" s="74"/>
      <c r="AP67" s="69"/>
      <c r="AQ67" s="79"/>
    </row>
    <row r="68" spans="41:43" s="16" customFormat="1">
      <c r="AO68" s="74"/>
      <c r="AP68" s="69"/>
      <c r="AQ68" s="79"/>
    </row>
    <row r="69" spans="41:43" s="16" customFormat="1">
      <c r="AO69" s="74"/>
      <c r="AP69" s="69"/>
      <c r="AQ69" s="79"/>
    </row>
    <row r="70" spans="41:43" s="16" customFormat="1">
      <c r="AO70" s="74"/>
      <c r="AP70" s="69"/>
      <c r="AQ70" s="79"/>
    </row>
    <row r="71" spans="41:43" s="16" customFormat="1">
      <c r="AO71" s="74"/>
      <c r="AP71" s="69"/>
      <c r="AQ71" s="79"/>
    </row>
    <row r="72" spans="41:43" s="16" customFormat="1">
      <c r="AO72" s="74"/>
      <c r="AP72" s="69"/>
      <c r="AQ72" s="79"/>
    </row>
    <row r="73" spans="41:43" s="16" customFormat="1">
      <c r="AO73" s="74"/>
      <c r="AP73" s="69"/>
      <c r="AQ73" s="79"/>
    </row>
    <row r="74" spans="41:43" s="16" customFormat="1">
      <c r="AO74" s="74"/>
      <c r="AP74" s="69"/>
      <c r="AQ74" s="79"/>
    </row>
    <row r="75" spans="41:43" s="16" customFormat="1">
      <c r="AO75" s="74"/>
      <c r="AP75" s="69"/>
      <c r="AQ75" s="79"/>
    </row>
    <row r="76" spans="41:43" s="16" customFormat="1">
      <c r="AO76" s="74"/>
      <c r="AP76" s="69"/>
      <c r="AQ76" s="79"/>
    </row>
    <row r="77" spans="41:43" s="16" customFormat="1">
      <c r="AO77" s="74"/>
      <c r="AP77" s="69"/>
      <c r="AQ77" s="79"/>
    </row>
    <row r="78" spans="41:43" s="16" customFormat="1">
      <c r="AO78" s="74"/>
      <c r="AP78" s="69"/>
      <c r="AQ78" s="79"/>
    </row>
    <row r="79" spans="41:43" s="16" customFormat="1">
      <c r="AO79" s="74"/>
      <c r="AP79" s="69"/>
      <c r="AQ79" s="79"/>
    </row>
    <row r="80" spans="41:43" s="16" customFormat="1">
      <c r="AO80" s="74"/>
      <c r="AP80" s="69"/>
      <c r="AQ80" s="79"/>
    </row>
    <row r="81" spans="41:43" s="16" customFormat="1">
      <c r="AO81" s="74"/>
      <c r="AP81" s="69"/>
      <c r="AQ81" s="79"/>
    </row>
    <row r="82" spans="41:43" s="16" customFormat="1">
      <c r="AO82" s="74"/>
      <c r="AP82" s="69"/>
      <c r="AQ82" s="79"/>
    </row>
    <row r="83" spans="41:43" s="16" customFormat="1">
      <c r="AO83" s="74"/>
      <c r="AP83" s="69"/>
      <c r="AQ83" s="79"/>
    </row>
    <row r="84" spans="41:43" s="16" customFormat="1">
      <c r="AO84" s="74"/>
      <c r="AP84" s="69"/>
      <c r="AQ84" s="79"/>
    </row>
    <row r="85" spans="41:43" s="16" customFormat="1">
      <c r="AO85" s="74"/>
      <c r="AP85" s="69"/>
      <c r="AQ85" s="79"/>
    </row>
    <row r="86" spans="41:43" s="16" customFormat="1">
      <c r="AO86" s="74"/>
      <c r="AP86" s="69"/>
      <c r="AQ86" s="79"/>
    </row>
    <row r="87" spans="41:43" s="16" customFormat="1">
      <c r="AO87" s="74"/>
      <c r="AP87" s="69"/>
      <c r="AQ87" s="79"/>
    </row>
    <row r="88" spans="41:43" s="16" customFormat="1">
      <c r="AO88" s="74"/>
      <c r="AP88" s="69"/>
      <c r="AQ88" s="79"/>
    </row>
    <row r="89" spans="41:43" s="16" customFormat="1">
      <c r="AO89" s="74"/>
      <c r="AP89" s="69"/>
      <c r="AQ89" s="79"/>
    </row>
    <row r="90" spans="41:43" s="16" customFormat="1">
      <c r="AO90" s="74"/>
      <c r="AP90" s="69"/>
      <c r="AQ90" s="79"/>
    </row>
    <row r="91" spans="41:43" s="16" customFormat="1">
      <c r="AO91" s="74"/>
      <c r="AP91" s="69"/>
      <c r="AQ91" s="79"/>
    </row>
    <row r="92" spans="41:43" s="16" customFormat="1">
      <c r="AO92" s="74"/>
      <c r="AP92" s="69"/>
      <c r="AQ92" s="79"/>
    </row>
    <row r="93" spans="41:43" s="16" customFormat="1">
      <c r="AO93" s="74"/>
      <c r="AP93" s="69"/>
      <c r="AQ93" s="79"/>
    </row>
    <row r="94" spans="41:43" s="16" customFormat="1">
      <c r="AO94" s="74"/>
      <c r="AP94" s="69"/>
      <c r="AQ94" s="79"/>
    </row>
    <row r="95" spans="41:43" s="16" customFormat="1">
      <c r="AO95" s="74"/>
      <c r="AP95" s="69"/>
      <c r="AQ95" s="79"/>
    </row>
    <row r="96" spans="41:43" s="16" customFormat="1">
      <c r="AO96" s="74"/>
      <c r="AP96" s="69"/>
      <c r="AQ96" s="79"/>
    </row>
    <row r="97" spans="41:43" s="16" customFormat="1">
      <c r="AO97" s="74"/>
      <c r="AP97" s="69"/>
      <c r="AQ97" s="79"/>
    </row>
    <row r="98" spans="41:43" s="16" customFormat="1">
      <c r="AO98" s="74"/>
      <c r="AP98" s="69"/>
      <c r="AQ98" s="79"/>
    </row>
    <row r="99" spans="41:43" s="16" customFormat="1">
      <c r="AO99" s="74"/>
      <c r="AP99" s="69"/>
      <c r="AQ99" s="79"/>
    </row>
    <row r="100" spans="41:43" s="16" customFormat="1">
      <c r="AO100" s="74"/>
      <c r="AP100" s="69"/>
      <c r="AQ100" s="79"/>
    </row>
    <row r="101" spans="41:43" s="16" customFormat="1">
      <c r="AO101" s="74"/>
      <c r="AP101" s="69"/>
      <c r="AQ101" s="79"/>
    </row>
    <row r="102" spans="41:43" s="16" customFormat="1">
      <c r="AO102" s="74"/>
      <c r="AP102" s="69"/>
      <c r="AQ102" s="79"/>
    </row>
    <row r="103" spans="41:43" s="16" customFormat="1">
      <c r="AO103" s="74"/>
      <c r="AP103" s="69"/>
      <c r="AQ103" s="79"/>
    </row>
    <row r="104" spans="41:43" s="16" customFormat="1">
      <c r="AO104" s="74"/>
      <c r="AP104" s="69"/>
      <c r="AQ104" s="79"/>
    </row>
    <row r="105" spans="41:43">
      <c r="AO105" s="68"/>
      <c r="AP105" s="68"/>
      <c r="AQ105" s="78"/>
    </row>
    <row r="106" spans="41:43">
      <c r="AO106" s="68"/>
      <c r="AP106" s="68"/>
      <c r="AQ106" s="78"/>
    </row>
    <row r="107" spans="41:43">
      <c r="AO107" s="68"/>
      <c r="AP107" s="68"/>
      <c r="AQ107" s="78"/>
    </row>
    <row r="108" spans="41:43">
      <c r="AO108" s="68"/>
      <c r="AP108" s="68"/>
      <c r="AQ108" s="78"/>
    </row>
    <row r="109" spans="41:43">
      <c r="AO109" s="68"/>
      <c r="AP109" s="68"/>
      <c r="AQ109" s="78"/>
    </row>
    <row r="110" spans="41:43">
      <c r="AO110" s="68"/>
      <c r="AP110" s="68"/>
      <c r="AQ110" s="78"/>
    </row>
    <row r="111" spans="41:43">
      <c r="AO111" s="68"/>
      <c r="AP111" s="68"/>
      <c r="AQ111" s="78"/>
    </row>
    <row r="112" spans="41:43">
      <c r="AO112" s="68"/>
      <c r="AP112" s="68"/>
      <c r="AQ112" s="78"/>
    </row>
    <row r="113" spans="43:43">
      <c r="AQ113" s="78"/>
    </row>
    <row r="114" spans="43:43">
      <c r="AQ114" s="78"/>
    </row>
    <row r="115" spans="43:43">
      <c r="AQ115" s="78"/>
    </row>
    <row r="116" spans="43:43">
      <c r="AQ116" s="78"/>
    </row>
    <row r="117" spans="43:43">
      <c r="AQ117" s="78"/>
    </row>
    <row r="118" spans="43:43">
      <c r="AQ118" s="78"/>
    </row>
    <row r="119" spans="43:43">
      <c r="AQ119" s="78"/>
    </row>
    <row r="120" spans="43:43">
      <c r="AQ120" s="78"/>
    </row>
    <row r="121" spans="43:43">
      <c r="AQ121" s="78"/>
    </row>
    <row r="122" spans="43:43">
      <c r="AQ122" s="78"/>
    </row>
    <row r="123" spans="43:43">
      <c r="AQ123" s="78"/>
    </row>
    <row r="124" spans="43:43">
      <c r="AQ124" s="78"/>
    </row>
    <row r="125" spans="43:43">
      <c r="AQ125" s="78"/>
    </row>
    <row r="126" spans="43:43">
      <c r="AQ126" s="78"/>
    </row>
    <row r="127" spans="43:43">
      <c r="AQ127" s="78"/>
    </row>
  </sheetData>
  <autoFilter ref="A1:FK127">
    <filterColumn colId="5"/>
  </autoFilter>
  <phoneticPr fontId="1" type="noConversion"/>
  <pageMargins left="0.7" right="0.7" top="0.75" bottom="0.75" header="0.3" footer="0.3"/>
  <pageSetup paperSize="9"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sheetPr codeName="Sheet3"/>
  <dimension ref="A1:W91"/>
  <sheetViews>
    <sheetView topLeftCell="A22" zoomScale="85" zoomScaleNormal="85" workbookViewId="0">
      <selection activeCell="M13" sqref="A2:M13"/>
    </sheetView>
  </sheetViews>
  <sheetFormatPr defaultRowHeight="13.5"/>
  <cols>
    <col min="1" max="1" width="6.5" style="34" bestFit="1" customWidth="1"/>
    <col min="2" max="2" width="11.625" style="34" bestFit="1" customWidth="1"/>
    <col min="3" max="3" width="15" style="34" bestFit="1" customWidth="1"/>
    <col min="4" max="4" width="16.125" style="34" bestFit="1" customWidth="1"/>
    <col min="5" max="9" width="12.75" style="34" bestFit="1" customWidth="1"/>
    <col min="10" max="10" width="12.75" style="65" customWidth="1"/>
    <col min="11" max="11" width="12.75" style="59" customWidth="1"/>
    <col min="12" max="15" width="12.75" style="34" customWidth="1"/>
    <col min="16" max="16" width="13.875" style="34" customWidth="1"/>
    <col min="17" max="17" width="17.25" style="34" bestFit="1" customWidth="1"/>
    <col min="18" max="18" width="9" style="34"/>
    <col min="19" max="19" width="30.5" style="34" bestFit="1" customWidth="1"/>
    <col min="20" max="20" width="1" style="34" customWidth="1"/>
    <col min="21" max="22" width="0.875" style="34" customWidth="1"/>
    <col min="23" max="23" width="30.375" style="34" bestFit="1" customWidth="1"/>
    <col min="24" max="16384" width="9" style="34"/>
  </cols>
  <sheetData>
    <row r="1" spans="1:23" ht="24.95" customHeight="1">
      <c r="A1" s="31" t="s">
        <v>444</v>
      </c>
      <c r="B1" s="53" t="s">
        <v>445</v>
      </c>
      <c r="C1" s="53" t="s">
        <v>446</v>
      </c>
      <c r="D1" s="53" t="s">
        <v>447</v>
      </c>
      <c r="E1" s="53" t="s">
        <v>448</v>
      </c>
      <c r="F1" s="53" t="s">
        <v>449</v>
      </c>
      <c r="G1" s="53" t="s">
        <v>450</v>
      </c>
      <c r="H1" s="53" t="s">
        <v>451</v>
      </c>
      <c r="I1" s="53" t="s">
        <v>452</v>
      </c>
      <c r="J1" s="62" t="s">
        <v>453</v>
      </c>
      <c r="K1" s="58" t="s">
        <v>454</v>
      </c>
      <c r="L1" s="53" t="s">
        <v>37</v>
      </c>
      <c r="M1" s="53" t="s">
        <v>38</v>
      </c>
      <c r="N1" s="53" t="s">
        <v>39</v>
      </c>
      <c r="O1" s="53" t="s">
        <v>40</v>
      </c>
    </row>
    <row r="2" spans="1:23" ht="15" customHeight="1">
      <c r="A2" s="34" t="s">
        <v>455</v>
      </c>
      <c r="B2" s="37" t="s">
        <v>456</v>
      </c>
      <c r="C2" s="37" t="s">
        <v>457</v>
      </c>
      <c r="D2" s="37" t="s">
        <v>458</v>
      </c>
      <c r="E2" s="37" t="s">
        <v>459</v>
      </c>
      <c r="F2" s="37" t="s">
        <v>460</v>
      </c>
      <c r="G2" s="37" t="s">
        <v>405</v>
      </c>
      <c r="H2" s="37" t="s">
        <v>406</v>
      </c>
      <c r="I2" s="37" t="s">
        <v>407</v>
      </c>
      <c r="J2" s="63" t="s">
        <v>408</v>
      </c>
      <c r="K2" s="38" t="s">
        <v>409</v>
      </c>
      <c r="L2" s="37" t="s">
        <v>410</v>
      </c>
      <c r="M2" s="37" t="s">
        <v>411</v>
      </c>
      <c r="N2" s="37" t="s">
        <v>412</v>
      </c>
      <c r="O2" s="37" t="s">
        <v>461</v>
      </c>
      <c r="P2" s="32" t="s">
        <v>462</v>
      </c>
      <c r="S2" s="57" t="s">
        <v>942</v>
      </c>
      <c r="T2" s="57"/>
      <c r="U2" s="57"/>
      <c r="V2" s="57"/>
      <c r="W2" s="57" t="e">
        <v>#NAME?</v>
      </c>
    </row>
    <row r="3" spans="1:23" ht="15" customHeight="1">
      <c r="A3" s="34" t="s">
        <v>455</v>
      </c>
      <c r="B3" s="51" t="s">
        <v>43</v>
      </c>
      <c r="C3" s="44"/>
      <c r="D3" s="44"/>
      <c r="E3" s="44"/>
      <c r="F3" s="44">
        <v>1</v>
      </c>
      <c r="G3" s="44">
        <v>2</v>
      </c>
      <c r="H3" s="44">
        <v>3</v>
      </c>
      <c r="I3" s="44">
        <v>4</v>
      </c>
      <c r="J3" s="64">
        <v>5</v>
      </c>
      <c r="K3" s="52">
        <v>6</v>
      </c>
      <c r="L3" s="44">
        <v>7</v>
      </c>
      <c r="M3" s="44">
        <v>8</v>
      </c>
      <c r="N3" s="44">
        <v>9</v>
      </c>
      <c r="O3" s="44">
        <v>10</v>
      </c>
      <c r="P3" s="48">
        <v>0</v>
      </c>
      <c r="Q3" s="39" t="s">
        <v>463</v>
      </c>
      <c r="S3" s="57" t="s">
        <v>943</v>
      </c>
      <c r="T3" s="57"/>
      <c r="U3" s="57"/>
      <c r="V3" s="57"/>
      <c r="W3" s="57" t="e">
        <v>#NAME?</v>
      </c>
    </row>
    <row r="4" spans="1:23" ht="15" customHeight="1">
      <c r="A4" s="43"/>
      <c r="B4" s="66">
        <v>101</v>
      </c>
      <c r="C4" s="46">
        <v>1</v>
      </c>
      <c r="D4" s="44">
        <v>1</v>
      </c>
      <c r="E4" s="44">
        <v>1</v>
      </c>
      <c r="F4" s="67" t="s">
        <v>852</v>
      </c>
      <c r="G4" s="38"/>
      <c r="H4" s="38"/>
      <c r="I4" s="52" t="s">
        <v>693</v>
      </c>
      <c r="J4" s="64"/>
      <c r="K4" s="52" t="s">
        <v>693</v>
      </c>
      <c r="L4" s="44"/>
      <c r="M4" s="44"/>
      <c r="N4" s="44"/>
      <c r="O4" s="44"/>
      <c r="P4" s="49">
        <v>1</v>
      </c>
      <c r="Q4" s="40" t="s">
        <v>464</v>
      </c>
      <c r="S4" s="57" t="s">
        <v>944</v>
      </c>
      <c r="T4" s="57"/>
      <c r="U4" s="57"/>
      <c r="V4" s="57"/>
      <c r="W4" s="57" t="e">
        <v>#NAME?</v>
      </c>
    </row>
    <row r="5" spans="1:23" ht="15" customHeight="1">
      <c r="A5" s="43"/>
      <c r="B5" s="66">
        <v>102</v>
      </c>
      <c r="C5" s="46">
        <v>1</v>
      </c>
      <c r="D5" s="44">
        <v>1</v>
      </c>
      <c r="E5" s="44">
        <v>1</v>
      </c>
      <c r="F5" s="67" t="s">
        <v>853</v>
      </c>
      <c r="G5" s="38"/>
      <c r="H5" s="52"/>
      <c r="I5" s="52" t="s">
        <v>693</v>
      </c>
      <c r="J5" s="64"/>
      <c r="K5" s="52" t="s">
        <v>693</v>
      </c>
      <c r="L5" s="44"/>
      <c r="M5" s="44"/>
      <c r="N5" s="44"/>
      <c r="O5" s="44"/>
      <c r="P5" s="50">
        <v>2</v>
      </c>
      <c r="Q5" s="41" t="s">
        <v>465</v>
      </c>
      <c r="S5" s="57" t="s">
        <v>945</v>
      </c>
      <c r="T5" s="57"/>
      <c r="U5" s="57"/>
      <c r="V5" s="57"/>
      <c r="W5" s="57" t="e">
        <v>#NAME?</v>
      </c>
    </row>
    <row r="6" spans="1:23" ht="15" customHeight="1">
      <c r="A6" s="43"/>
      <c r="B6" s="66">
        <v>103</v>
      </c>
      <c r="C6" s="46">
        <v>1</v>
      </c>
      <c r="D6" s="44">
        <v>1</v>
      </c>
      <c r="E6" s="44">
        <v>1</v>
      </c>
      <c r="F6" s="67" t="s">
        <v>854</v>
      </c>
      <c r="G6" s="38"/>
      <c r="H6" s="38"/>
      <c r="I6" s="52"/>
      <c r="J6" s="64"/>
      <c r="K6" s="52"/>
      <c r="L6" s="44"/>
      <c r="M6" s="44"/>
      <c r="N6" s="44"/>
      <c r="O6" s="44"/>
      <c r="P6" s="50">
        <v>3</v>
      </c>
      <c r="Q6" s="41" t="s">
        <v>466</v>
      </c>
      <c r="S6" s="57" t="s">
        <v>946</v>
      </c>
      <c r="T6" s="57"/>
      <c r="U6" s="57"/>
      <c r="V6" s="57"/>
      <c r="W6" s="57" t="e">
        <v>#NAME?</v>
      </c>
    </row>
    <row r="7" spans="1:23" ht="15" customHeight="1">
      <c r="A7" s="43"/>
      <c r="B7" s="66">
        <v>104</v>
      </c>
      <c r="C7" s="46">
        <v>1</v>
      </c>
      <c r="D7" s="44">
        <v>1</v>
      </c>
      <c r="E7" s="44">
        <v>1</v>
      </c>
      <c r="F7" s="67" t="s">
        <v>855</v>
      </c>
      <c r="G7" s="38"/>
      <c r="H7" s="38"/>
      <c r="I7" s="52"/>
      <c r="J7" s="64"/>
      <c r="K7" s="52"/>
      <c r="L7" s="44"/>
      <c r="M7" s="44"/>
      <c r="N7" s="44"/>
      <c r="O7" s="44"/>
      <c r="P7" s="50">
        <v>4</v>
      </c>
      <c r="Q7" s="41" t="s">
        <v>467</v>
      </c>
      <c r="S7" s="57" t="s">
        <v>947</v>
      </c>
      <c r="T7" s="57"/>
      <c r="U7" s="57"/>
      <c r="V7" s="57"/>
      <c r="W7" s="57" t="e">
        <v>#NAME?</v>
      </c>
    </row>
    <row r="8" spans="1:23">
      <c r="A8" s="43"/>
      <c r="B8" s="66">
        <v>105</v>
      </c>
      <c r="C8" s="46">
        <v>1</v>
      </c>
      <c r="D8" s="44">
        <v>1</v>
      </c>
      <c r="E8" s="44">
        <v>1</v>
      </c>
      <c r="F8" s="67" t="s">
        <v>856</v>
      </c>
      <c r="G8" s="38"/>
      <c r="H8" s="38"/>
      <c r="I8" s="52"/>
      <c r="J8" s="64"/>
      <c r="K8" s="52"/>
      <c r="L8" s="44"/>
      <c r="M8" s="44"/>
      <c r="N8" s="44"/>
      <c r="O8" s="44"/>
      <c r="P8" s="50">
        <v>5</v>
      </c>
      <c r="Q8" s="41" t="s">
        <v>468</v>
      </c>
      <c r="S8" s="57" t="s">
        <v>948</v>
      </c>
      <c r="T8" s="57"/>
      <c r="U8" s="57"/>
      <c r="V8" s="57"/>
      <c r="W8" s="57" t="e">
        <v>#NAME?</v>
      </c>
    </row>
    <row r="9" spans="1:23">
      <c r="A9" s="43"/>
      <c r="B9" s="66">
        <v>201</v>
      </c>
      <c r="C9" s="46">
        <v>1</v>
      </c>
      <c r="D9" s="44">
        <v>1</v>
      </c>
      <c r="E9" s="44">
        <v>1</v>
      </c>
      <c r="F9" s="67" t="s">
        <v>859</v>
      </c>
      <c r="G9" s="38"/>
      <c r="H9" s="38"/>
      <c r="I9" s="52"/>
      <c r="J9" s="64"/>
      <c r="K9" s="52"/>
      <c r="L9" s="44"/>
      <c r="M9" s="44"/>
      <c r="N9" s="44"/>
      <c r="O9" s="44"/>
      <c r="P9" s="50">
        <v>6</v>
      </c>
      <c r="Q9" s="41" t="s">
        <v>469</v>
      </c>
      <c r="S9" s="57" t="s">
        <v>949</v>
      </c>
      <c r="T9" s="57"/>
      <c r="U9" s="57"/>
      <c r="V9" s="57"/>
      <c r="W9" s="57" t="e">
        <v>#NAME?</v>
      </c>
    </row>
    <row r="10" spans="1:23">
      <c r="A10" s="43"/>
      <c r="B10" s="66">
        <v>202</v>
      </c>
      <c r="C10" s="46">
        <v>1</v>
      </c>
      <c r="D10" s="44">
        <v>1</v>
      </c>
      <c r="E10" s="44">
        <v>1</v>
      </c>
      <c r="F10" s="67" t="s">
        <v>860</v>
      </c>
      <c r="G10" s="38"/>
      <c r="H10" s="38"/>
      <c r="I10" s="52"/>
      <c r="J10" s="64"/>
      <c r="K10" s="52"/>
      <c r="L10" s="44"/>
      <c r="M10" s="44"/>
      <c r="N10" s="44"/>
      <c r="O10" s="44"/>
      <c r="S10" s="57" t="s">
        <v>950</v>
      </c>
      <c r="T10" s="57"/>
      <c r="U10" s="57"/>
      <c r="V10" s="57"/>
      <c r="W10" s="57" t="e">
        <v>#NAME?</v>
      </c>
    </row>
    <row r="11" spans="1:23" s="37" customFormat="1">
      <c r="A11" s="47"/>
      <c r="B11" s="66">
        <v>203</v>
      </c>
      <c r="C11" s="46">
        <v>1</v>
      </c>
      <c r="D11" s="44">
        <v>1</v>
      </c>
      <c r="E11" s="44">
        <v>1</v>
      </c>
      <c r="F11" s="67" t="s">
        <v>861</v>
      </c>
      <c r="G11" s="38"/>
      <c r="H11" s="38"/>
      <c r="I11" s="52"/>
      <c r="J11" s="63"/>
      <c r="K11" s="63"/>
      <c r="L11" s="44"/>
      <c r="M11" s="44"/>
      <c r="N11" s="44"/>
      <c r="O11" s="44"/>
      <c r="P11" s="42"/>
      <c r="Q11" s="42"/>
    </row>
    <row r="12" spans="1:23" s="37" customFormat="1">
      <c r="A12" s="47"/>
      <c r="B12" s="66">
        <v>204</v>
      </c>
      <c r="C12" s="46">
        <v>1</v>
      </c>
      <c r="D12" s="44">
        <v>1</v>
      </c>
      <c r="E12" s="44">
        <v>1</v>
      </c>
      <c r="F12" s="67" t="s">
        <v>862</v>
      </c>
      <c r="G12" s="38"/>
      <c r="H12" s="52"/>
      <c r="I12" s="52"/>
      <c r="J12" s="63"/>
      <c r="K12" s="63"/>
      <c r="L12" s="44"/>
      <c r="M12" s="44"/>
      <c r="N12" s="44"/>
      <c r="O12" s="44"/>
      <c r="P12" s="42"/>
      <c r="Q12" s="42"/>
    </row>
    <row r="13" spans="1:23" s="37" customFormat="1">
      <c r="A13" s="47"/>
      <c r="B13" s="66">
        <v>205</v>
      </c>
      <c r="C13" s="46">
        <v>1</v>
      </c>
      <c r="D13" s="44">
        <v>1</v>
      </c>
      <c r="E13" s="44">
        <v>1</v>
      </c>
      <c r="F13" s="67" t="s">
        <v>863</v>
      </c>
      <c r="G13" s="38"/>
      <c r="H13" s="38"/>
      <c r="I13" s="52"/>
      <c r="J13" s="63"/>
      <c r="K13" s="63"/>
      <c r="L13" s="44"/>
      <c r="M13" s="44"/>
      <c r="N13" s="44"/>
      <c r="O13" s="44"/>
      <c r="P13" s="42"/>
      <c r="Q13" s="42"/>
    </row>
    <row r="14" spans="1:23" s="37" customFormat="1">
      <c r="A14" s="47"/>
      <c r="B14" s="66">
        <v>301</v>
      </c>
      <c r="C14" s="46">
        <v>1</v>
      </c>
      <c r="D14" s="44">
        <v>1</v>
      </c>
      <c r="E14" s="44">
        <v>1</v>
      </c>
      <c r="F14" s="67" t="s">
        <v>866</v>
      </c>
      <c r="G14" s="38"/>
      <c r="H14" s="38"/>
      <c r="I14" s="52"/>
      <c r="J14" s="63"/>
      <c r="K14" s="63"/>
      <c r="L14" s="44"/>
      <c r="M14" s="44"/>
      <c r="N14" s="44"/>
      <c r="O14" s="44"/>
      <c r="P14" s="42"/>
      <c r="Q14" s="42"/>
    </row>
    <row r="15" spans="1:23" s="37" customFormat="1">
      <c r="A15" s="47"/>
      <c r="B15" s="66">
        <v>302</v>
      </c>
      <c r="C15" s="46">
        <v>1</v>
      </c>
      <c r="D15" s="44">
        <v>1</v>
      </c>
      <c r="E15" s="44">
        <v>1</v>
      </c>
      <c r="F15" s="67" t="s">
        <v>867</v>
      </c>
      <c r="G15" s="38"/>
      <c r="H15" s="38"/>
      <c r="I15" s="52"/>
      <c r="J15" s="63"/>
      <c r="K15" s="63"/>
      <c r="L15" s="44"/>
      <c r="M15" s="44"/>
      <c r="N15" s="44"/>
      <c r="O15" s="44"/>
      <c r="P15" s="42"/>
      <c r="Q15" s="42"/>
    </row>
    <row r="16" spans="1:23" s="37" customFormat="1">
      <c r="A16" s="47"/>
      <c r="B16" s="66">
        <v>303</v>
      </c>
      <c r="C16" s="46">
        <v>1</v>
      </c>
      <c r="D16" s="44">
        <v>1</v>
      </c>
      <c r="E16" s="44">
        <v>1</v>
      </c>
      <c r="F16" s="67" t="s">
        <v>868</v>
      </c>
      <c r="G16" s="38"/>
      <c r="H16" s="38"/>
      <c r="I16" s="52"/>
      <c r="J16" s="63"/>
      <c r="K16" s="63"/>
      <c r="L16" s="44"/>
      <c r="M16" s="44"/>
      <c r="N16" s="44"/>
      <c r="O16" s="44"/>
      <c r="P16" s="42"/>
      <c r="Q16" s="42"/>
    </row>
    <row r="17" spans="1:17" s="37" customFormat="1">
      <c r="A17" s="47"/>
      <c r="B17" s="66">
        <v>304</v>
      </c>
      <c r="C17" s="46">
        <v>1</v>
      </c>
      <c r="D17" s="44">
        <v>1</v>
      </c>
      <c r="E17" s="44">
        <v>1</v>
      </c>
      <c r="F17" s="67" t="s">
        <v>869</v>
      </c>
      <c r="G17" s="38"/>
      <c r="H17" s="38"/>
      <c r="I17" s="52"/>
      <c r="J17" s="63"/>
      <c r="K17" s="63"/>
      <c r="L17" s="44"/>
      <c r="M17" s="44"/>
      <c r="N17" s="44"/>
      <c r="O17" s="44"/>
      <c r="P17" s="42"/>
      <c r="Q17" s="42"/>
    </row>
    <row r="18" spans="1:17" s="37" customFormat="1">
      <c r="A18" s="47"/>
      <c r="B18" s="66">
        <v>305</v>
      </c>
      <c r="C18" s="46">
        <v>1</v>
      </c>
      <c r="D18" s="44">
        <v>1</v>
      </c>
      <c r="E18" s="44">
        <v>1</v>
      </c>
      <c r="F18" s="67" t="s">
        <v>870</v>
      </c>
      <c r="G18" s="38"/>
      <c r="H18" s="38"/>
      <c r="I18" s="52"/>
      <c r="J18" s="63"/>
      <c r="K18" s="63"/>
      <c r="L18" s="44"/>
      <c r="M18" s="44"/>
      <c r="N18" s="44"/>
      <c r="O18" s="44"/>
      <c r="P18" s="42"/>
      <c r="Q18" s="42"/>
    </row>
    <row r="19" spans="1:17" s="37" customFormat="1">
      <c r="A19" s="47"/>
      <c r="B19" s="66">
        <v>401</v>
      </c>
      <c r="C19" s="46">
        <v>1</v>
      </c>
      <c r="D19" s="44">
        <v>1</v>
      </c>
      <c r="E19" s="44">
        <v>1</v>
      </c>
      <c r="F19" s="67" t="s">
        <v>873</v>
      </c>
      <c r="G19" s="38"/>
      <c r="H19" s="52"/>
      <c r="I19" s="52"/>
      <c r="J19" s="63"/>
      <c r="K19" s="63"/>
      <c r="L19" s="44"/>
      <c r="M19" s="44"/>
      <c r="N19" s="44"/>
      <c r="O19" s="44"/>
      <c r="P19" s="42"/>
      <c r="Q19" s="42"/>
    </row>
    <row r="20" spans="1:17" s="37" customFormat="1">
      <c r="A20" s="47"/>
      <c r="B20" s="66">
        <v>402</v>
      </c>
      <c r="C20" s="46">
        <v>1</v>
      </c>
      <c r="D20" s="44">
        <v>1</v>
      </c>
      <c r="E20" s="44">
        <v>1</v>
      </c>
      <c r="F20" s="67" t="s">
        <v>874</v>
      </c>
      <c r="G20" s="38"/>
      <c r="H20" s="38"/>
      <c r="I20" s="52"/>
      <c r="J20" s="63"/>
      <c r="K20" s="63"/>
      <c r="L20" s="44"/>
      <c r="M20" s="44"/>
      <c r="N20" s="44"/>
      <c r="O20" s="44"/>
      <c r="P20" s="42"/>
      <c r="Q20" s="42"/>
    </row>
    <row r="21" spans="1:17" s="37" customFormat="1">
      <c r="A21" s="47"/>
      <c r="B21" s="66">
        <v>403</v>
      </c>
      <c r="C21" s="46">
        <v>1</v>
      </c>
      <c r="D21" s="44">
        <v>1</v>
      </c>
      <c r="E21" s="44">
        <v>1</v>
      </c>
      <c r="F21" s="67" t="s">
        <v>875</v>
      </c>
      <c r="G21" s="38"/>
      <c r="H21" s="38"/>
      <c r="I21" s="52"/>
      <c r="J21" s="63"/>
      <c r="K21" s="63"/>
      <c r="L21" s="44"/>
      <c r="M21" s="44"/>
      <c r="N21" s="44"/>
      <c r="O21" s="44"/>
      <c r="P21" s="42"/>
      <c r="Q21" s="42"/>
    </row>
    <row r="22" spans="1:17" s="37" customFormat="1">
      <c r="A22" s="47"/>
      <c r="B22" s="66">
        <v>404</v>
      </c>
      <c r="C22" s="46">
        <v>1</v>
      </c>
      <c r="D22" s="44">
        <v>1</v>
      </c>
      <c r="E22" s="44">
        <v>1</v>
      </c>
      <c r="F22" s="67" t="s">
        <v>876</v>
      </c>
      <c r="G22" s="38"/>
      <c r="H22" s="38"/>
      <c r="I22" s="52"/>
      <c r="J22" s="63"/>
      <c r="K22" s="63"/>
      <c r="L22" s="44"/>
      <c r="M22" s="44"/>
      <c r="N22" s="44"/>
      <c r="O22" s="44"/>
      <c r="P22" s="42"/>
      <c r="Q22" s="42"/>
    </row>
    <row r="23" spans="1:17" s="37" customFormat="1">
      <c r="A23" s="47"/>
      <c r="B23" s="66">
        <v>405</v>
      </c>
      <c r="C23" s="46">
        <v>1</v>
      </c>
      <c r="D23" s="44">
        <v>1</v>
      </c>
      <c r="E23" s="44">
        <v>1</v>
      </c>
      <c r="F23" s="67" t="s">
        <v>877</v>
      </c>
      <c r="G23" s="38"/>
      <c r="H23" s="38"/>
      <c r="I23" s="52"/>
      <c r="J23" s="63"/>
      <c r="K23" s="63"/>
      <c r="L23" s="44"/>
      <c r="M23" s="44"/>
      <c r="N23" s="44"/>
      <c r="O23" s="44"/>
      <c r="P23" s="42"/>
      <c r="Q23" s="42"/>
    </row>
    <row r="24" spans="1:17" s="37" customFormat="1">
      <c r="A24" s="47"/>
      <c r="B24" s="66">
        <v>501</v>
      </c>
      <c r="C24" s="46">
        <v>1</v>
      </c>
      <c r="D24" s="44">
        <v>1</v>
      </c>
      <c r="E24" s="44">
        <v>1</v>
      </c>
      <c r="F24" s="67" t="s">
        <v>880</v>
      </c>
      <c r="G24" s="38"/>
      <c r="H24" s="38"/>
      <c r="I24" s="52"/>
      <c r="J24" s="63"/>
      <c r="K24" s="63"/>
      <c r="L24" s="44"/>
      <c r="M24" s="44"/>
      <c r="N24" s="44"/>
      <c r="O24" s="44"/>
      <c r="P24" s="42"/>
      <c r="Q24" s="42"/>
    </row>
    <row r="25" spans="1:17" s="37" customFormat="1">
      <c r="A25" s="47"/>
      <c r="B25" s="66">
        <v>502</v>
      </c>
      <c r="C25" s="46">
        <v>1</v>
      </c>
      <c r="D25" s="44">
        <v>1</v>
      </c>
      <c r="E25" s="44">
        <v>1</v>
      </c>
      <c r="F25" s="67" t="s">
        <v>881</v>
      </c>
      <c r="G25" s="38"/>
      <c r="H25" s="38"/>
      <c r="I25" s="52"/>
      <c r="J25" s="63"/>
      <c r="K25" s="63"/>
      <c r="L25" s="44"/>
      <c r="M25" s="44"/>
      <c r="N25" s="44"/>
      <c r="O25" s="44"/>
      <c r="P25" s="42"/>
      <c r="Q25" s="42"/>
    </row>
    <row r="26" spans="1:17" s="37" customFormat="1">
      <c r="A26" s="47"/>
      <c r="B26" s="66">
        <v>503</v>
      </c>
      <c r="C26" s="46">
        <v>1</v>
      </c>
      <c r="D26" s="44">
        <v>1</v>
      </c>
      <c r="E26" s="44">
        <v>1</v>
      </c>
      <c r="F26" s="67" t="s">
        <v>882</v>
      </c>
      <c r="G26" s="38"/>
      <c r="H26" s="52"/>
      <c r="I26" s="52"/>
      <c r="J26" s="63"/>
      <c r="K26" s="63"/>
      <c r="L26" s="44"/>
      <c r="M26" s="44"/>
      <c r="N26" s="44"/>
      <c r="O26" s="44"/>
      <c r="P26" s="42"/>
      <c r="Q26" s="42"/>
    </row>
    <row r="27" spans="1:17" s="37" customFormat="1">
      <c r="A27" s="47"/>
      <c r="B27" s="66">
        <v>504</v>
      </c>
      <c r="C27" s="46">
        <v>1</v>
      </c>
      <c r="D27" s="44">
        <v>1</v>
      </c>
      <c r="E27" s="44">
        <v>1</v>
      </c>
      <c r="F27" s="67" t="s">
        <v>883</v>
      </c>
      <c r="G27" s="38"/>
      <c r="H27" s="38"/>
      <c r="I27" s="52"/>
      <c r="J27" s="63"/>
      <c r="K27" s="63"/>
      <c r="L27" s="44"/>
      <c r="M27" s="44"/>
      <c r="N27" s="44"/>
      <c r="O27" s="44"/>
      <c r="P27" s="42"/>
      <c r="Q27" s="42"/>
    </row>
    <row r="28" spans="1:17" s="37" customFormat="1">
      <c r="A28" s="47"/>
      <c r="B28" s="66">
        <v>505</v>
      </c>
      <c r="C28" s="46">
        <v>1</v>
      </c>
      <c r="D28" s="44">
        <v>1</v>
      </c>
      <c r="E28" s="44">
        <v>1</v>
      </c>
      <c r="F28" s="67" t="s">
        <v>884</v>
      </c>
      <c r="G28" s="38"/>
      <c r="H28" s="38"/>
      <c r="I28" s="52"/>
      <c r="J28" s="63"/>
      <c r="K28" s="63"/>
      <c r="L28" s="44"/>
      <c r="M28" s="44"/>
      <c r="N28" s="44"/>
      <c r="O28" s="44"/>
      <c r="P28" s="42"/>
      <c r="Q28" s="42"/>
    </row>
    <row r="29" spans="1:17" s="37" customFormat="1">
      <c r="A29" s="47"/>
      <c r="B29" s="66">
        <v>601</v>
      </c>
      <c r="C29" s="46">
        <v>1</v>
      </c>
      <c r="D29" s="44">
        <v>1</v>
      </c>
      <c r="E29" s="44">
        <v>1</v>
      </c>
      <c r="F29" s="67" t="s">
        <v>887</v>
      </c>
      <c r="G29" s="38"/>
      <c r="H29" s="38"/>
      <c r="I29" s="52"/>
      <c r="J29" s="63"/>
      <c r="K29" s="63"/>
      <c r="L29" s="44"/>
      <c r="M29" s="44"/>
      <c r="N29" s="44"/>
      <c r="O29" s="44"/>
      <c r="P29" s="42"/>
      <c r="Q29" s="42"/>
    </row>
    <row r="30" spans="1:17" s="37" customFormat="1">
      <c r="A30" s="47"/>
      <c r="B30" s="66">
        <v>602</v>
      </c>
      <c r="C30" s="46">
        <v>1</v>
      </c>
      <c r="D30" s="44">
        <v>1</v>
      </c>
      <c r="E30" s="44">
        <v>1</v>
      </c>
      <c r="F30" s="67" t="s">
        <v>888</v>
      </c>
      <c r="G30" s="38"/>
      <c r="H30" s="38"/>
      <c r="I30" s="52"/>
      <c r="J30" s="63"/>
      <c r="K30" s="63"/>
      <c r="L30" s="44"/>
      <c r="M30" s="44"/>
      <c r="N30" s="44"/>
      <c r="O30" s="44"/>
      <c r="P30" s="42"/>
      <c r="Q30" s="42"/>
    </row>
    <row r="31" spans="1:17" s="37" customFormat="1">
      <c r="A31" s="47"/>
      <c r="B31" s="66">
        <v>603</v>
      </c>
      <c r="C31" s="46">
        <v>1</v>
      </c>
      <c r="D31" s="44">
        <v>1</v>
      </c>
      <c r="E31" s="44">
        <v>1</v>
      </c>
      <c r="F31" s="67" t="s">
        <v>889</v>
      </c>
      <c r="G31" s="38"/>
      <c r="H31" s="38"/>
      <c r="I31" s="52"/>
      <c r="J31" s="63"/>
      <c r="K31" s="63"/>
      <c r="L31" s="44"/>
      <c r="M31" s="44"/>
      <c r="N31" s="44"/>
      <c r="O31" s="44"/>
      <c r="P31" s="42"/>
      <c r="Q31" s="42"/>
    </row>
    <row r="32" spans="1:17" s="37" customFormat="1">
      <c r="A32" s="47"/>
      <c r="B32" s="66">
        <v>604</v>
      </c>
      <c r="C32" s="46">
        <v>1</v>
      </c>
      <c r="D32" s="44">
        <v>1</v>
      </c>
      <c r="E32" s="44">
        <v>1</v>
      </c>
      <c r="F32" s="67" t="s">
        <v>890</v>
      </c>
      <c r="G32" s="38"/>
      <c r="H32" s="38"/>
      <c r="I32" s="52"/>
      <c r="J32" s="63"/>
      <c r="K32" s="63"/>
      <c r="L32" s="44"/>
      <c r="M32" s="44"/>
      <c r="N32" s="44"/>
      <c r="O32" s="44"/>
      <c r="P32" s="42"/>
      <c r="Q32" s="42"/>
    </row>
    <row r="33" spans="1:17" s="37" customFormat="1">
      <c r="A33" s="47"/>
      <c r="B33" s="66">
        <v>605</v>
      </c>
      <c r="C33" s="46">
        <v>1</v>
      </c>
      <c r="D33" s="44">
        <v>1</v>
      </c>
      <c r="E33" s="44">
        <v>1</v>
      </c>
      <c r="F33" s="67" t="s">
        <v>891</v>
      </c>
      <c r="G33" s="38"/>
      <c r="H33" s="52"/>
      <c r="I33" s="52"/>
      <c r="J33" s="63"/>
      <c r="K33" s="63"/>
      <c r="L33" s="44"/>
      <c r="M33" s="44"/>
      <c r="N33" s="44"/>
      <c r="O33" s="44"/>
      <c r="P33" s="42"/>
      <c r="Q33" s="42"/>
    </row>
    <row r="34" spans="1:17" s="37" customFormat="1">
      <c r="A34" s="60"/>
      <c r="B34" s="66">
        <v>701</v>
      </c>
      <c r="C34" s="46">
        <v>1</v>
      </c>
      <c r="D34" s="44">
        <v>1</v>
      </c>
      <c r="E34" s="44">
        <v>1</v>
      </c>
      <c r="F34" s="67" t="s">
        <v>994</v>
      </c>
      <c r="G34" s="38"/>
      <c r="H34" s="38"/>
      <c r="I34" s="52"/>
      <c r="J34" s="63"/>
      <c r="K34" s="63"/>
      <c r="L34" s="44"/>
      <c r="M34" s="44"/>
      <c r="N34" s="44"/>
      <c r="O34" s="44"/>
      <c r="P34" s="42"/>
      <c r="Q34" s="42"/>
    </row>
    <row r="35" spans="1:17" s="37" customFormat="1">
      <c r="A35" s="45"/>
      <c r="B35" s="66">
        <v>702</v>
      </c>
      <c r="C35" s="46">
        <v>1</v>
      </c>
      <c r="D35" s="44">
        <v>1</v>
      </c>
      <c r="E35" s="44">
        <v>1</v>
      </c>
      <c r="F35" s="67" t="s">
        <v>995</v>
      </c>
      <c r="G35" s="38"/>
      <c r="H35" s="38"/>
      <c r="I35" s="52"/>
      <c r="J35" s="63"/>
      <c r="K35" s="63"/>
      <c r="L35" s="44"/>
      <c r="M35" s="44"/>
      <c r="N35" s="44"/>
      <c r="O35" s="44"/>
      <c r="P35" s="42"/>
      <c r="Q35" s="42"/>
    </row>
    <row r="36" spans="1:17" s="37" customFormat="1">
      <c r="A36" s="45"/>
      <c r="B36" s="66">
        <v>703</v>
      </c>
      <c r="C36" s="46">
        <v>1</v>
      </c>
      <c r="D36" s="44">
        <v>1</v>
      </c>
      <c r="E36" s="44">
        <v>1</v>
      </c>
      <c r="F36" s="67" t="s">
        <v>996</v>
      </c>
      <c r="G36" s="38"/>
      <c r="H36" s="38"/>
      <c r="I36" s="52"/>
      <c r="J36" s="63"/>
      <c r="K36" s="63"/>
      <c r="L36" s="44"/>
      <c r="M36" s="44"/>
      <c r="N36" s="44"/>
      <c r="O36" s="44"/>
      <c r="P36" s="42"/>
      <c r="Q36" s="42"/>
    </row>
    <row r="37" spans="1:17" s="37" customFormat="1">
      <c r="A37" s="45"/>
      <c r="B37" s="66">
        <v>704</v>
      </c>
      <c r="C37" s="46">
        <v>1</v>
      </c>
      <c r="D37" s="44">
        <v>1</v>
      </c>
      <c r="E37" s="44">
        <v>1</v>
      </c>
      <c r="F37" s="67" t="s">
        <v>997</v>
      </c>
      <c r="G37" s="38"/>
      <c r="H37" s="38"/>
      <c r="I37" s="52"/>
      <c r="J37" s="63"/>
      <c r="K37" s="63"/>
      <c r="L37" s="44"/>
      <c r="M37" s="44"/>
      <c r="N37" s="44"/>
      <c r="O37" s="44"/>
      <c r="P37" s="42"/>
      <c r="Q37" s="42"/>
    </row>
    <row r="38" spans="1:17" s="37" customFormat="1">
      <c r="A38" s="45"/>
      <c r="B38" s="66">
        <v>705</v>
      </c>
      <c r="C38" s="46">
        <v>1</v>
      </c>
      <c r="D38" s="44">
        <v>1</v>
      </c>
      <c r="E38" s="44">
        <v>1</v>
      </c>
      <c r="F38" s="67" t="s">
        <v>998</v>
      </c>
      <c r="G38" s="38"/>
      <c r="H38" s="38"/>
      <c r="I38" s="52"/>
      <c r="J38" s="63"/>
      <c r="K38" s="63"/>
      <c r="L38" s="44"/>
      <c r="M38" s="44"/>
      <c r="N38" s="44"/>
      <c r="O38" s="44"/>
      <c r="P38" s="42"/>
      <c r="Q38" s="42"/>
    </row>
    <row r="39" spans="1:17" s="37" customFormat="1">
      <c r="A39" s="45"/>
      <c r="B39" s="66">
        <v>801</v>
      </c>
      <c r="C39" s="46">
        <v>1</v>
      </c>
      <c r="D39" s="44">
        <v>1</v>
      </c>
      <c r="E39" s="44">
        <v>1</v>
      </c>
      <c r="F39" s="67" t="s">
        <v>999</v>
      </c>
      <c r="G39" s="38"/>
      <c r="H39" s="38"/>
      <c r="I39" s="52"/>
      <c r="J39" s="63"/>
      <c r="K39" s="63"/>
      <c r="L39" s="44"/>
      <c r="M39" s="44"/>
      <c r="N39" s="44"/>
      <c r="O39" s="44"/>
      <c r="P39" s="42"/>
      <c r="Q39" s="42"/>
    </row>
    <row r="40" spans="1:17" s="37" customFormat="1">
      <c r="A40" s="45"/>
      <c r="B40" s="66">
        <v>802</v>
      </c>
      <c r="C40" s="46">
        <v>1</v>
      </c>
      <c r="D40" s="44">
        <v>1</v>
      </c>
      <c r="E40" s="44">
        <v>1</v>
      </c>
      <c r="F40" s="67" t="s">
        <v>1000</v>
      </c>
      <c r="G40" s="38"/>
      <c r="H40" s="52"/>
      <c r="I40" s="52"/>
      <c r="J40" s="63"/>
      <c r="K40" s="63"/>
      <c r="L40" s="44"/>
      <c r="M40" s="44"/>
      <c r="N40" s="44"/>
      <c r="O40" s="44"/>
      <c r="P40" s="42"/>
      <c r="Q40" s="42"/>
    </row>
    <row r="41" spans="1:17" s="37" customFormat="1">
      <c r="A41" s="45"/>
      <c r="B41" s="66">
        <v>803</v>
      </c>
      <c r="C41" s="46">
        <v>1</v>
      </c>
      <c r="D41" s="44">
        <v>1</v>
      </c>
      <c r="E41" s="44">
        <v>1</v>
      </c>
      <c r="F41" s="67" t="s">
        <v>1001</v>
      </c>
      <c r="G41" s="38"/>
      <c r="H41" s="38"/>
      <c r="I41" s="52"/>
      <c r="J41" s="63"/>
      <c r="K41" s="63"/>
      <c r="L41" s="44"/>
      <c r="M41" s="44"/>
      <c r="N41" s="44"/>
      <c r="O41" s="44"/>
      <c r="P41" s="42"/>
      <c r="Q41" s="42"/>
    </row>
    <row r="42" spans="1:17" s="37" customFormat="1">
      <c r="A42" s="45"/>
      <c r="B42" s="66">
        <v>804</v>
      </c>
      <c r="C42" s="46">
        <v>1</v>
      </c>
      <c r="D42" s="44">
        <v>1</v>
      </c>
      <c r="E42" s="44">
        <v>1</v>
      </c>
      <c r="F42" s="67" t="s">
        <v>1002</v>
      </c>
      <c r="G42" s="38"/>
      <c r="H42" s="38"/>
      <c r="I42" s="52"/>
      <c r="J42" s="63"/>
      <c r="K42" s="63"/>
      <c r="L42" s="44"/>
      <c r="M42" s="44"/>
      <c r="N42" s="44"/>
      <c r="O42" s="44"/>
      <c r="P42" s="42"/>
      <c r="Q42" s="42"/>
    </row>
    <row r="43" spans="1:17" s="37" customFormat="1">
      <c r="A43" s="45"/>
      <c r="B43" s="66">
        <v>805</v>
      </c>
      <c r="C43" s="46">
        <v>1</v>
      </c>
      <c r="D43" s="44">
        <v>1</v>
      </c>
      <c r="E43" s="44">
        <v>1</v>
      </c>
      <c r="F43" s="67" t="s">
        <v>1003</v>
      </c>
      <c r="G43" s="38"/>
      <c r="H43" s="38"/>
      <c r="I43" s="52"/>
      <c r="J43" s="63"/>
      <c r="K43" s="63"/>
      <c r="L43" s="44"/>
      <c r="M43" s="44"/>
      <c r="N43" s="44"/>
      <c r="O43" s="44"/>
      <c r="P43" s="42"/>
      <c r="Q43" s="42"/>
    </row>
    <row r="44" spans="1:17" s="37" customFormat="1">
      <c r="A44" s="45"/>
      <c r="B44" s="66">
        <v>901</v>
      </c>
      <c r="C44" s="46">
        <v>1</v>
      </c>
      <c r="D44" s="44">
        <v>1</v>
      </c>
      <c r="E44" s="44">
        <v>1</v>
      </c>
      <c r="F44" s="67" t="s">
        <v>1004</v>
      </c>
      <c r="G44" s="38"/>
      <c r="H44" s="38"/>
      <c r="I44" s="52"/>
      <c r="J44" s="63"/>
      <c r="K44" s="63"/>
      <c r="L44" s="44"/>
      <c r="M44" s="44"/>
      <c r="N44" s="44"/>
      <c r="O44" s="44"/>
      <c r="P44" s="42"/>
      <c r="Q44" s="42"/>
    </row>
    <row r="45" spans="1:17" s="37" customFormat="1">
      <c r="A45" s="45"/>
      <c r="B45" s="66">
        <v>902</v>
      </c>
      <c r="C45" s="46">
        <v>1</v>
      </c>
      <c r="D45" s="44">
        <v>1</v>
      </c>
      <c r="E45" s="44">
        <v>1</v>
      </c>
      <c r="F45" s="67" t="s">
        <v>1005</v>
      </c>
      <c r="G45" s="38"/>
      <c r="H45" s="38"/>
      <c r="I45" s="52"/>
      <c r="J45" s="63"/>
      <c r="K45" s="63"/>
      <c r="L45" s="44"/>
      <c r="M45" s="44"/>
      <c r="N45" s="44"/>
      <c r="O45" s="44"/>
      <c r="P45" s="42"/>
      <c r="Q45" s="42"/>
    </row>
    <row r="46" spans="1:17" s="37" customFormat="1">
      <c r="A46" s="45"/>
      <c r="B46" s="66">
        <v>903</v>
      </c>
      <c r="C46" s="46">
        <v>1</v>
      </c>
      <c r="D46" s="44">
        <v>1</v>
      </c>
      <c r="E46" s="44">
        <v>1</v>
      </c>
      <c r="F46" s="67" t="s">
        <v>1006</v>
      </c>
      <c r="G46" s="38"/>
      <c r="H46" s="38"/>
      <c r="I46" s="52"/>
      <c r="J46" s="63"/>
      <c r="K46" s="63"/>
      <c r="L46" s="44"/>
      <c r="M46" s="44"/>
      <c r="N46" s="44"/>
      <c r="O46" s="44"/>
      <c r="P46" s="42"/>
      <c r="Q46" s="42"/>
    </row>
    <row r="47" spans="1:17" s="37" customFormat="1">
      <c r="A47" s="45"/>
      <c r="B47" s="66">
        <v>904</v>
      </c>
      <c r="C47" s="46">
        <v>1</v>
      </c>
      <c r="D47" s="44">
        <v>1</v>
      </c>
      <c r="E47" s="44">
        <v>1</v>
      </c>
      <c r="F47" s="67" t="s">
        <v>1007</v>
      </c>
      <c r="G47" s="38"/>
      <c r="H47" s="38"/>
      <c r="I47" s="52"/>
      <c r="J47" s="63"/>
      <c r="K47" s="63"/>
      <c r="L47" s="44"/>
      <c r="M47" s="44"/>
      <c r="N47" s="44"/>
      <c r="O47" s="44"/>
      <c r="P47" s="42"/>
      <c r="Q47" s="42"/>
    </row>
    <row r="48" spans="1:17" s="37" customFormat="1">
      <c r="A48" s="45"/>
      <c r="B48" s="66">
        <v>905</v>
      </c>
      <c r="C48" s="46">
        <v>1</v>
      </c>
      <c r="D48" s="44">
        <v>1</v>
      </c>
      <c r="E48" s="44">
        <v>1</v>
      </c>
      <c r="F48" s="67" t="s">
        <v>1008</v>
      </c>
      <c r="G48" s="38"/>
      <c r="H48" s="38"/>
      <c r="I48" s="52"/>
      <c r="J48" s="63"/>
      <c r="K48" s="63"/>
      <c r="L48" s="44"/>
      <c r="M48" s="44"/>
      <c r="N48" s="44"/>
      <c r="O48" s="44"/>
      <c r="P48" s="42"/>
      <c r="Q48" s="42"/>
    </row>
    <row r="49" spans="1:11">
      <c r="A49" s="37" t="s">
        <v>455</v>
      </c>
      <c r="B49" s="37" t="s">
        <v>470</v>
      </c>
      <c r="C49" s="37"/>
      <c r="D49" s="37"/>
      <c r="E49" s="37"/>
      <c r="F49" s="38" t="s">
        <v>693</v>
      </c>
      <c r="G49" s="38"/>
      <c r="H49" s="38"/>
      <c r="I49" s="38" t="s">
        <v>693</v>
      </c>
      <c r="J49" s="63"/>
      <c r="K49" s="63"/>
    </row>
    <row r="50" spans="1:11">
      <c r="A50" s="37" t="s">
        <v>455</v>
      </c>
      <c r="B50" s="46" t="s">
        <v>519</v>
      </c>
      <c r="C50" s="46">
        <v>1</v>
      </c>
      <c r="D50" s="44">
        <v>1</v>
      </c>
      <c r="E50" s="44">
        <v>1</v>
      </c>
      <c r="F50" s="38" t="s">
        <v>852</v>
      </c>
      <c r="G50" s="38"/>
      <c r="H50" s="38"/>
      <c r="I50" s="52" t="s">
        <v>693</v>
      </c>
      <c r="J50" s="63"/>
      <c r="K50" s="63"/>
    </row>
    <row r="51" spans="1:11">
      <c r="A51" s="37" t="s">
        <v>455</v>
      </c>
      <c r="B51" s="46" t="s">
        <v>520</v>
      </c>
      <c r="C51" s="46">
        <v>1</v>
      </c>
      <c r="D51" s="44">
        <v>1</v>
      </c>
      <c r="E51" s="44">
        <v>1</v>
      </c>
      <c r="F51" s="38" t="s">
        <v>853</v>
      </c>
      <c r="G51" s="38"/>
      <c r="H51" s="52"/>
      <c r="I51" s="52" t="s">
        <v>693</v>
      </c>
      <c r="J51" s="63"/>
      <c r="K51" s="63"/>
    </row>
    <row r="52" spans="1:11">
      <c r="A52" s="37" t="s">
        <v>455</v>
      </c>
      <c r="B52" s="46" t="s">
        <v>521</v>
      </c>
      <c r="C52" s="46">
        <v>1</v>
      </c>
      <c r="D52" s="44">
        <v>1</v>
      </c>
      <c r="E52" s="44">
        <v>1</v>
      </c>
      <c r="F52" s="38" t="s">
        <v>854</v>
      </c>
      <c r="G52" s="38"/>
      <c r="H52" s="38"/>
      <c r="I52" s="52"/>
      <c r="J52" s="63"/>
      <c r="K52" s="63"/>
    </row>
    <row r="53" spans="1:11">
      <c r="A53" s="37" t="s">
        <v>455</v>
      </c>
      <c r="B53" s="46" t="s">
        <v>522</v>
      </c>
      <c r="C53" s="46">
        <v>1</v>
      </c>
      <c r="D53" s="44">
        <v>1</v>
      </c>
      <c r="E53" s="44">
        <v>1</v>
      </c>
      <c r="F53" s="38" t="s">
        <v>855</v>
      </c>
      <c r="G53" s="38"/>
      <c r="H53" s="38"/>
      <c r="I53" s="52"/>
      <c r="J53" s="63"/>
      <c r="K53" s="63"/>
    </row>
    <row r="54" spans="1:11">
      <c r="A54" s="37" t="s">
        <v>455</v>
      </c>
      <c r="B54" s="46" t="s">
        <v>523</v>
      </c>
      <c r="C54" s="46">
        <v>1</v>
      </c>
      <c r="D54" s="44">
        <v>1</v>
      </c>
      <c r="E54" s="44">
        <v>1</v>
      </c>
      <c r="F54" s="38" t="s">
        <v>856</v>
      </c>
      <c r="G54" s="38"/>
      <c r="H54" s="38"/>
      <c r="I54" s="52"/>
      <c r="J54" s="63"/>
      <c r="K54" s="63"/>
    </row>
    <row r="55" spans="1:11">
      <c r="A55" s="37" t="s">
        <v>455</v>
      </c>
      <c r="B55" s="46" t="s">
        <v>524</v>
      </c>
      <c r="C55" s="46">
        <v>1</v>
      </c>
      <c r="D55" s="44">
        <v>1</v>
      </c>
      <c r="E55" s="44">
        <v>1</v>
      </c>
      <c r="F55" s="38" t="s">
        <v>857</v>
      </c>
      <c r="G55" s="38"/>
      <c r="H55" s="38"/>
      <c r="I55" s="52"/>
      <c r="J55" s="63"/>
      <c r="K55" s="63"/>
    </row>
    <row r="56" spans="1:11">
      <c r="A56" s="37" t="s">
        <v>455</v>
      </c>
      <c r="B56" s="46" t="s">
        <v>525</v>
      </c>
      <c r="C56" s="46">
        <v>1</v>
      </c>
      <c r="D56" s="44">
        <v>1</v>
      </c>
      <c r="E56" s="44">
        <v>1</v>
      </c>
      <c r="F56" s="38" t="s">
        <v>858</v>
      </c>
      <c r="G56" s="38"/>
      <c r="H56" s="38"/>
      <c r="I56" s="52"/>
      <c r="J56" s="63"/>
      <c r="K56" s="63"/>
    </row>
    <row r="57" spans="1:11">
      <c r="A57" s="37" t="s">
        <v>455</v>
      </c>
      <c r="B57" s="46" t="s">
        <v>526</v>
      </c>
      <c r="C57" s="46">
        <v>1</v>
      </c>
      <c r="D57" s="44">
        <v>1</v>
      </c>
      <c r="E57" s="44">
        <v>1</v>
      </c>
      <c r="F57" s="38" t="s">
        <v>859</v>
      </c>
      <c r="G57" s="38"/>
      <c r="H57" s="38"/>
      <c r="I57" s="52"/>
      <c r="J57" s="63"/>
      <c r="K57" s="63"/>
    </row>
    <row r="58" spans="1:11">
      <c r="A58" s="37" t="s">
        <v>455</v>
      </c>
      <c r="B58" s="46" t="s">
        <v>527</v>
      </c>
      <c r="C58" s="46">
        <v>1</v>
      </c>
      <c r="D58" s="44">
        <v>1</v>
      </c>
      <c r="E58" s="44">
        <v>1</v>
      </c>
      <c r="F58" s="38" t="s">
        <v>860</v>
      </c>
      <c r="G58" s="38"/>
      <c r="H58" s="52"/>
      <c r="I58" s="52"/>
      <c r="J58" s="63"/>
      <c r="K58" s="63"/>
    </row>
    <row r="59" spans="1:11">
      <c r="A59" s="37" t="s">
        <v>455</v>
      </c>
      <c r="B59" s="46" t="s">
        <v>528</v>
      </c>
      <c r="C59" s="46">
        <v>1</v>
      </c>
      <c r="D59" s="44">
        <v>1</v>
      </c>
      <c r="E59" s="44">
        <v>1</v>
      </c>
      <c r="F59" s="38" t="s">
        <v>861</v>
      </c>
      <c r="G59" s="38"/>
      <c r="H59" s="38"/>
      <c r="I59" s="52"/>
      <c r="J59" s="63"/>
      <c r="K59" s="63"/>
    </row>
    <row r="60" spans="1:11">
      <c r="A60" s="37" t="s">
        <v>455</v>
      </c>
      <c r="B60" s="46" t="s">
        <v>529</v>
      </c>
      <c r="C60" s="46">
        <v>1</v>
      </c>
      <c r="D60" s="44">
        <v>1</v>
      </c>
      <c r="E60" s="44">
        <v>1</v>
      </c>
      <c r="F60" s="38" t="s">
        <v>862</v>
      </c>
      <c r="G60" s="38"/>
      <c r="H60" s="38"/>
      <c r="I60" s="52"/>
      <c r="J60" s="63"/>
      <c r="K60" s="63"/>
    </row>
    <row r="61" spans="1:11">
      <c r="A61" s="37" t="s">
        <v>455</v>
      </c>
      <c r="B61" s="46" t="s">
        <v>530</v>
      </c>
      <c r="C61" s="46">
        <v>1</v>
      </c>
      <c r="D61" s="44">
        <v>1</v>
      </c>
      <c r="E61" s="44">
        <v>1</v>
      </c>
      <c r="F61" s="38" t="s">
        <v>863</v>
      </c>
      <c r="G61" s="38"/>
      <c r="H61" s="38"/>
      <c r="I61" s="52"/>
      <c r="J61" s="63"/>
      <c r="K61" s="63"/>
    </row>
    <row r="62" spans="1:11">
      <c r="A62" s="37" t="s">
        <v>455</v>
      </c>
      <c r="B62" s="46" t="s">
        <v>531</v>
      </c>
      <c r="C62" s="46">
        <v>1</v>
      </c>
      <c r="D62" s="44">
        <v>1</v>
      </c>
      <c r="E62" s="44">
        <v>1</v>
      </c>
      <c r="F62" s="38" t="s">
        <v>864</v>
      </c>
      <c r="G62" s="38"/>
      <c r="H62" s="38"/>
      <c r="I62" s="52"/>
      <c r="J62" s="63"/>
      <c r="K62" s="63"/>
    </row>
    <row r="63" spans="1:11">
      <c r="A63" s="37" t="s">
        <v>455</v>
      </c>
      <c r="B63" s="46" t="s">
        <v>532</v>
      </c>
      <c r="C63" s="46">
        <v>1</v>
      </c>
      <c r="D63" s="44">
        <v>1</v>
      </c>
      <c r="E63" s="44">
        <v>1</v>
      </c>
      <c r="F63" s="38" t="s">
        <v>865</v>
      </c>
      <c r="G63" s="38"/>
      <c r="H63" s="38"/>
      <c r="I63" s="52"/>
      <c r="J63" s="63"/>
      <c r="K63" s="63"/>
    </row>
    <row r="64" spans="1:11">
      <c r="A64" s="37" t="s">
        <v>455</v>
      </c>
      <c r="B64" s="46" t="s">
        <v>533</v>
      </c>
      <c r="C64" s="46">
        <v>1</v>
      </c>
      <c r="D64" s="44">
        <v>1</v>
      </c>
      <c r="E64" s="44">
        <v>1</v>
      </c>
      <c r="F64" s="38" t="s">
        <v>866</v>
      </c>
      <c r="G64" s="38"/>
      <c r="H64" s="38"/>
      <c r="I64" s="52"/>
      <c r="J64" s="63"/>
      <c r="K64" s="63"/>
    </row>
    <row r="65" spans="1:11">
      <c r="A65" s="37" t="s">
        <v>455</v>
      </c>
      <c r="B65" s="46" t="s">
        <v>534</v>
      </c>
      <c r="C65" s="46">
        <v>1</v>
      </c>
      <c r="D65" s="44">
        <v>1</v>
      </c>
      <c r="E65" s="44">
        <v>1</v>
      </c>
      <c r="F65" s="38" t="s">
        <v>867</v>
      </c>
      <c r="G65" s="38"/>
      <c r="H65" s="52"/>
      <c r="I65" s="52"/>
      <c r="J65" s="63"/>
      <c r="K65" s="63"/>
    </row>
    <row r="66" spans="1:11">
      <c r="A66" s="37" t="s">
        <v>455</v>
      </c>
      <c r="B66" s="46" t="s">
        <v>535</v>
      </c>
      <c r="C66" s="46">
        <v>1</v>
      </c>
      <c r="D66" s="44">
        <v>1</v>
      </c>
      <c r="E66" s="44">
        <v>1</v>
      </c>
      <c r="F66" s="38" t="s">
        <v>868</v>
      </c>
      <c r="G66" s="38"/>
      <c r="H66" s="38"/>
      <c r="I66" s="52"/>
      <c r="J66" s="63"/>
      <c r="K66" s="63"/>
    </row>
    <row r="67" spans="1:11">
      <c r="A67" s="37" t="s">
        <v>455</v>
      </c>
      <c r="B67" s="46" t="s">
        <v>536</v>
      </c>
      <c r="C67" s="46">
        <v>1</v>
      </c>
      <c r="D67" s="44">
        <v>1</v>
      </c>
      <c r="E67" s="44">
        <v>1</v>
      </c>
      <c r="F67" s="38" t="s">
        <v>869</v>
      </c>
      <c r="G67" s="38"/>
      <c r="H67" s="38"/>
      <c r="I67" s="52"/>
      <c r="J67" s="63"/>
      <c r="K67" s="63"/>
    </row>
    <row r="68" spans="1:11">
      <c r="A68" s="37" t="s">
        <v>455</v>
      </c>
      <c r="B68" s="46" t="s">
        <v>537</v>
      </c>
      <c r="C68" s="46">
        <v>1</v>
      </c>
      <c r="D68" s="44">
        <v>1</v>
      </c>
      <c r="E68" s="44">
        <v>1</v>
      </c>
      <c r="F68" s="38" t="s">
        <v>870</v>
      </c>
      <c r="G68" s="38"/>
      <c r="H68" s="38"/>
      <c r="I68" s="52"/>
      <c r="J68" s="63"/>
      <c r="K68" s="63"/>
    </row>
    <row r="69" spans="1:11">
      <c r="A69" s="37" t="s">
        <v>455</v>
      </c>
      <c r="B69" s="46" t="s">
        <v>538</v>
      </c>
      <c r="C69" s="46">
        <v>1</v>
      </c>
      <c r="D69" s="44">
        <v>1</v>
      </c>
      <c r="E69" s="44">
        <v>1</v>
      </c>
      <c r="F69" s="38" t="s">
        <v>871</v>
      </c>
      <c r="G69" s="38"/>
      <c r="H69" s="38"/>
      <c r="I69" s="52"/>
      <c r="J69" s="63"/>
      <c r="K69" s="63"/>
    </row>
    <row r="70" spans="1:11">
      <c r="A70" s="37" t="s">
        <v>455</v>
      </c>
      <c r="B70" s="46" t="s">
        <v>539</v>
      </c>
      <c r="C70" s="46">
        <v>1</v>
      </c>
      <c r="D70" s="44">
        <v>1</v>
      </c>
      <c r="E70" s="44">
        <v>1</v>
      </c>
      <c r="F70" s="38" t="s">
        <v>872</v>
      </c>
      <c r="G70" s="38"/>
      <c r="H70" s="38"/>
      <c r="I70" s="52"/>
      <c r="J70" s="63"/>
      <c r="K70" s="63"/>
    </row>
    <row r="71" spans="1:11">
      <c r="A71" s="37" t="s">
        <v>455</v>
      </c>
      <c r="B71" s="46" t="s">
        <v>540</v>
      </c>
      <c r="C71" s="46">
        <v>1</v>
      </c>
      <c r="D71" s="44">
        <v>1</v>
      </c>
      <c r="E71" s="44">
        <v>1</v>
      </c>
      <c r="F71" s="38" t="s">
        <v>873</v>
      </c>
      <c r="G71" s="38"/>
      <c r="H71" s="38"/>
      <c r="I71" s="52"/>
      <c r="J71" s="63"/>
      <c r="K71" s="63"/>
    </row>
    <row r="72" spans="1:11">
      <c r="A72" s="37" t="s">
        <v>455</v>
      </c>
      <c r="B72" s="46" t="s">
        <v>541</v>
      </c>
      <c r="C72" s="46">
        <v>1</v>
      </c>
      <c r="D72" s="44">
        <v>1</v>
      </c>
      <c r="E72" s="44">
        <v>1</v>
      </c>
      <c r="F72" s="38" t="s">
        <v>874</v>
      </c>
      <c r="G72" s="38"/>
      <c r="H72" s="52"/>
      <c r="I72" s="52"/>
      <c r="J72" s="63"/>
      <c r="K72" s="63"/>
    </row>
    <row r="73" spans="1:11">
      <c r="A73" s="37" t="s">
        <v>455</v>
      </c>
      <c r="B73" s="46" t="s">
        <v>542</v>
      </c>
      <c r="C73" s="46">
        <v>1</v>
      </c>
      <c r="D73" s="44">
        <v>1</v>
      </c>
      <c r="E73" s="44">
        <v>1</v>
      </c>
      <c r="F73" s="38" t="s">
        <v>875</v>
      </c>
      <c r="G73" s="38"/>
      <c r="H73" s="38"/>
      <c r="I73" s="52"/>
      <c r="J73" s="63"/>
      <c r="K73" s="63"/>
    </row>
    <row r="74" spans="1:11">
      <c r="A74" s="37" t="s">
        <v>455</v>
      </c>
      <c r="B74" s="46" t="s">
        <v>543</v>
      </c>
      <c r="C74" s="46">
        <v>1</v>
      </c>
      <c r="D74" s="44">
        <v>1</v>
      </c>
      <c r="E74" s="44">
        <v>1</v>
      </c>
      <c r="F74" s="38" t="s">
        <v>876</v>
      </c>
      <c r="G74" s="38"/>
      <c r="H74" s="38"/>
      <c r="I74" s="52"/>
      <c r="J74" s="63"/>
      <c r="K74" s="63"/>
    </row>
    <row r="75" spans="1:11">
      <c r="A75" s="37" t="s">
        <v>455</v>
      </c>
      <c r="B75" s="46" t="s">
        <v>544</v>
      </c>
      <c r="C75" s="46">
        <v>1</v>
      </c>
      <c r="D75" s="44">
        <v>1</v>
      </c>
      <c r="E75" s="44">
        <v>1</v>
      </c>
      <c r="F75" s="38" t="s">
        <v>877</v>
      </c>
      <c r="G75" s="38"/>
      <c r="H75" s="38"/>
      <c r="I75" s="52"/>
      <c r="J75" s="63"/>
      <c r="K75" s="63"/>
    </row>
    <row r="76" spans="1:11">
      <c r="A76" s="37" t="s">
        <v>455</v>
      </c>
      <c r="B76" s="46" t="s">
        <v>545</v>
      </c>
      <c r="C76" s="46">
        <v>1</v>
      </c>
      <c r="D76" s="44">
        <v>1</v>
      </c>
      <c r="E76" s="44">
        <v>1</v>
      </c>
      <c r="F76" s="38" t="s">
        <v>878</v>
      </c>
      <c r="G76" s="38"/>
      <c r="H76" s="38"/>
      <c r="I76" s="52"/>
      <c r="J76" s="63"/>
      <c r="K76" s="63"/>
    </row>
    <row r="77" spans="1:11">
      <c r="A77" s="37" t="s">
        <v>455</v>
      </c>
      <c r="B77" s="46" t="s">
        <v>546</v>
      </c>
      <c r="C77" s="46">
        <v>1</v>
      </c>
      <c r="D77" s="44">
        <v>1</v>
      </c>
      <c r="E77" s="44">
        <v>1</v>
      </c>
      <c r="F77" s="38" t="s">
        <v>879</v>
      </c>
      <c r="G77" s="38"/>
      <c r="H77" s="38"/>
      <c r="I77" s="52"/>
      <c r="J77" s="63"/>
      <c r="K77" s="63"/>
    </row>
    <row r="78" spans="1:11">
      <c r="A78" s="37" t="s">
        <v>455</v>
      </c>
      <c r="B78" s="46" t="s">
        <v>547</v>
      </c>
      <c r="C78" s="46">
        <v>1</v>
      </c>
      <c r="D78" s="44">
        <v>1</v>
      </c>
      <c r="E78" s="44">
        <v>1</v>
      </c>
      <c r="F78" s="38" t="s">
        <v>880</v>
      </c>
      <c r="G78" s="38"/>
      <c r="H78" s="38"/>
      <c r="I78" s="52"/>
      <c r="J78" s="63"/>
      <c r="K78" s="63"/>
    </row>
    <row r="79" spans="1:11">
      <c r="A79" s="37" t="s">
        <v>455</v>
      </c>
      <c r="B79" s="46" t="s">
        <v>548</v>
      </c>
      <c r="C79" s="46">
        <v>1</v>
      </c>
      <c r="D79" s="44">
        <v>1</v>
      </c>
      <c r="E79" s="44">
        <v>1</v>
      </c>
      <c r="F79" s="38" t="s">
        <v>881</v>
      </c>
      <c r="G79" s="38"/>
      <c r="H79" s="52"/>
      <c r="I79" s="52"/>
      <c r="J79" s="63"/>
      <c r="K79" s="63"/>
    </row>
    <row r="80" spans="1:11">
      <c r="A80" s="37" t="s">
        <v>455</v>
      </c>
      <c r="B80" s="46" t="s">
        <v>549</v>
      </c>
      <c r="C80" s="46">
        <v>1</v>
      </c>
      <c r="D80" s="44">
        <v>1</v>
      </c>
      <c r="E80" s="44">
        <v>1</v>
      </c>
      <c r="F80" s="38" t="s">
        <v>882</v>
      </c>
      <c r="G80" s="38"/>
      <c r="H80" s="38"/>
      <c r="I80" s="52"/>
      <c r="J80" s="63"/>
      <c r="K80" s="63"/>
    </row>
    <row r="81" spans="1:11">
      <c r="A81" s="37" t="s">
        <v>455</v>
      </c>
      <c r="B81" s="46" t="s">
        <v>550</v>
      </c>
      <c r="C81" s="46">
        <v>1</v>
      </c>
      <c r="D81" s="44">
        <v>1</v>
      </c>
      <c r="E81" s="44">
        <v>1</v>
      </c>
      <c r="F81" s="38" t="s">
        <v>883</v>
      </c>
      <c r="G81" s="38"/>
      <c r="H81" s="38"/>
      <c r="I81" s="52"/>
      <c r="J81" s="63"/>
      <c r="K81" s="63"/>
    </row>
    <row r="82" spans="1:11">
      <c r="A82" s="37" t="s">
        <v>455</v>
      </c>
      <c r="B82" s="46" t="s">
        <v>551</v>
      </c>
      <c r="C82" s="46">
        <v>1</v>
      </c>
      <c r="D82" s="44">
        <v>1</v>
      </c>
      <c r="E82" s="44">
        <v>1</v>
      </c>
      <c r="F82" s="38" t="s">
        <v>884</v>
      </c>
      <c r="G82" s="38"/>
      <c r="H82" s="38"/>
      <c r="I82" s="52"/>
      <c r="J82" s="63"/>
      <c r="K82" s="63"/>
    </row>
    <row r="83" spans="1:11">
      <c r="A83" s="37" t="s">
        <v>455</v>
      </c>
      <c r="B83" s="46" t="s">
        <v>552</v>
      </c>
      <c r="C83" s="46">
        <v>1</v>
      </c>
      <c r="D83" s="44">
        <v>1</v>
      </c>
      <c r="E83" s="44">
        <v>1</v>
      </c>
      <c r="F83" s="38" t="s">
        <v>885</v>
      </c>
      <c r="G83" s="38"/>
      <c r="H83" s="38"/>
      <c r="I83" s="52"/>
      <c r="J83" s="63"/>
      <c r="K83" s="63"/>
    </row>
    <row r="84" spans="1:11">
      <c r="A84" s="37" t="s">
        <v>455</v>
      </c>
      <c r="B84" s="46" t="s">
        <v>553</v>
      </c>
      <c r="C84" s="46">
        <v>1</v>
      </c>
      <c r="D84" s="44">
        <v>1</v>
      </c>
      <c r="E84" s="44">
        <v>1</v>
      </c>
      <c r="F84" s="38" t="s">
        <v>886</v>
      </c>
      <c r="G84" s="38"/>
      <c r="H84" s="38"/>
      <c r="I84" s="52"/>
      <c r="J84" s="63"/>
      <c r="K84" s="63"/>
    </row>
    <row r="85" spans="1:11">
      <c r="A85" s="37" t="s">
        <v>455</v>
      </c>
      <c r="B85" s="46" t="s">
        <v>554</v>
      </c>
      <c r="C85" s="46">
        <v>1</v>
      </c>
      <c r="D85" s="44">
        <v>1</v>
      </c>
      <c r="E85" s="44">
        <v>1</v>
      </c>
      <c r="F85" s="38" t="s">
        <v>887</v>
      </c>
      <c r="G85" s="38"/>
      <c r="H85" s="38"/>
      <c r="I85" s="52"/>
      <c r="J85" s="63"/>
      <c r="K85" s="63"/>
    </row>
    <row r="86" spans="1:11">
      <c r="A86" s="37" t="s">
        <v>455</v>
      </c>
      <c r="B86" s="46" t="s">
        <v>555</v>
      </c>
      <c r="C86" s="46">
        <v>1</v>
      </c>
      <c r="D86" s="44">
        <v>1</v>
      </c>
      <c r="E86" s="44">
        <v>1</v>
      </c>
      <c r="F86" s="38" t="s">
        <v>888</v>
      </c>
      <c r="G86" s="38"/>
      <c r="H86" s="52"/>
      <c r="I86" s="52"/>
      <c r="J86" s="63"/>
      <c r="K86" s="63"/>
    </row>
    <row r="87" spans="1:11">
      <c r="A87" s="37" t="s">
        <v>455</v>
      </c>
      <c r="B87" s="46" t="s">
        <v>556</v>
      </c>
      <c r="C87" s="46">
        <v>1</v>
      </c>
      <c r="D87" s="44">
        <v>1</v>
      </c>
      <c r="E87" s="44">
        <v>1</v>
      </c>
      <c r="F87" s="38" t="s">
        <v>889</v>
      </c>
      <c r="G87" s="38"/>
      <c r="H87" s="38"/>
      <c r="I87" s="52"/>
      <c r="J87" s="63"/>
      <c r="K87" s="63"/>
    </row>
    <row r="88" spans="1:11">
      <c r="A88" s="37" t="s">
        <v>455</v>
      </c>
      <c r="B88" s="46" t="s">
        <v>557</v>
      </c>
      <c r="C88" s="46">
        <v>1</v>
      </c>
      <c r="D88" s="44">
        <v>1</v>
      </c>
      <c r="E88" s="44">
        <v>1</v>
      </c>
      <c r="F88" s="38" t="s">
        <v>890</v>
      </c>
      <c r="G88" s="38"/>
      <c r="H88" s="38"/>
      <c r="I88" s="52"/>
      <c r="J88" s="63"/>
      <c r="K88" s="63"/>
    </row>
    <row r="89" spans="1:11">
      <c r="A89" s="37" t="s">
        <v>455</v>
      </c>
      <c r="B89" s="46" t="s">
        <v>558</v>
      </c>
      <c r="C89" s="46">
        <v>1</v>
      </c>
      <c r="D89" s="44">
        <v>1</v>
      </c>
      <c r="E89" s="44">
        <v>1</v>
      </c>
      <c r="F89" s="38" t="s">
        <v>891</v>
      </c>
      <c r="G89" s="38"/>
      <c r="H89" s="38"/>
      <c r="I89" s="52"/>
      <c r="J89" s="63"/>
      <c r="K89" s="63"/>
    </row>
    <row r="90" spans="1:11">
      <c r="A90" s="37" t="s">
        <v>455</v>
      </c>
      <c r="B90" s="46" t="s">
        <v>559</v>
      </c>
      <c r="C90" s="46">
        <v>1</v>
      </c>
      <c r="D90" s="44">
        <v>1</v>
      </c>
      <c r="E90" s="44">
        <v>1</v>
      </c>
      <c r="F90" s="38" t="s">
        <v>892</v>
      </c>
      <c r="G90" s="38"/>
      <c r="H90" s="38"/>
      <c r="I90" s="52"/>
      <c r="J90" s="63"/>
      <c r="K90" s="63"/>
    </row>
    <row r="91" spans="1:11">
      <c r="A91" s="37" t="s">
        <v>455</v>
      </c>
      <c r="B91" s="46" t="s">
        <v>560</v>
      </c>
      <c r="C91" s="46">
        <v>1</v>
      </c>
      <c r="D91" s="44">
        <v>1</v>
      </c>
      <c r="E91" s="44">
        <v>1</v>
      </c>
      <c r="F91" s="38" t="s">
        <v>893</v>
      </c>
      <c r="G91" s="38"/>
      <c r="H91" s="38"/>
      <c r="I91" s="52"/>
      <c r="J91" s="63"/>
      <c r="K91" s="63"/>
    </row>
  </sheetData>
  <autoFilter ref="J1:K91"/>
  <phoneticPr fontId="1" type="noConversion"/>
  <pageMargins left="0.7" right="0.7" top="0.75" bottom="0.75" header="0.3" footer="0.3"/>
  <pageSetup paperSize="9" orientation="portrait" horizontalDpi="200" verticalDpi="200" r:id="rId1"/>
  <legacyDrawing r:id="rId2"/>
</worksheet>
</file>

<file path=xl/worksheets/sheet4.xml><?xml version="1.0" encoding="utf-8"?>
<worksheet xmlns="http://schemas.openxmlformats.org/spreadsheetml/2006/main" xmlns:r="http://schemas.openxmlformats.org/officeDocument/2006/relationships">
  <dimension ref="A1:Q1008"/>
  <sheetViews>
    <sheetView zoomScale="85" zoomScaleNormal="85" workbookViewId="0">
      <pane ySplit="1" topLeftCell="A2" activePane="bottomLeft" state="frozen"/>
      <selection pane="bottomLeft" activeCell="D27" sqref="D27"/>
    </sheetView>
  </sheetViews>
  <sheetFormatPr defaultColWidth="9" defaultRowHeight="13.5"/>
  <cols>
    <col min="1" max="1" width="6.5" style="3" bestFit="1" customWidth="1"/>
    <col min="2" max="2" width="10.5" style="3" bestFit="1" customWidth="1"/>
    <col min="3" max="3" width="13.5" style="11" bestFit="1" customWidth="1"/>
    <col min="4" max="4" width="63.625" style="20" customWidth="1"/>
    <col min="5" max="5" width="15.875" style="10" bestFit="1" customWidth="1"/>
    <col min="6" max="6" width="33.875" style="3" bestFit="1" customWidth="1"/>
    <col min="7" max="8" width="0.625" style="3" customWidth="1"/>
    <col min="9" max="9" width="0.875" style="3" customWidth="1"/>
    <col min="10" max="10" width="26.125" style="3" bestFit="1" customWidth="1"/>
    <col min="11" max="16384" width="9" style="3"/>
  </cols>
  <sheetData>
    <row r="1" spans="1:17" ht="24.95" customHeight="1">
      <c r="A1" s="2" t="s">
        <v>3</v>
      </c>
      <c r="B1" s="2" t="s">
        <v>4</v>
      </c>
      <c r="C1" s="14" t="s">
        <v>404</v>
      </c>
      <c r="D1" s="12" t="s">
        <v>41</v>
      </c>
      <c r="E1" s="13" t="s">
        <v>42</v>
      </c>
      <c r="F1" s="17"/>
    </row>
    <row r="2" spans="1:17">
      <c r="A2" s="6">
        <v>10001</v>
      </c>
      <c r="B2" s="6">
        <v>12001</v>
      </c>
      <c r="C2" s="29" t="s">
        <v>643</v>
      </c>
      <c r="D2" s="6" t="s">
        <v>566</v>
      </c>
      <c r="E2" s="6">
        <v>12002</v>
      </c>
      <c r="F2" s="27"/>
    </row>
    <row r="3" spans="1:17">
      <c r="A3" s="6">
        <v>10001</v>
      </c>
      <c r="B3" s="6">
        <v>12002</v>
      </c>
      <c r="C3" s="29">
        <v>20001</v>
      </c>
      <c r="D3" s="6" t="s">
        <v>567</v>
      </c>
      <c r="E3" s="6">
        <v>12003</v>
      </c>
      <c r="F3" s="27"/>
    </row>
    <row r="4" spans="1:17">
      <c r="A4" s="6">
        <v>10001</v>
      </c>
      <c r="B4" s="6">
        <v>12003</v>
      </c>
      <c r="C4" s="29" t="s">
        <v>644</v>
      </c>
      <c r="D4" s="6" t="s">
        <v>568</v>
      </c>
      <c r="E4" s="6">
        <v>12004</v>
      </c>
      <c r="F4" s="27"/>
    </row>
    <row r="5" spans="1:17">
      <c r="A5" s="6">
        <v>10001</v>
      </c>
      <c r="B5" s="6">
        <v>12004</v>
      </c>
      <c r="C5" s="29" t="s">
        <v>645</v>
      </c>
      <c r="D5" s="6" t="s">
        <v>76</v>
      </c>
      <c r="E5" s="6">
        <v>12005</v>
      </c>
      <c r="F5" s="27"/>
    </row>
    <row r="6" spans="1:17">
      <c r="A6" s="6">
        <v>10001</v>
      </c>
      <c r="B6" s="6">
        <v>12005</v>
      </c>
      <c r="C6" s="29" t="s">
        <v>644</v>
      </c>
      <c r="D6" s="6" t="s">
        <v>77</v>
      </c>
      <c r="E6" s="6">
        <v>12006</v>
      </c>
      <c r="F6" s="28"/>
      <c r="M6" s="15" t="str">
        <f>CONCATENATE("optional uint32 ",LOWER(INDEX(H:L,CEILING((ROW()-1)/30,1),MOD(ROW()-2,30)+1)))</f>
        <v xml:space="preserve">optional uint32 </v>
      </c>
      <c r="N6" s="1"/>
      <c r="O6" s="1"/>
      <c r="P6" s="1"/>
      <c r="Q6" s="1" t="e">
        <f ca="1">CONCATENATE("= ",ROW()-1,"; // ",GetComment(INDEX(H:L,CEILING((ROW()-1)/30,1),MOD(ROW()-2,30)+1)))</f>
        <v>#NAME?</v>
      </c>
    </row>
    <row r="7" spans="1:17">
      <c r="A7" s="6">
        <v>10001</v>
      </c>
      <c r="B7" s="6">
        <v>12006</v>
      </c>
      <c r="C7" s="29" t="s">
        <v>645</v>
      </c>
      <c r="D7" s="6" t="s">
        <v>78</v>
      </c>
      <c r="E7" s="6">
        <v>12007</v>
      </c>
      <c r="F7" s="17"/>
      <c r="M7" s="15" t="e">
        <f>CONCATENATE("optional uint32 ",LOWER(INDEX(H:L,CEILING((ROW()-1)/30,1),MOD(ROW()-2,30)+1)))</f>
        <v>#REF!</v>
      </c>
      <c r="N7" s="1"/>
      <c r="O7" s="1"/>
      <c r="P7" s="1"/>
      <c r="Q7" s="1" t="e">
        <f ca="1">CONCATENATE("= ",ROW()-1,"; // ",GetComment(INDEX(H:L,CEILING((ROW()-1)/30,1),MOD(ROW()-2,30)+1)))</f>
        <v>#NAME?</v>
      </c>
    </row>
    <row r="8" spans="1:17">
      <c r="A8" s="6">
        <v>10001</v>
      </c>
      <c r="B8" s="6">
        <v>12007</v>
      </c>
      <c r="C8" s="29" t="s">
        <v>643</v>
      </c>
      <c r="D8" s="6" t="s">
        <v>414</v>
      </c>
      <c r="E8" s="6">
        <v>0</v>
      </c>
      <c r="F8" s="17"/>
      <c r="M8" s="15" t="e">
        <f>CONCATENATE("optional uint32 ",LOWER(INDEX(H:L,CEILING((ROW()-1)/30,1),MOD(ROW()-2,30)+1)))</f>
        <v>#REF!</v>
      </c>
      <c r="N8" s="1"/>
      <c r="O8" s="1"/>
      <c r="P8" s="1"/>
      <c r="Q8" s="1" t="e">
        <f ca="1">CONCATENATE("= ",ROW()-1,"; // ",GetComment(INDEX(H:L,CEILING((ROW()-1)/30,1),MOD(ROW()-2,30)+1)))</f>
        <v>#NAME?</v>
      </c>
    </row>
    <row r="9" spans="1:17">
      <c r="A9" s="6">
        <v>10002</v>
      </c>
      <c r="B9" s="6">
        <v>12008</v>
      </c>
      <c r="C9" s="29" t="s">
        <v>646</v>
      </c>
      <c r="D9" s="6" t="s">
        <v>47</v>
      </c>
      <c r="E9" s="6">
        <v>12009</v>
      </c>
      <c r="F9" s="17"/>
      <c r="M9" s="15" t="e">
        <f>CONCATENATE("optional uint32 ",LOWER(INDEX(H:L,CEILING((ROW()-1)/30,1),MOD(ROW()-2,30)+1)))</f>
        <v>#REF!</v>
      </c>
      <c r="N9" s="1"/>
      <c r="O9" s="1"/>
      <c r="P9" s="1"/>
      <c r="Q9" s="1" t="e">
        <f ca="1">CONCATENATE("= ",ROW()-1,"; // ",GetComment(INDEX(H:L,CEILING((ROW()-1)/30,1),MOD(ROW()-2,30)+1)))</f>
        <v>#NAME?</v>
      </c>
    </row>
    <row r="10" spans="1:17">
      <c r="A10" s="6">
        <v>10002</v>
      </c>
      <c r="B10" s="6">
        <v>12009</v>
      </c>
      <c r="C10" s="29">
        <v>20001</v>
      </c>
      <c r="D10" s="6" t="s">
        <v>569</v>
      </c>
      <c r="E10" s="6">
        <v>12010</v>
      </c>
      <c r="F10" s="17"/>
    </row>
    <row r="11" spans="1:17">
      <c r="A11" s="6">
        <v>10002</v>
      </c>
      <c r="B11" s="6">
        <v>12010</v>
      </c>
      <c r="C11" s="29" t="s">
        <v>643</v>
      </c>
      <c r="D11" s="6" t="s">
        <v>570</v>
      </c>
      <c r="E11" s="6">
        <v>0</v>
      </c>
      <c r="F11" s="17"/>
    </row>
    <row r="12" spans="1:17">
      <c r="A12" s="6">
        <v>10003</v>
      </c>
      <c r="B12" s="6">
        <v>12011</v>
      </c>
      <c r="C12" s="29" t="s">
        <v>645</v>
      </c>
      <c r="D12" s="6" t="s">
        <v>79</v>
      </c>
      <c r="E12" s="6">
        <v>12012</v>
      </c>
      <c r="F12" s="17"/>
    </row>
    <row r="13" spans="1:17">
      <c r="A13" s="6">
        <v>10003</v>
      </c>
      <c r="B13" s="6">
        <v>12012</v>
      </c>
      <c r="C13" s="29" t="s">
        <v>647</v>
      </c>
      <c r="D13" s="6" t="s">
        <v>48</v>
      </c>
      <c r="E13" s="6">
        <v>12013</v>
      </c>
      <c r="F13" s="17"/>
    </row>
    <row r="14" spans="1:17">
      <c r="A14" s="6">
        <v>10003</v>
      </c>
      <c r="B14" s="6">
        <v>12013</v>
      </c>
      <c r="C14" s="29">
        <v>20001</v>
      </c>
      <c r="D14" s="6" t="s">
        <v>80</v>
      </c>
      <c r="E14" s="6">
        <v>12014</v>
      </c>
      <c r="F14" s="17"/>
    </row>
    <row r="15" spans="1:17">
      <c r="A15" s="6">
        <v>10003</v>
      </c>
      <c r="B15" s="6">
        <v>12014</v>
      </c>
      <c r="C15" s="29" t="s">
        <v>647</v>
      </c>
      <c r="D15" s="6" t="s">
        <v>81</v>
      </c>
      <c r="E15" s="6">
        <v>12015</v>
      </c>
      <c r="F15" s="17"/>
    </row>
    <row r="16" spans="1:17">
      <c r="A16" s="6">
        <v>10003</v>
      </c>
      <c r="B16" s="6">
        <v>12015</v>
      </c>
      <c r="C16" s="29">
        <v>20001</v>
      </c>
      <c r="D16" s="6" t="s">
        <v>82</v>
      </c>
      <c r="E16" s="6">
        <v>12016</v>
      </c>
      <c r="F16" s="17"/>
    </row>
    <row r="17" spans="1:6">
      <c r="A17" s="6">
        <v>10003</v>
      </c>
      <c r="B17" s="6">
        <v>12016</v>
      </c>
      <c r="C17" s="29" t="s">
        <v>647</v>
      </c>
      <c r="D17" s="6" t="s">
        <v>83</v>
      </c>
      <c r="E17" s="6">
        <v>0</v>
      </c>
      <c r="F17" s="17"/>
    </row>
    <row r="18" spans="1:6">
      <c r="A18" s="6">
        <v>10004</v>
      </c>
      <c r="B18" s="6">
        <v>12017</v>
      </c>
      <c r="C18" s="29">
        <v>20001</v>
      </c>
      <c r="D18" s="6" t="s">
        <v>49</v>
      </c>
      <c r="E18" s="6">
        <v>12018</v>
      </c>
      <c r="F18" s="17"/>
    </row>
    <row r="19" spans="1:6">
      <c r="A19" s="6">
        <v>10004</v>
      </c>
      <c r="B19" s="6">
        <v>12018</v>
      </c>
      <c r="C19" s="29" t="s">
        <v>644</v>
      </c>
      <c r="D19" s="6" t="s">
        <v>424</v>
      </c>
      <c r="E19" s="6">
        <v>12019</v>
      </c>
      <c r="F19" s="17"/>
    </row>
    <row r="20" spans="1:6">
      <c r="A20" s="6">
        <v>10004</v>
      </c>
      <c r="B20" s="6">
        <v>12019</v>
      </c>
      <c r="C20" s="29">
        <v>20001</v>
      </c>
      <c r="D20" s="6" t="s">
        <v>84</v>
      </c>
      <c r="E20" s="6">
        <v>0</v>
      </c>
      <c r="F20" s="17"/>
    </row>
    <row r="21" spans="1:6">
      <c r="A21" s="6">
        <v>10005</v>
      </c>
      <c r="B21" s="6">
        <v>12020</v>
      </c>
      <c r="C21" s="29">
        <v>20001</v>
      </c>
      <c r="D21" s="6" t="s">
        <v>415</v>
      </c>
      <c r="E21" s="6">
        <v>12021</v>
      </c>
      <c r="F21" s="17"/>
    </row>
    <row r="22" spans="1:6">
      <c r="A22" s="6">
        <v>10005</v>
      </c>
      <c r="B22" s="6">
        <v>12021</v>
      </c>
      <c r="C22" s="29" t="s">
        <v>644</v>
      </c>
      <c r="D22" s="6" t="s">
        <v>85</v>
      </c>
      <c r="E22" s="6">
        <v>12022</v>
      </c>
      <c r="F22" s="17"/>
    </row>
    <row r="23" spans="1:6">
      <c r="A23" s="6">
        <v>10005</v>
      </c>
      <c r="B23" s="6">
        <v>12022</v>
      </c>
      <c r="C23" s="29" t="s">
        <v>648</v>
      </c>
      <c r="D23" s="6" t="s">
        <v>416</v>
      </c>
      <c r="E23" s="6">
        <v>12023</v>
      </c>
      <c r="F23" s="17"/>
    </row>
    <row r="24" spans="1:6">
      <c r="A24" s="6">
        <v>10005</v>
      </c>
      <c r="B24" s="6">
        <v>12023</v>
      </c>
      <c r="C24" s="29" t="s">
        <v>644</v>
      </c>
      <c r="D24" s="6" t="s">
        <v>86</v>
      </c>
      <c r="E24" s="6">
        <v>12024</v>
      </c>
      <c r="F24" s="17"/>
    </row>
    <row r="25" spans="1:6">
      <c r="A25" s="6">
        <v>10005</v>
      </c>
      <c r="B25" s="6">
        <v>12024</v>
      </c>
      <c r="C25" s="29" t="s">
        <v>648</v>
      </c>
      <c r="D25" s="28" t="s">
        <v>87</v>
      </c>
      <c r="E25" s="6">
        <v>12025</v>
      </c>
      <c r="F25" s="17"/>
    </row>
    <row r="26" spans="1:6">
      <c r="A26" s="6">
        <v>10005</v>
      </c>
      <c r="B26" s="6">
        <v>12025</v>
      </c>
      <c r="C26" s="29" t="s">
        <v>644</v>
      </c>
      <c r="D26" s="6" t="s">
        <v>571</v>
      </c>
      <c r="E26" s="6">
        <v>12026</v>
      </c>
      <c r="F26" s="17"/>
    </row>
    <row r="27" spans="1:6">
      <c r="A27" s="6">
        <v>10005</v>
      </c>
      <c r="B27" s="6">
        <v>12026</v>
      </c>
      <c r="C27" s="29" t="s">
        <v>648</v>
      </c>
      <c r="D27" s="6" t="s">
        <v>425</v>
      </c>
      <c r="E27" s="6">
        <v>0</v>
      </c>
      <c r="F27" s="17"/>
    </row>
    <row r="28" spans="1:6">
      <c r="A28" s="6">
        <v>10006</v>
      </c>
      <c r="B28" s="6">
        <v>12027</v>
      </c>
      <c r="C28" s="29">
        <v>20001</v>
      </c>
      <c r="D28" s="6" t="s">
        <v>88</v>
      </c>
      <c r="E28" s="6">
        <v>12028</v>
      </c>
      <c r="F28" s="17"/>
    </row>
    <row r="29" spans="1:6">
      <c r="A29" s="6">
        <v>10006</v>
      </c>
      <c r="B29" s="6">
        <v>12028</v>
      </c>
      <c r="C29" s="29" t="s">
        <v>644</v>
      </c>
      <c r="D29" s="6" t="s">
        <v>89</v>
      </c>
      <c r="E29" s="6">
        <v>12029</v>
      </c>
      <c r="F29" s="17"/>
    </row>
    <row r="30" spans="1:6">
      <c r="A30" s="6">
        <v>10006</v>
      </c>
      <c r="B30" s="6">
        <v>12029</v>
      </c>
      <c r="C30" s="29" t="s">
        <v>648</v>
      </c>
      <c r="D30" s="6" t="s">
        <v>572</v>
      </c>
      <c r="E30" s="6">
        <v>0</v>
      </c>
      <c r="F30" s="17"/>
    </row>
    <row r="31" spans="1:6">
      <c r="A31" s="6">
        <v>10007</v>
      </c>
      <c r="B31" s="6">
        <v>12030</v>
      </c>
      <c r="C31" s="29" t="s">
        <v>649</v>
      </c>
      <c r="D31" s="28" t="s">
        <v>573</v>
      </c>
      <c r="E31" s="6">
        <v>12031</v>
      </c>
      <c r="F31" s="17"/>
    </row>
    <row r="32" spans="1:6">
      <c r="A32" s="6">
        <v>10007</v>
      </c>
      <c r="B32" s="6">
        <v>12031</v>
      </c>
      <c r="C32" s="29">
        <v>20001</v>
      </c>
      <c r="D32" s="28" t="s">
        <v>90</v>
      </c>
      <c r="E32" s="6">
        <v>12032</v>
      </c>
      <c r="F32" s="17"/>
    </row>
    <row r="33" spans="1:6">
      <c r="A33" s="6">
        <v>10007</v>
      </c>
      <c r="B33" s="6">
        <v>12032</v>
      </c>
      <c r="C33" s="29" t="s">
        <v>649</v>
      </c>
      <c r="D33" s="6" t="s">
        <v>426</v>
      </c>
      <c r="E33" s="6">
        <v>12033</v>
      </c>
      <c r="F33" s="17"/>
    </row>
    <row r="34" spans="1:6">
      <c r="A34" s="6">
        <v>10007</v>
      </c>
      <c r="B34" s="6">
        <v>12033</v>
      </c>
      <c r="C34" s="29">
        <v>20001</v>
      </c>
      <c r="D34" s="6" t="s">
        <v>52</v>
      </c>
      <c r="E34" s="6">
        <v>12034</v>
      </c>
      <c r="F34" s="17"/>
    </row>
    <row r="35" spans="1:6">
      <c r="A35" s="6">
        <v>10007</v>
      </c>
      <c r="B35" s="6">
        <v>12034</v>
      </c>
      <c r="C35" s="29" t="s">
        <v>649</v>
      </c>
      <c r="D35" s="6" t="s">
        <v>427</v>
      </c>
      <c r="E35" s="6">
        <v>0</v>
      </c>
      <c r="F35" s="17"/>
    </row>
    <row r="36" spans="1:6">
      <c r="A36" s="6">
        <v>10008</v>
      </c>
      <c r="B36" s="6">
        <v>12035</v>
      </c>
      <c r="C36" s="29">
        <v>20001</v>
      </c>
      <c r="D36" s="6" t="s">
        <v>91</v>
      </c>
      <c r="E36" s="6">
        <v>12036</v>
      </c>
      <c r="F36" s="17"/>
    </row>
    <row r="37" spans="1:6">
      <c r="A37" s="6">
        <v>10008</v>
      </c>
      <c r="B37" s="6">
        <v>12036</v>
      </c>
      <c r="C37" s="29" t="s">
        <v>649</v>
      </c>
      <c r="D37" s="6" t="s">
        <v>92</v>
      </c>
      <c r="E37" s="6">
        <v>12037</v>
      </c>
      <c r="F37" s="17"/>
    </row>
    <row r="38" spans="1:6">
      <c r="A38" s="6">
        <v>10008</v>
      </c>
      <c r="B38" s="6">
        <v>12037</v>
      </c>
      <c r="C38" s="29">
        <v>20001</v>
      </c>
      <c r="D38" s="28" t="s">
        <v>574</v>
      </c>
      <c r="E38" s="6">
        <v>12038</v>
      </c>
      <c r="F38" s="17"/>
    </row>
    <row r="39" spans="1:6">
      <c r="A39" s="6">
        <v>10008</v>
      </c>
      <c r="B39" s="6">
        <v>12038</v>
      </c>
      <c r="C39" s="29" t="s">
        <v>649</v>
      </c>
      <c r="D39" s="28" t="s">
        <v>575</v>
      </c>
      <c r="E39" s="6">
        <v>0</v>
      </c>
      <c r="F39" s="17"/>
    </row>
    <row r="40" spans="1:6">
      <c r="A40" s="6">
        <v>10009</v>
      </c>
      <c r="B40" s="6">
        <v>12039</v>
      </c>
      <c r="C40" s="29" t="s">
        <v>650</v>
      </c>
      <c r="D40" s="28" t="s">
        <v>576</v>
      </c>
      <c r="E40" s="6">
        <v>12040</v>
      </c>
      <c r="F40" s="17"/>
    </row>
    <row r="41" spans="1:6">
      <c r="A41" s="6">
        <v>10009</v>
      </c>
      <c r="B41" s="6">
        <v>12040</v>
      </c>
      <c r="C41" s="29" t="s">
        <v>643</v>
      </c>
      <c r="D41" s="28" t="s">
        <v>577</v>
      </c>
      <c r="E41" s="6">
        <v>12041</v>
      </c>
      <c r="F41" s="17"/>
    </row>
    <row r="42" spans="1:6">
      <c r="A42" s="6">
        <v>10009</v>
      </c>
      <c r="B42" s="6">
        <v>12041</v>
      </c>
      <c r="C42" s="29" t="s">
        <v>650</v>
      </c>
      <c r="D42" s="28" t="s">
        <v>578</v>
      </c>
      <c r="E42" s="6">
        <v>12042</v>
      </c>
      <c r="F42" s="17"/>
    </row>
    <row r="43" spans="1:6">
      <c r="A43" s="6">
        <v>10009</v>
      </c>
      <c r="B43" s="6">
        <v>12042</v>
      </c>
      <c r="C43" s="29">
        <v>20001</v>
      </c>
      <c r="D43" s="28" t="s">
        <v>579</v>
      </c>
      <c r="E43" s="6">
        <v>12043</v>
      </c>
      <c r="F43" s="17"/>
    </row>
    <row r="44" spans="1:6">
      <c r="A44" s="6">
        <v>10009</v>
      </c>
      <c r="B44" s="6">
        <v>12043</v>
      </c>
      <c r="C44" s="29" t="s">
        <v>650</v>
      </c>
      <c r="D44" s="28" t="s">
        <v>580</v>
      </c>
      <c r="E44" s="6">
        <v>12044</v>
      </c>
      <c r="F44" s="17"/>
    </row>
    <row r="45" spans="1:6">
      <c r="A45" s="6">
        <v>10009</v>
      </c>
      <c r="B45" s="6">
        <v>12044</v>
      </c>
      <c r="C45" s="29">
        <v>20001</v>
      </c>
      <c r="D45" s="28" t="s">
        <v>581</v>
      </c>
      <c r="E45" s="6">
        <v>0</v>
      </c>
      <c r="F45" s="17"/>
    </row>
    <row r="46" spans="1:6">
      <c r="A46" s="6">
        <v>10010</v>
      </c>
      <c r="B46" s="6">
        <v>12045</v>
      </c>
      <c r="C46" s="29">
        <v>20001</v>
      </c>
      <c r="D46" s="28" t="s">
        <v>582</v>
      </c>
      <c r="E46" s="6">
        <v>12046</v>
      </c>
      <c r="F46" s="17"/>
    </row>
    <row r="47" spans="1:6">
      <c r="A47" s="6">
        <v>10010</v>
      </c>
      <c r="B47" s="6">
        <v>12046</v>
      </c>
      <c r="C47" s="29" t="s">
        <v>650</v>
      </c>
      <c r="D47" s="28" t="s">
        <v>583</v>
      </c>
      <c r="E47" s="6">
        <v>0</v>
      </c>
      <c r="F47" s="17"/>
    </row>
    <row r="48" spans="1:6">
      <c r="A48" s="6">
        <v>10011</v>
      </c>
      <c r="B48" s="6">
        <v>12047</v>
      </c>
      <c r="C48" s="29" t="s">
        <v>644</v>
      </c>
      <c r="D48" s="28" t="s">
        <v>584</v>
      </c>
      <c r="E48" s="6">
        <v>12048</v>
      </c>
      <c r="F48" s="17"/>
    </row>
    <row r="49" spans="1:6">
      <c r="A49" s="6">
        <v>10011</v>
      </c>
      <c r="B49" s="6">
        <v>12048</v>
      </c>
      <c r="C49" s="29" t="s">
        <v>651</v>
      </c>
      <c r="D49" s="28" t="s">
        <v>428</v>
      </c>
      <c r="E49" s="6">
        <v>12049</v>
      </c>
      <c r="F49" s="17"/>
    </row>
    <row r="50" spans="1:6">
      <c r="A50" s="6">
        <v>10011</v>
      </c>
      <c r="B50" s="6">
        <v>12049</v>
      </c>
      <c r="C50" s="29" t="s">
        <v>644</v>
      </c>
      <c r="D50" s="28" t="s">
        <v>585</v>
      </c>
      <c r="E50" s="6">
        <v>12050</v>
      </c>
      <c r="F50" s="17"/>
    </row>
    <row r="51" spans="1:6">
      <c r="A51" s="6">
        <v>10011</v>
      </c>
      <c r="B51" s="6">
        <v>12050</v>
      </c>
      <c r="C51" s="29" t="s">
        <v>651</v>
      </c>
      <c r="D51" s="28" t="s">
        <v>429</v>
      </c>
      <c r="E51" s="6">
        <v>12051</v>
      </c>
      <c r="F51" s="17"/>
    </row>
    <row r="52" spans="1:6">
      <c r="A52" s="6">
        <v>10011</v>
      </c>
      <c r="B52" s="6">
        <v>12051</v>
      </c>
      <c r="C52" s="29" t="s">
        <v>644</v>
      </c>
      <c r="D52" s="28" t="s">
        <v>430</v>
      </c>
      <c r="E52" s="6">
        <v>12052</v>
      </c>
      <c r="F52" s="17"/>
    </row>
    <row r="53" spans="1:6">
      <c r="A53" s="6">
        <v>10011</v>
      </c>
      <c r="B53" s="6">
        <v>12052</v>
      </c>
      <c r="C53" s="29" t="s">
        <v>651</v>
      </c>
      <c r="D53" s="28" t="s">
        <v>431</v>
      </c>
      <c r="E53" s="6">
        <v>0</v>
      </c>
      <c r="F53" s="17"/>
    </row>
    <row r="54" spans="1:6">
      <c r="A54" s="6">
        <v>10012</v>
      </c>
      <c r="B54" s="6">
        <v>12053</v>
      </c>
      <c r="C54" s="29" t="s">
        <v>651</v>
      </c>
      <c r="D54" s="6" t="s">
        <v>432</v>
      </c>
      <c r="E54" s="6">
        <v>12054</v>
      </c>
      <c r="F54" s="17"/>
    </row>
    <row r="55" spans="1:6">
      <c r="A55" s="6">
        <v>10012</v>
      </c>
      <c r="B55" s="6">
        <v>12054</v>
      </c>
      <c r="C55" s="29" t="s">
        <v>644</v>
      </c>
      <c r="D55" s="28" t="s">
        <v>433</v>
      </c>
      <c r="E55" s="6">
        <v>12055</v>
      </c>
      <c r="F55" s="17"/>
    </row>
    <row r="56" spans="1:6">
      <c r="A56" s="6">
        <v>10012</v>
      </c>
      <c r="B56" s="6">
        <v>12055</v>
      </c>
      <c r="C56" s="29" t="s">
        <v>651</v>
      </c>
      <c r="D56" s="28" t="s">
        <v>586</v>
      </c>
      <c r="E56" s="6">
        <v>0</v>
      </c>
      <c r="F56" s="17"/>
    </row>
    <row r="57" spans="1:6">
      <c r="A57" s="6">
        <v>10013</v>
      </c>
      <c r="B57" s="6">
        <v>12056</v>
      </c>
      <c r="C57" s="29" t="s">
        <v>652</v>
      </c>
      <c r="D57" s="28" t="s">
        <v>95</v>
      </c>
      <c r="E57" s="6">
        <v>12057</v>
      </c>
      <c r="F57" s="17"/>
    </row>
    <row r="58" spans="1:6">
      <c r="A58" s="6">
        <v>10013</v>
      </c>
      <c r="B58" s="6">
        <v>12057</v>
      </c>
      <c r="C58" s="29">
        <v>20001</v>
      </c>
      <c r="D58" s="6" t="s">
        <v>587</v>
      </c>
      <c r="E58" s="6">
        <v>12058</v>
      </c>
      <c r="F58" s="17"/>
    </row>
    <row r="59" spans="1:6">
      <c r="A59" s="6">
        <v>10013</v>
      </c>
      <c r="B59" s="6">
        <v>12058</v>
      </c>
      <c r="C59" s="29" t="s">
        <v>643</v>
      </c>
      <c r="D59" s="6" t="s">
        <v>588</v>
      </c>
      <c r="E59" s="6">
        <v>12059</v>
      </c>
      <c r="F59" s="17"/>
    </row>
    <row r="60" spans="1:6">
      <c r="A60" s="6">
        <v>10013</v>
      </c>
      <c r="B60" s="6">
        <v>12059</v>
      </c>
      <c r="C60" s="29" t="s">
        <v>652</v>
      </c>
      <c r="D60" s="6" t="s">
        <v>96</v>
      </c>
      <c r="E60" s="6">
        <v>12060</v>
      </c>
      <c r="F60" s="17"/>
    </row>
    <row r="61" spans="1:6">
      <c r="A61" s="6">
        <v>10013</v>
      </c>
      <c r="B61" s="6">
        <v>12060</v>
      </c>
      <c r="C61" s="29" t="s">
        <v>643</v>
      </c>
      <c r="D61" s="6" t="s">
        <v>589</v>
      </c>
      <c r="E61" s="6">
        <v>12061</v>
      </c>
      <c r="F61" s="17"/>
    </row>
    <row r="62" spans="1:6">
      <c r="A62" s="6">
        <v>10013</v>
      </c>
      <c r="B62" s="6">
        <v>12061</v>
      </c>
      <c r="C62" s="29" t="s">
        <v>652</v>
      </c>
      <c r="D62" s="6" t="s">
        <v>590</v>
      </c>
      <c r="E62" s="6">
        <v>0</v>
      </c>
      <c r="F62" s="17"/>
    </row>
    <row r="63" spans="1:6">
      <c r="A63" s="6">
        <v>10014</v>
      </c>
      <c r="B63" s="6">
        <v>12062</v>
      </c>
      <c r="C63" s="29" t="s">
        <v>652</v>
      </c>
      <c r="D63" s="6" t="s">
        <v>591</v>
      </c>
      <c r="E63" s="6">
        <v>12063</v>
      </c>
      <c r="F63" s="17"/>
    </row>
    <row r="64" spans="1:6">
      <c r="A64" s="6">
        <v>10014</v>
      </c>
      <c r="B64" s="6">
        <v>12063</v>
      </c>
      <c r="C64" s="29">
        <v>20001</v>
      </c>
      <c r="D64" s="6" t="s">
        <v>592</v>
      </c>
      <c r="E64" s="6">
        <v>12064</v>
      </c>
      <c r="F64" s="17"/>
    </row>
    <row r="65" spans="1:6">
      <c r="A65" s="6">
        <v>10014</v>
      </c>
      <c r="B65" s="6">
        <v>12064</v>
      </c>
      <c r="C65" s="29" t="s">
        <v>652</v>
      </c>
      <c r="D65" s="6" t="s">
        <v>593</v>
      </c>
      <c r="E65" s="6">
        <v>0</v>
      </c>
      <c r="F65" s="17"/>
    </row>
    <row r="66" spans="1:6">
      <c r="A66" s="6">
        <v>10015</v>
      </c>
      <c r="B66" s="6">
        <v>12065</v>
      </c>
      <c r="C66" s="29">
        <v>20001</v>
      </c>
      <c r="D66" s="6" t="s">
        <v>594</v>
      </c>
      <c r="E66" s="6">
        <v>12066</v>
      </c>
      <c r="F66" s="17"/>
    </row>
    <row r="67" spans="1:6">
      <c r="A67" s="6">
        <v>10015</v>
      </c>
      <c r="B67" s="6">
        <v>12066</v>
      </c>
      <c r="C67" s="29" t="s">
        <v>643</v>
      </c>
      <c r="D67" s="6" t="s">
        <v>595</v>
      </c>
      <c r="E67" s="6">
        <v>12067</v>
      </c>
      <c r="F67" s="17"/>
    </row>
    <row r="68" spans="1:6">
      <c r="A68" s="6">
        <v>10015</v>
      </c>
      <c r="B68" s="6">
        <v>12067</v>
      </c>
      <c r="C68" s="29" t="s">
        <v>651</v>
      </c>
      <c r="D68" s="6" t="s">
        <v>434</v>
      </c>
      <c r="E68" s="6">
        <v>12068</v>
      </c>
      <c r="F68" s="17"/>
    </row>
    <row r="69" spans="1:6">
      <c r="A69" s="6">
        <v>10015</v>
      </c>
      <c r="B69" s="6">
        <v>12068</v>
      </c>
      <c r="C69" s="29" t="s">
        <v>653</v>
      </c>
      <c r="D69" s="6" t="s">
        <v>435</v>
      </c>
      <c r="E69" s="6">
        <v>12069</v>
      </c>
      <c r="F69" s="17"/>
    </row>
    <row r="70" spans="1:6">
      <c r="A70" s="6">
        <v>10015</v>
      </c>
      <c r="B70" s="6">
        <v>12069</v>
      </c>
      <c r="C70" s="29" t="s">
        <v>651</v>
      </c>
      <c r="D70" s="6" t="s">
        <v>441</v>
      </c>
      <c r="E70" s="6">
        <v>12070</v>
      </c>
      <c r="F70" s="17"/>
    </row>
    <row r="71" spans="1:6">
      <c r="A71" s="6">
        <v>10015</v>
      </c>
      <c r="B71" s="6">
        <v>12070</v>
      </c>
      <c r="C71" s="29" t="s">
        <v>644</v>
      </c>
      <c r="D71" s="6" t="s">
        <v>442</v>
      </c>
      <c r="E71" s="6">
        <v>0</v>
      </c>
      <c r="F71" s="17"/>
    </row>
    <row r="72" spans="1:6">
      <c r="A72" s="6">
        <v>10016</v>
      </c>
      <c r="B72" s="6">
        <v>12071</v>
      </c>
      <c r="C72" s="29" t="s">
        <v>651</v>
      </c>
      <c r="D72" s="6" t="s">
        <v>50</v>
      </c>
      <c r="E72" s="6">
        <v>12072</v>
      </c>
      <c r="F72" s="17"/>
    </row>
    <row r="73" spans="1:6">
      <c r="A73" s="6">
        <v>10016</v>
      </c>
      <c r="B73" s="6">
        <v>12072</v>
      </c>
      <c r="C73" s="29" t="s">
        <v>653</v>
      </c>
      <c r="D73" s="6" t="s">
        <v>51</v>
      </c>
      <c r="E73" s="6">
        <v>12073</v>
      </c>
      <c r="F73" s="17"/>
    </row>
    <row r="74" spans="1:6">
      <c r="A74" s="6">
        <v>10016</v>
      </c>
      <c r="B74" s="6">
        <v>12073</v>
      </c>
      <c r="C74" s="29" t="s">
        <v>643</v>
      </c>
      <c r="D74" s="6" t="s">
        <v>93</v>
      </c>
      <c r="E74" s="6">
        <v>12074</v>
      </c>
      <c r="F74" s="17"/>
    </row>
    <row r="75" spans="1:6">
      <c r="A75" s="6">
        <v>10016</v>
      </c>
      <c r="B75" s="6">
        <v>12074</v>
      </c>
      <c r="C75" s="29" t="s">
        <v>644</v>
      </c>
      <c r="D75" s="6" t="s">
        <v>94</v>
      </c>
      <c r="E75" s="6">
        <v>0</v>
      </c>
      <c r="F75" s="17"/>
    </row>
    <row r="76" spans="1:6">
      <c r="A76" s="6">
        <v>10017</v>
      </c>
      <c r="B76" s="6">
        <v>12075</v>
      </c>
      <c r="C76" s="29" t="s">
        <v>648</v>
      </c>
      <c r="D76" s="6" t="s">
        <v>97</v>
      </c>
      <c r="E76" s="6">
        <v>12076</v>
      </c>
      <c r="F76" s="17"/>
    </row>
    <row r="77" spans="1:6">
      <c r="A77" s="6">
        <v>10017</v>
      </c>
      <c r="B77" s="6">
        <v>12076</v>
      </c>
      <c r="C77" s="29">
        <v>20001</v>
      </c>
      <c r="D77" s="6" t="s">
        <v>98</v>
      </c>
      <c r="E77" s="6">
        <v>12077</v>
      </c>
      <c r="F77" s="17"/>
    </row>
    <row r="78" spans="1:6">
      <c r="A78" s="6">
        <v>10017</v>
      </c>
      <c r="B78" s="6">
        <v>12077</v>
      </c>
      <c r="C78" s="29" t="s">
        <v>648</v>
      </c>
      <c r="D78" s="6" t="s">
        <v>99</v>
      </c>
      <c r="E78" s="6">
        <v>12078</v>
      </c>
      <c r="F78" s="17"/>
    </row>
    <row r="79" spans="1:6">
      <c r="A79" s="6">
        <v>10017</v>
      </c>
      <c r="B79" s="6">
        <v>12078</v>
      </c>
      <c r="C79" s="29">
        <v>20001</v>
      </c>
      <c r="D79" s="6" t="s">
        <v>100</v>
      </c>
      <c r="E79" s="6">
        <v>12079</v>
      </c>
      <c r="F79" s="17"/>
    </row>
    <row r="80" spans="1:6">
      <c r="A80" s="6">
        <v>10017</v>
      </c>
      <c r="B80" s="6">
        <v>12079</v>
      </c>
      <c r="C80" s="29" t="s">
        <v>648</v>
      </c>
      <c r="D80" s="6" t="s">
        <v>417</v>
      </c>
      <c r="E80" s="6">
        <v>12080</v>
      </c>
      <c r="F80" s="17"/>
    </row>
    <row r="81" spans="1:6">
      <c r="A81" s="6">
        <v>10017</v>
      </c>
      <c r="B81" s="6">
        <v>12080</v>
      </c>
      <c r="C81" s="29">
        <v>20001</v>
      </c>
      <c r="D81" s="6" t="s">
        <v>101</v>
      </c>
      <c r="E81" s="6">
        <v>12081</v>
      </c>
      <c r="F81" s="17"/>
    </row>
    <row r="82" spans="1:6">
      <c r="A82" s="6">
        <v>10017</v>
      </c>
      <c r="B82" s="6">
        <v>12081</v>
      </c>
      <c r="C82" s="29" t="s">
        <v>648</v>
      </c>
      <c r="D82" s="6" t="s">
        <v>596</v>
      </c>
      <c r="E82" s="6">
        <v>0</v>
      </c>
      <c r="F82" s="17"/>
    </row>
    <row r="83" spans="1:6">
      <c r="A83" s="6">
        <v>10018</v>
      </c>
      <c r="B83" s="6">
        <v>12082</v>
      </c>
      <c r="C83" s="29" t="s">
        <v>648</v>
      </c>
      <c r="D83" s="6" t="s">
        <v>418</v>
      </c>
      <c r="E83" s="6">
        <v>12083</v>
      </c>
      <c r="F83" s="17"/>
    </row>
    <row r="84" spans="1:6">
      <c r="A84" s="6">
        <v>10018</v>
      </c>
      <c r="B84" s="6">
        <v>12083</v>
      </c>
      <c r="C84" s="29" t="s">
        <v>644</v>
      </c>
      <c r="D84" s="6" t="s">
        <v>53</v>
      </c>
      <c r="E84" s="6">
        <v>12084</v>
      </c>
      <c r="F84" s="17"/>
    </row>
    <row r="85" spans="1:6">
      <c r="A85" s="6">
        <v>10018</v>
      </c>
      <c r="B85" s="6">
        <v>12084</v>
      </c>
      <c r="C85" s="29" t="s">
        <v>648</v>
      </c>
      <c r="D85" s="6" t="s">
        <v>54</v>
      </c>
      <c r="E85" s="6">
        <v>12085</v>
      </c>
      <c r="F85" s="17"/>
    </row>
    <row r="86" spans="1:6">
      <c r="A86" s="6">
        <v>10018</v>
      </c>
      <c r="B86" s="6">
        <v>12085</v>
      </c>
      <c r="C86" s="29" t="s">
        <v>644</v>
      </c>
      <c r="D86" s="6" t="s">
        <v>55</v>
      </c>
      <c r="E86" s="6">
        <v>12086</v>
      </c>
      <c r="F86" s="17"/>
    </row>
    <row r="87" spans="1:6">
      <c r="A87" s="6">
        <v>10018</v>
      </c>
      <c r="B87" s="6">
        <v>12086</v>
      </c>
      <c r="C87" s="29" t="s">
        <v>643</v>
      </c>
      <c r="D87" s="6" t="s">
        <v>56</v>
      </c>
      <c r="E87" s="6">
        <v>12087</v>
      </c>
      <c r="F87" s="17"/>
    </row>
    <row r="88" spans="1:6">
      <c r="A88" s="6">
        <v>10018</v>
      </c>
      <c r="B88" s="6">
        <v>12087</v>
      </c>
      <c r="C88" s="29">
        <v>20001</v>
      </c>
      <c r="D88" s="6" t="s">
        <v>419</v>
      </c>
      <c r="E88" s="6">
        <v>0</v>
      </c>
      <c r="F88" s="17"/>
    </row>
    <row r="89" spans="1:6">
      <c r="A89" s="6">
        <v>10019</v>
      </c>
      <c r="B89" s="6">
        <v>12088</v>
      </c>
      <c r="C89" s="29" t="s">
        <v>654</v>
      </c>
      <c r="D89" s="6" t="s">
        <v>102</v>
      </c>
      <c r="E89" s="6">
        <v>12089</v>
      </c>
      <c r="F89" s="17"/>
    </row>
    <row r="90" spans="1:6">
      <c r="A90" s="6">
        <v>10019</v>
      </c>
      <c r="B90" s="6">
        <v>12089</v>
      </c>
      <c r="C90" s="29">
        <v>20001</v>
      </c>
      <c r="D90" s="6" t="s">
        <v>57</v>
      </c>
      <c r="E90" s="6">
        <v>12090</v>
      </c>
      <c r="F90" s="17"/>
    </row>
    <row r="91" spans="1:6">
      <c r="A91" s="6">
        <v>10019</v>
      </c>
      <c r="B91" s="6">
        <v>12090</v>
      </c>
      <c r="C91" s="29" t="s">
        <v>654</v>
      </c>
      <c r="D91" s="6" t="s">
        <v>103</v>
      </c>
      <c r="E91" s="6">
        <v>12091</v>
      </c>
      <c r="F91" s="17"/>
    </row>
    <row r="92" spans="1:6">
      <c r="A92" s="6">
        <v>10019</v>
      </c>
      <c r="B92" s="6">
        <v>12091</v>
      </c>
      <c r="C92" s="29">
        <v>20001</v>
      </c>
      <c r="D92" s="6" t="s">
        <v>104</v>
      </c>
      <c r="E92" s="6">
        <v>12092</v>
      </c>
      <c r="F92" s="17"/>
    </row>
    <row r="93" spans="1:6">
      <c r="A93" s="6">
        <v>10019</v>
      </c>
      <c r="B93" s="6">
        <v>12092</v>
      </c>
      <c r="C93" s="29" t="s">
        <v>654</v>
      </c>
      <c r="D93" s="6" t="s">
        <v>105</v>
      </c>
      <c r="E93" s="6">
        <v>12093</v>
      </c>
      <c r="F93" s="17"/>
    </row>
    <row r="94" spans="1:6">
      <c r="A94" s="6">
        <v>10019</v>
      </c>
      <c r="B94" s="6">
        <v>12093</v>
      </c>
      <c r="C94" s="29" t="s">
        <v>654</v>
      </c>
      <c r="D94" s="6" t="s">
        <v>420</v>
      </c>
      <c r="E94" s="6">
        <v>12094</v>
      </c>
      <c r="F94" s="17"/>
    </row>
    <row r="95" spans="1:6">
      <c r="A95" s="6">
        <v>10019</v>
      </c>
      <c r="B95" s="6">
        <v>12094</v>
      </c>
      <c r="C95" s="29">
        <v>20001</v>
      </c>
      <c r="D95" s="6" t="s">
        <v>421</v>
      </c>
      <c r="E95" s="6">
        <v>0</v>
      </c>
      <c r="F95" s="17"/>
    </row>
    <row r="96" spans="1:6">
      <c r="A96" s="6">
        <v>10020</v>
      </c>
      <c r="B96" s="6">
        <v>12095</v>
      </c>
      <c r="C96" s="29" t="s">
        <v>644</v>
      </c>
      <c r="D96" s="6" t="s">
        <v>106</v>
      </c>
      <c r="E96" s="6">
        <v>12096</v>
      </c>
      <c r="F96" s="17"/>
    </row>
    <row r="97" spans="1:6">
      <c r="A97" s="6">
        <v>10020</v>
      </c>
      <c r="B97" s="6">
        <v>12096</v>
      </c>
      <c r="C97" s="29" t="s">
        <v>654</v>
      </c>
      <c r="D97" s="6" t="s">
        <v>597</v>
      </c>
      <c r="E97" s="6">
        <v>12097</v>
      </c>
      <c r="F97" s="17"/>
    </row>
    <row r="98" spans="1:6">
      <c r="A98" s="6">
        <v>10020</v>
      </c>
      <c r="B98" s="6">
        <v>12097</v>
      </c>
      <c r="C98" s="29" t="s">
        <v>644</v>
      </c>
      <c r="D98" s="6" t="s">
        <v>107</v>
      </c>
      <c r="E98" s="6">
        <v>12098</v>
      </c>
      <c r="F98" s="17"/>
    </row>
    <row r="99" spans="1:6">
      <c r="A99" s="6">
        <v>10020</v>
      </c>
      <c r="B99" s="6">
        <v>12098</v>
      </c>
      <c r="C99" s="29" t="s">
        <v>654</v>
      </c>
      <c r="D99" s="6" t="s">
        <v>598</v>
      </c>
      <c r="E99" s="6">
        <v>0</v>
      </c>
      <c r="F99" s="17"/>
    </row>
    <row r="100" spans="1:6" s="22" customFormat="1">
      <c r="A100" s="6">
        <v>10021</v>
      </c>
      <c r="B100" s="6">
        <v>12099</v>
      </c>
      <c r="C100" s="29" t="s">
        <v>655</v>
      </c>
      <c r="D100" s="6" t="s">
        <v>599</v>
      </c>
      <c r="E100" s="6">
        <v>12100</v>
      </c>
      <c r="F100" s="18"/>
    </row>
    <row r="101" spans="1:6">
      <c r="A101" s="6">
        <v>10021</v>
      </c>
      <c r="B101" s="6">
        <v>12100</v>
      </c>
      <c r="C101" s="29">
        <v>20001</v>
      </c>
      <c r="D101" s="6" t="s">
        <v>600</v>
      </c>
      <c r="E101" s="6">
        <v>12101</v>
      </c>
      <c r="F101" s="17"/>
    </row>
    <row r="102" spans="1:6">
      <c r="A102" s="6">
        <v>10021</v>
      </c>
      <c r="B102" s="6">
        <v>12101</v>
      </c>
      <c r="C102" s="29" t="s">
        <v>644</v>
      </c>
      <c r="D102" s="6" t="s">
        <v>601</v>
      </c>
      <c r="E102" s="6">
        <v>12102</v>
      </c>
      <c r="F102" s="17"/>
    </row>
    <row r="103" spans="1:6">
      <c r="A103" s="6">
        <v>10021</v>
      </c>
      <c r="B103" s="6">
        <v>12102</v>
      </c>
      <c r="C103" s="29" t="s">
        <v>655</v>
      </c>
      <c r="D103" s="6" t="s">
        <v>602</v>
      </c>
      <c r="E103" s="6">
        <v>12103</v>
      </c>
      <c r="F103" s="17"/>
    </row>
    <row r="104" spans="1:6">
      <c r="A104" s="6">
        <v>10021</v>
      </c>
      <c r="B104" s="6">
        <v>12103</v>
      </c>
      <c r="C104" s="29">
        <v>20001</v>
      </c>
      <c r="D104" s="6" t="s">
        <v>603</v>
      </c>
      <c r="E104" s="6">
        <v>12104</v>
      </c>
      <c r="F104" s="17"/>
    </row>
    <row r="105" spans="1:6">
      <c r="A105" s="6">
        <v>10021</v>
      </c>
      <c r="B105" s="6">
        <v>12104</v>
      </c>
      <c r="C105" s="29" t="s">
        <v>655</v>
      </c>
      <c r="D105" s="6" t="s">
        <v>604</v>
      </c>
      <c r="E105" s="6">
        <v>0</v>
      </c>
      <c r="F105" s="17"/>
    </row>
    <row r="106" spans="1:6">
      <c r="A106" s="6">
        <v>10022</v>
      </c>
      <c r="B106" s="6">
        <v>12105</v>
      </c>
      <c r="C106" s="29" t="s">
        <v>655</v>
      </c>
      <c r="D106" s="6" t="s">
        <v>605</v>
      </c>
      <c r="E106" s="6">
        <v>12106</v>
      </c>
      <c r="F106" s="17"/>
    </row>
    <row r="107" spans="1:6">
      <c r="A107" s="6">
        <v>10022</v>
      </c>
      <c r="B107" s="6">
        <v>12106</v>
      </c>
      <c r="C107" s="29" t="s">
        <v>644</v>
      </c>
      <c r="D107" s="6" t="s">
        <v>606</v>
      </c>
      <c r="E107" s="6">
        <v>12107</v>
      </c>
      <c r="F107" s="17"/>
    </row>
    <row r="108" spans="1:6">
      <c r="A108" s="6">
        <v>10022</v>
      </c>
      <c r="B108" s="6">
        <v>12107</v>
      </c>
      <c r="C108" s="29">
        <v>20001</v>
      </c>
      <c r="D108" s="6" t="s">
        <v>607</v>
      </c>
      <c r="E108" s="6">
        <v>12108</v>
      </c>
      <c r="F108" s="17"/>
    </row>
    <row r="109" spans="1:6">
      <c r="A109" s="6">
        <v>10022</v>
      </c>
      <c r="B109" s="6">
        <v>12108</v>
      </c>
      <c r="C109" s="29" t="s">
        <v>643</v>
      </c>
      <c r="D109" s="6" t="s">
        <v>608</v>
      </c>
      <c r="E109" s="6">
        <v>0</v>
      </c>
      <c r="F109" s="17"/>
    </row>
    <row r="110" spans="1:6">
      <c r="A110" s="6">
        <v>10023</v>
      </c>
      <c r="B110" s="6">
        <v>12109</v>
      </c>
      <c r="C110" s="29" t="s">
        <v>656</v>
      </c>
      <c r="D110" s="6" t="s">
        <v>108</v>
      </c>
      <c r="E110" s="6">
        <v>12110</v>
      </c>
      <c r="F110" s="17"/>
    </row>
    <row r="111" spans="1:6">
      <c r="A111" s="6">
        <v>10023</v>
      </c>
      <c r="B111" s="6">
        <v>12110</v>
      </c>
      <c r="C111" s="29">
        <v>20001</v>
      </c>
      <c r="D111" s="6" t="s">
        <v>58</v>
      </c>
      <c r="E111" s="6">
        <v>12111</v>
      </c>
      <c r="F111" s="17"/>
    </row>
    <row r="112" spans="1:6" s="22" customFormat="1">
      <c r="A112" s="6">
        <v>10023</v>
      </c>
      <c r="B112" s="6">
        <v>12111</v>
      </c>
      <c r="C112" s="29" t="s">
        <v>656</v>
      </c>
      <c r="D112" s="6" t="s">
        <v>59</v>
      </c>
      <c r="E112" s="6">
        <v>12112</v>
      </c>
      <c r="F112" s="18"/>
    </row>
    <row r="113" spans="1:6">
      <c r="A113" s="6">
        <v>10023</v>
      </c>
      <c r="B113" s="6">
        <v>12112</v>
      </c>
      <c r="C113" s="29">
        <v>20001</v>
      </c>
      <c r="D113" s="6" t="s">
        <v>60</v>
      </c>
      <c r="E113" s="6">
        <v>0</v>
      </c>
      <c r="F113" s="17"/>
    </row>
    <row r="114" spans="1:6">
      <c r="A114" s="6">
        <v>10024</v>
      </c>
      <c r="B114" s="6">
        <v>12113</v>
      </c>
      <c r="C114" s="29">
        <v>20001</v>
      </c>
      <c r="D114" s="6" t="s">
        <v>61</v>
      </c>
      <c r="E114" s="6">
        <v>12114</v>
      </c>
      <c r="F114" s="17"/>
    </row>
    <row r="115" spans="1:6" s="17" customFormat="1">
      <c r="A115" s="6">
        <v>10024</v>
      </c>
      <c r="B115" s="6">
        <v>12114</v>
      </c>
      <c r="C115" s="29" t="s">
        <v>656</v>
      </c>
      <c r="D115" s="6" t="s">
        <v>609</v>
      </c>
      <c r="E115" s="6">
        <v>0</v>
      </c>
    </row>
    <row r="116" spans="1:6" s="23" customFormat="1">
      <c r="A116" s="6">
        <v>10025</v>
      </c>
      <c r="B116" s="6">
        <v>12115</v>
      </c>
      <c r="C116" s="29" t="s">
        <v>657</v>
      </c>
      <c r="D116" s="6" t="s">
        <v>109</v>
      </c>
      <c r="E116" s="6">
        <v>12116</v>
      </c>
    </row>
    <row r="117" spans="1:6" s="21" customFormat="1">
      <c r="A117" s="6">
        <v>10025</v>
      </c>
      <c r="B117" s="6">
        <v>12116</v>
      </c>
      <c r="C117" s="29">
        <v>20001</v>
      </c>
      <c r="D117" s="6" t="s">
        <v>610</v>
      </c>
      <c r="E117" s="6">
        <v>12117</v>
      </c>
    </row>
    <row r="118" spans="1:6">
      <c r="A118" s="6">
        <v>10025</v>
      </c>
      <c r="B118" s="6">
        <v>12117</v>
      </c>
      <c r="C118" s="29" t="s">
        <v>657</v>
      </c>
      <c r="D118" s="6" t="s">
        <v>110</v>
      </c>
      <c r="E118" s="6">
        <v>12118</v>
      </c>
      <c r="F118" s="17"/>
    </row>
    <row r="119" spans="1:6">
      <c r="A119" s="6">
        <v>10025</v>
      </c>
      <c r="B119" s="6">
        <v>12118</v>
      </c>
      <c r="C119" s="29">
        <v>20001</v>
      </c>
      <c r="D119" s="6" t="s">
        <v>111</v>
      </c>
      <c r="E119" s="6">
        <v>12119</v>
      </c>
      <c r="F119" s="17"/>
    </row>
    <row r="120" spans="1:6">
      <c r="A120" s="6">
        <v>10025</v>
      </c>
      <c r="B120" s="6">
        <v>12119</v>
      </c>
      <c r="C120" s="29" t="s">
        <v>657</v>
      </c>
      <c r="D120" s="6" t="s">
        <v>112</v>
      </c>
      <c r="E120" s="6">
        <v>0</v>
      </c>
      <c r="F120" s="17"/>
    </row>
    <row r="121" spans="1:6">
      <c r="A121" s="6">
        <v>10026</v>
      </c>
      <c r="B121" s="6">
        <v>12120</v>
      </c>
      <c r="C121" s="29" t="s">
        <v>657</v>
      </c>
      <c r="D121" s="6" t="s">
        <v>113</v>
      </c>
      <c r="E121" s="6">
        <v>12121</v>
      </c>
      <c r="F121" s="17"/>
    </row>
    <row r="122" spans="1:6">
      <c r="A122" s="6">
        <v>10026</v>
      </c>
      <c r="B122" s="6">
        <v>12121</v>
      </c>
      <c r="C122" s="29">
        <v>20001</v>
      </c>
      <c r="D122" s="6" t="s">
        <v>62</v>
      </c>
      <c r="E122" s="6">
        <v>12122</v>
      </c>
      <c r="F122" s="17"/>
    </row>
    <row r="123" spans="1:6">
      <c r="A123" s="6">
        <v>10026</v>
      </c>
      <c r="B123" s="6">
        <v>12122</v>
      </c>
      <c r="C123" s="29" t="s">
        <v>657</v>
      </c>
      <c r="D123" s="6" t="s">
        <v>114</v>
      </c>
      <c r="E123" s="6">
        <v>12123</v>
      </c>
      <c r="F123" s="17"/>
    </row>
    <row r="124" spans="1:6">
      <c r="A124" s="6">
        <v>10026</v>
      </c>
      <c r="B124" s="6">
        <v>12123</v>
      </c>
      <c r="C124" s="29">
        <v>20001</v>
      </c>
      <c r="D124" s="6" t="s">
        <v>115</v>
      </c>
      <c r="E124" s="6">
        <v>12124</v>
      </c>
      <c r="F124" s="17"/>
    </row>
    <row r="125" spans="1:6">
      <c r="A125" s="6">
        <v>10026</v>
      </c>
      <c r="B125" s="6">
        <v>12124</v>
      </c>
      <c r="C125" s="29" t="s">
        <v>657</v>
      </c>
      <c r="D125" s="6" t="s">
        <v>116</v>
      </c>
      <c r="E125" s="6">
        <v>0</v>
      </c>
      <c r="F125" s="17"/>
    </row>
    <row r="126" spans="1:6">
      <c r="A126" s="6">
        <v>10027</v>
      </c>
      <c r="B126" s="6">
        <v>12125</v>
      </c>
      <c r="C126" s="29">
        <v>20001</v>
      </c>
      <c r="D126" s="6" t="s">
        <v>117</v>
      </c>
      <c r="E126" s="6">
        <v>12126</v>
      </c>
      <c r="F126" s="17"/>
    </row>
    <row r="127" spans="1:6">
      <c r="A127" s="6">
        <v>10027</v>
      </c>
      <c r="B127" s="6">
        <v>12126</v>
      </c>
      <c r="C127" s="29" t="s">
        <v>643</v>
      </c>
      <c r="D127" s="6" t="s">
        <v>118</v>
      </c>
      <c r="E127" s="6">
        <v>12127</v>
      </c>
      <c r="F127" s="17"/>
    </row>
    <row r="128" spans="1:6">
      <c r="A128" s="6">
        <v>10027</v>
      </c>
      <c r="B128" s="6">
        <v>12127</v>
      </c>
      <c r="C128" s="29" t="s">
        <v>658</v>
      </c>
      <c r="D128" s="6" t="s">
        <v>119</v>
      </c>
      <c r="E128" s="6">
        <v>12128</v>
      </c>
      <c r="F128" s="17"/>
    </row>
    <row r="129" spans="1:6">
      <c r="A129" s="6">
        <v>10027</v>
      </c>
      <c r="B129" s="6">
        <v>12128</v>
      </c>
      <c r="C129" s="29">
        <v>20001</v>
      </c>
      <c r="D129" s="6" t="s">
        <v>120</v>
      </c>
      <c r="E129" s="6">
        <v>12129</v>
      </c>
      <c r="F129" s="17"/>
    </row>
    <row r="130" spans="1:6">
      <c r="A130" s="6">
        <v>10027</v>
      </c>
      <c r="B130" s="6">
        <v>12129</v>
      </c>
      <c r="C130" s="29" t="s">
        <v>658</v>
      </c>
      <c r="D130" s="6" t="s">
        <v>121</v>
      </c>
      <c r="E130" s="6">
        <v>0</v>
      </c>
      <c r="F130" s="17"/>
    </row>
    <row r="131" spans="1:6">
      <c r="A131" s="6">
        <v>10028</v>
      </c>
      <c r="B131" s="6">
        <v>12130</v>
      </c>
      <c r="C131" s="29" t="s">
        <v>658</v>
      </c>
      <c r="D131" s="6" t="s">
        <v>122</v>
      </c>
      <c r="E131" s="6">
        <v>12131</v>
      </c>
      <c r="F131" s="17"/>
    </row>
    <row r="132" spans="1:6">
      <c r="A132" s="6">
        <v>10028</v>
      </c>
      <c r="B132" s="6">
        <v>12131</v>
      </c>
      <c r="C132" s="29">
        <v>20001</v>
      </c>
      <c r="D132" s="6" t="s">
        <v>123</v>
      </c>
      <c r="E132" s="6">
        <v>12132</v>
      </c>
      <c r="F132" s="17"/>
    </row>
    <row r="133" spans="1:6">
      <c r="A133" s="6">
        <v>10028</v>
      </c>
      <c r="B133" s="6">
        <v>12132</v>
      </c>
      <c r="C133" s="29" t="s">
        <v>643</v>
      </c>
      <c r="D133" s="6" t="s">
        <v>124</v>
      </c>
      <c r="E133" s="6">
        <v>12133</v>
      </c>
      <c r="F133" s="17"/>
    </row>
    <row r="134" spans="1:6">
      <c r="A134" s="6">
        <v>10028</v>
      </c>
      <c r="B134" s="6">
        <v>12133</v>
      </c>
      <c r="C134" s="29" t="s">
        <v>658</v>
      </c>
      <c r="D134" s="6" t="s">
        <v>125</v>
      </c>
      <c r="E134" s="6">
        <v>12134</v>
      </c>
      <c r="F134" s="17"/>
    </row>
    <row r="135" spans="1:6">
      <c r="A135" s="6">
        <v>10028</v>
      </c>
      <c r="B135" s="6">
        <v>12134</v>
      </c>
      <c r="C135" s="29">
        <v>20001</v>
      </c>
      <c r="D135" s="6" t="s">
        <v>126</v>
      </c>
      <c r="E135" s="6">
        <v>0</v>
      </c>
      <c r="F135" s="17"/>
    </row>
    <row r="136" spans="1:6">
      <c r="A136" s="6">
        <v>10029</v>
      </c>
      <c r="B136" s="6">
        <v>12135</v>
      </c>
      <c r="C136" s="29">
        <v>20001</v>
      </c>
      <c r="D136" s="6" t="s">
        <v>127</v>
      </c>
      <c r="E136" s="6">
        <v>12136</v>
      </c>
      <c r="F136" s="17"/>
    </row>
    <row r="137" spans="1:6">
      <c r="A137" s="6">
        <v>10029</v>
      </c>
      <c r="B137" s="6">
        <v>12136</v>
      </c>
      <c r="C137" s="29" t="s">
        <v>643</v>
      </c>
      <c r="D137" s="6" t="s">
        <v>128</v>
      </c>
      <c r="E137" s="6">
        <v>12137</v>
      </c>
      <c r="F137" s="17"/>
    </row>
    <row r="138" spans="1:6">
      <c r="A138" s="6">
        <v>10029</v>
      </c>
      <c r="B138" s="6">
        <v>12137</v>
      </c>
      <c r="C138" s="29">
        <v>20001</v>
      </c>
      <c r="D138" s="6" t="s">
        <v>129</v>
      </c>
      <c r="E138" s="6">
        <v>12138</v>
      </c>
      <c r="F138" s="17"/>
    </row>
    <row r="139" spans="1:6">
      <c r="A139" s="6">
        <v>10029</v>
      </c>
      <c r="B139" s="6">
        <v>12138</v>
      </c>
      <c r="C139" s="29" t="s">
        <v>659</v>
      </c>
      <c r="D139" s="6" t="s">
        <v>63</v>
      </c>
      <c r="E139" s="6">
        <v>12139</v>
      </c>
      <c r="F139" s="17"/>
    </row>
    <row r="140" spans="1:6">
      <c r="A140" s="6">
        <v>10029</v>
      </c>
      <c r="B140" s="6">
        <v>12139</v>
      </c>
      <c r="C140" s="29">
        <v>20001</v>
      </c>
      <c r="D140" s="6" t="s">
        <v>611</v>
      </c>
      <c r="E140" s="6">
        <v>12140</v>
      </c>
      <c r="F140" s="17"/>
    </row>
    <row r="141" spans="1:6">
      <c r="A141" s="6">
        <v>10029</v>
      </c>
      <c r="B141" s="6">
        <v>12140</v>
      </c>
      <c r="C141" s="29" t="s">
        <v>659</v>
      </c>
      <c r="D141" s="6" t="s">
        <v>130</v>
      </c>
      <c r="E141" s="6">
        <v>12141</v>
      </c>
      <c r="F141" s="17"/>
    </row>
    <row r="142" spans="1:6" s="18" customFormat="1">
      <c r="A142" s="6">
        <v>10029</v>
      </c>
      <c r="B142" s="6">
        <v>12141</v>
      </c>
      <c r="C142" s="29">
        <v>20001</v>
      </c>
      <c r="D142" s="6" t="s">
        <v>612</v>
      </c>
      <c r="E142" s="6">
        <v>12142</v>
      </c>
    </row>
    <row r="143" spans="1:6" s="17" customFormat="1">
      <c r="A143" s="6">
        <v>10029</v>
      </c>
      <c r="B143" s="6">
        <v>12142</v>
      </c>
      <c r="C143" s="29" t="s">
        <v>643</v>
      </c>
      <c r="D143" s="6" t="s">
        <v>131</v>
      </c>
      <c r="E143" s="6">
        <v>0</v>
      </c>
    </row>
    <row r="144" spans="1:6" s="17" customFormat="1">
      <c r="A144" s="6">
        <v>10030</v>
      </c>
      <c r="B144" s="6">
        <v>12143</v>
      </c>
      <c r="C144" s="29" t="s">
        <v>659</v>
      </c>
      <c r="D144" s="6" t="s">
        <v>64</v>
      </c>
      <c r="E144" s="6">
        <v>12144</v>
      </c>
    </row>
    <row r="145" spans="1:6" s="17" customFormat="1">
      <c r="A145" s="6">
        <v>10030</v>
      </c>
      <c r="B145" s="6">
        <v>12144</v>
      </c>
      <c r="C145" s="29">
        <v>20001</v>
      </c>
      <c r="D145" s="6" t="s">
        <v>132</v>
      </c>
      <c r="E145" s="6">
        <v>12145</v>
      </c>
    </row>
    <row r="146" spans="1:6">
      <c r="A146" s="6">
        <v>10030</v>
      </c>
      <c r="B146" s="6">
        <v>12145</v>
      </c>
      <c r="C146" s="29" t="s">
        <v>659</v>
      </c>
      <c r="D146" s="6" t="s">
        <v>133</v>
      </c>
      <c r="E146" s="6">
        <v>12146</v>
      </c>
      <c r="F146" s="17"/>
    </row>
    <row r="147" spans="1:6">
      <c r="A147" s="6">
        <v>10030</v>
      </c>
      <c r="B147" s="6">
        <v>12146</v>
      </c>
      <c r="C147" s="29">
        <v>20001</v>
      </c>
      <c r="D147" s="6" t="s">
        <v>134</v>
      </c>
      <c r="E147" s="6">
        <v>12147</v>
      </c>
      <c r="F147" s="17"/>
    </row>
    <row r="148" spans="1:6">
      <c r="A148" s="6">
        <v>10030</v>
      </c>
      <c r="B148" s="6">
        <v>12147</v>
      </c>
      <c r="C148" s="29" t="s">
        <v>659</v>
      </c>
      <c r="D148" s="6" t="s">
        <v>135</v>
      </c>
      <c r="E148" s="6">
        <v>0</v>
      </c>
      <c r="F148" s="17"/>
    </row>
    <row r="149" spans="1:6">
      <c r="A149" s="6">
        <v>10031</v>
      </c>
      <c r="B149" s="6">
        <v>12148</v>
      </c>
      <c r="C149" s="29" t="s">
        <v>660</v>
      </c>
      <c r="D149" s="6" t="s">
        <v>65</v>
      </c>
      <c r="E149" s="6">
        <v>12149</v>
      </c>
      <c r="F149" s="17"/>
    </row>
    <row r="150" spans="1:6">
      <c r="A150" s="6">
        <v>10031</v>
      </c>
      <c r="B150" s="6">
        <v>12149</v>
      </c>
      <c r="C150" s="29">
        <v>20001</v>
      </c>
      <c r="D150" s="6" t="s">
        <v>136</v>
      </c>
      <c r="E150" s="6">
        <v>12150</v>
      </c>
      <c r="F150" s="17"/>
    </row>
    <row r="151" spans="1:6">
      <c r="A151" s="6">
        <v>10031</v>
      </c>
      <c r="B151" s="6">
        <v>12150</v>
      </c>
      <c r="C151" s="29" t="s">
        <v>660</v>
      </c>
      <c r="D151" s="6" t="s">
        <v>66</v>
      </c>
      <c r="E151" s="6">
        <v>12151</v>
      </c>
      <c r="F151" s="17"/>
    </row>
    <row r="152" spans="1:6" s="17" customFormat="1">
      <c r="A152" s="6">
        <v>10031</v>
      </c>
      <c r="B152" s="6">
        <v>12151</v>
      </c>
      <c r="C152" s="29">
        <v>20001</v>
      </c>
      <c r="D152" s="6" t="s">
        <v>67</v>
      </c>
      <c r="E152" s="6">
        <v>12152</v>
      </c>
    </row>
    <row r="153" spans="1:6">
      <c r="A153" s="6">
        <v>10031</v>
      </c>
      <c r="B153" s="6">
        <v>12152</v>
      </c>
      <c r="C153" s="29" t="s">
        <v>660</v>
      </c>
      <c r="D153" s="6" t="s">
        <v>137</v>
      </c>
      <c r="E153" s="6">
        <v>0</v>
      </c>
      <c r="F153" s="17"/>
    </row>
    <row r="154" spans="1:6">
      <c r="A154" s="6">
        <v>10032</v>
      </c>
      <c r="B154" s="6">
        <v>12153</v>
      </c>
      <c r="C154" s="29" t="s">
        <v>660</v>
      </c>
      <c r="D154" s="6" t="s">
        <v>68</v>
      </c>
      <c r="E154" s="6">
        <v>12154</v>
      </c>
      <c r="F154" s="17"/>
    </row>
    <row r="155" spans="1:6">
      <c r="A155" s="6">
        <v>10032</v>
      </c>
      <c r="B155" s="6">
        <v>12154</v>
      </c>
      <c r="C155" s="29">
        <v>20001</v>
      </c>
      <c r="D155" s="6" t="s">
        <v>69</v>
      </c>
      <c r="E155" s="6">
        <v>0</v>
      </c>
      <c r="F155" s="17"/>
    </row>
    <row r="156" spans="1:6">
      <c r="A156" s="6">
        <v>10033</v>
      </c>
      <c r="B156" s="6">
        <v>12155</v>
      </c>
      <c r="C156" s="29">
        <v>50108</v>
      </c>
      <c r="D156" s="6" t="s">
        <v>613</v>
      </c>
      <c r="E156" s="6">
        <v>12156</v>
      </c>
      <c r="F156" s="17"/>
    </row>
    <row r="157" spans="1:6">
      <c r="A157" s="6">
        <v>10033</v>
      </c>
      <c r="B157" s="6">
        <v>12156</v>
      </c>
      <c r="C157" s="29">
        <v>20001</v>
      </c>
      <c r="D157" s="6" t="s">
        <v>691</v>
      </c>
      <c r="E157" s="6">
        <v>12157</v>
      </c>
      <c r="F157" s="17"/>
    </row>
    <row r="158" spans="1:6">
      <c r="A158" s="6">
        <v>10033</v>
      </c>
      <c r="B158" s="6">
        <v>12157</v>
      </c>
      <c r="C158" s="29">
        <v>50108</v>
      </c>
      <c r="D158" s="6" t="s">
        <v>138</v>
      </c>
      <c r="E158" s="6">
        <v>12158</v>
      </c>
      <c r="F158" s="17"/>
    </row>
    <row r="159" spans="1:6">
      <c r="A159" s="6">
        <v>10033</v>
      </c>
      <c r="B159" s="6">
        <v>12158</v>
      </c>
      <c r="C159" s="29">
        <v>20001</v>
      </c>
      <c r="D159" s="6" t="s">
        <v>139</v>
      </c>
      <c r="E159" s="6">
        <v>12159</v>
      </c>
      <c r="F159" s="17"/>
    </row>
    <row r="160" spans="1:6">
      <c r="A160" s="6">
        <v>10033</v>
      </c>
      <c r="B160" s="6">
        <v>12159</v>
      </c>
      <c r="C160" s="29">
        <v>50108</v>
      </c>
      <c r="D160" s="6" t="s">
        <v>140</v>
      </c>
      <c r="E160" s="6">
        <v>0</v>
      </c>
      <c r="F160" s="17"/>
    </row>
    <row r="161" spans="1:6">
      <c r="A161" s="6">
        <v>10034</v>
      </c>
      <c r="B161" s="6">
        <v>12160</v>
      </c>
      <c r="C161" s="29">
        <v>50108</v>
      </c>
      <c r="D161" s="6" t="s">
        <v>141</v>
      </c>
      <c r="E161" s="6">
        <v>12161</v>
      </c>
      <c r="F161" s="17"/>
    </row>
    <row r="162" spans="1:6">
      <c r="A162" s="6">
        <v>10034</v>
      </c>
      <c r="B162" s="6">
        <v>12161</v>
      </c>
      <c r="C162" s="29">
        <v>20001</v>
      </c>
      <c r="D162" s="6" t="s">
        <v>142</v>
      </c>
      <c r="E162" s="6">
        <v>12162</v>
      </c>
      <c r="F162" s="17"/>
    </row>
    <row r="163" spans="1:6">
      <c r="A163" s="6">
        <v>10034</v>
      </c>
      <c r="B163" s="6">
        <v>12162</v>
      </c>
      <c r="C163" s="29">
        <v>50108</v>
      </c>
      <c r="D163" s="6" t="s">
        <v>143</v>
      </c>
      <c r="E163" s="6">
        <v>0</v>
      </c>
      <c r="F163" s="17"/>
    </row>
    <row r="164" spans="1:6">
      <c r="A164" s="6">
        <v>10035</v>
      </c>
      <c r="B164" s="6">
        <v>12163</v>
      </c>
      <c r="C164" s="29" t="s">
        <v>661</v>
      </c>
      <c r="D164" s="6" t="s">
        <v>614</v>
      </c>
      <c r="E164" s="6">
        <v>12164</v>
      </c>
      <c r="F164" s="17"/>
    </row>
    <row r="165" spans="1:6">
      <c r="A165" s="6">
        <v>10035</v>
      </c>
      <c r="B165" s="6">
        <v>12164</v>
      </c>
      <c r="C165" s="29">
        <v>20001</v>
      </c>
      <c r="D165" s="6" t="s">
        <v>144</v>
      </c>
      <c r="E165" s="6">
        <v>12165</v>
      </c>
      <c r="F165" s="17"/>
    </row>
    <row r="166" spans="1:6">
      <c r="A166" s="6">
        <v>10035</v>
      </c>
      <c r="B166" s="6">
        <v>12165</v>
      </c>
      <c r="C166" s="29" t="s">
        <v>661</v>
      </c>
      <c r="D166" s="6" t="s">
        <v>145</v>
      </c>
      <c r="E166" s="6">
        <v>12166</v>
      </c>
      <c r="F166" s="17"/>
    </row>
    <row r="167" spans="1:6">
      <c r="A167" s="6">
        <v>10035</v>
      </c>
      <c r="B167" s="6">
        <v>12166</v>
      </c>
      <c r="C167" s="29">
        <v>20001</v>
      </c>
      <c r="D167" s="6" t="s">
        <v>615</v>
      </c>
      <c r="E167" s="6">
        <v>0</v>
      </c>
      <c r="F167" s="17"/>
    </row>
    <row r="168" spans="1:6">
      <c r="A168" s="6">
        <v>10036</v>
      </c>
      <c r="B168" s="6">
        <v>12167</v>
      </c>
      <c r="C168" s="29" t="s">
        <v>662</v>
      </c>
      <c r="D168" s="6" t="s">
        <v>70</v>
      </c>
      <c r="E168" s="6">
        <v>12168</v>
      </c>
      <c r="F168" s="17"/>
    </row>
    <row r="169" spans="1:6">
      <c r="A169" s="6">
        <v>10036</v>
      </c>
      <c r="B169" s="6">
        <v>12168</v>
      </c>
      <c r="C169" s="29" t="s">
        <v>661</v>
      </c>
      <c r="D169" s="6" t="s">
        <v>146</v>
      </c>
      <c r="E169" s="6">
        <v>12169</v>
      </c>
      <c r="F169" s="17"/>
    </row>
    <row r="170" spans="1:6">
      <c r="A170" s="6">
        <v>10036</v>
      </c>
      <c r="B170" s="6">
        <v>12169</v>
      </c>
      <c r="C170" s="29">
        <v>20001</v>
      </c>
      <c r="D170" s="6" t="s">
        <v>147</v>
      </c>
      <c r="E170" s="6">
        <v>12170</v>
      </c>
      <c r="F170" s="17"/>
    </row>
    <row r="171" spans="1:6">
      <c r="A171" s="6">
        <v>10036</v>
      </c>
      <c r="B171" s="6">
        <v>12170</v>
      </c>
      <c r="C171" s="29" t="s">
        <v>661</v>
      </c>
      <c r="D171" s="6" t="s">
        <v>148</v>
      </c>
      <c r="E171" s="6">
        <v>0</v>
      </c>
      <c r="F171" s="17"/>
    </row>
    <row r="172" spans="1:6">
      <c r="A172" s="6">
        <v>10037</v>
      </c>
      <c r="B172" s="6">
        <v>12171</v>
      </c>
      <c r="C172" s="29">
        <v>20001</v>
      </c>
      <c r="D172" s="6" t="s">
        <v>616</v>
      </c>
      <c r="E172" s="6">
        <v>12172</v>
      </c>
      <c r="F172" s="17"/>
    </row>
    <row r="173" spans="1:6">
      <c r="A173" s="6">
        <v>10037</v>
      </c>
      <c r="B173" s="6">
        <v>12172</v>
      </c>
      <c r="C173" s="29" t="s">
        <v>663</v>
      </c>
      <c r="D173" s="6" t="s">
        <v>149</v>
      </c>
      <c r="E173" s="6">
        <v>12173</v>
      </c>
      <c r="F173" s="17"/>
    </row>
    <row r="174" spans="1:6">
      <c r="A174" s="6">
        <v>10037</v>
      </c>
      <c r="B174" s="6">
        <v>12173</v>
      </c>
      <c r="C174" s="29" t="s">
        <v>643</v>
      </c>
      <c r="D174" s="6" t="s">
        <v>150</v>
      </c>
      <c r="E174" s="6">
        <v>12174</v>
      </c>
      <c r="F174" s="17"/>
    </row>
    <row r="175" spans="1:6">
      <c r="A175" s="6">
        <v>10037</v>
      </c>
      <c r="B175" s="6">
        <v>12174</v>
      </c>
      <c r="C175" s="29">
        <v>20001</v>
      </c>
      <c r="D175" s="6" t="s">
        <v>151</v>
      </c>
      <c r="E175" s="6">
        <v>0</v>
      </c>
      <c r="F175" s="17"/>
    </row>
    <row r="176" spans="1:6">
      <c r="A176" s="6">
        <v>10038</v>
      </c>
      <c r="B176" s="6">
        <v>12175</v>
      </c>
      <c r="C176" s="29" t="s">
        <v>663</v>
      </c>
      <c r="D176" s="6" t="s">
        <v>152</v>
      </c>
      <c r="E176" s="6">
        <v>12176</v>
      </c>
      <c r="F176" s="17"/>
    </row>
    <row r="177" spans="1:6">
      <c r="A177" s="6">
        <v>10038</v>
      </c>
      <c r="B177" s="6">
        <v>12176</v>
      </c>
      <c r="C177" s="29">
        <v>20001</v>
      </c>
      <c r="D177" s="6" t="s">
        <v>617</v>
      </c>
      <c r="E177" s="6">
        <v>0</v>
      </c>
      <c r="F177" s="17"/>
    </row>
    <row r="178" spans="1:6">
      <c r="A178" s="6">
        <v>10039</v>
      </c>
      <c r="B178" s="6">
        <v>12177</v>
      </c>
      <c r="C178" s="29" t="s">
        <v>661</v>
      </c>
      <c r="D178" s="6" t="s">
        <v>153</v>
      </c>
      <c r="E178" s="6">
        <v>12178</v>
      </c>
      <c r="F178" s="17"/>
    </row>
    <row r="179" spans="1:6">
      <c r="A179" s="6">
        <v>10039</v>
      </c>
      <c r="B179" s="6">
        <v>12178</v>
      </c>
      <c r="C179" s="29">
        <v>20001</v>
      </c>
      <c r="D179" s="6" t="s">
        <v>154</v>
      </c>
      <c r="E179" s="6">
        <v>12179</v>
      </c>
      <c r="F179" s="17"/>
    </row>
    <row r="180" spans="1:6">
      <c r="A180" s="6">
        <v>10039</v>
      </c>
      <c r="B180" s="6">
        <v>12179</v>
      </c>
      <c r="C180" s="29" t="s">
        <v>664</v>
      </c>
      <c r="D180" s="6" t="s">
        <v>155</v>
      </c>
      <c r="E180" s="6">
        <v>12180</v>
      </c>
      <c r="F180" s="17"/>
    </row>
    <row r="181" spans="1:6">
      <c r="A181" s="6">
        <v>10039</v>
      </c>
      <c r="B181" s="6">
        <v>12180</v>
      </c>
      <c r="C181" s="29" t="s">
        <v>643</v>
      </c>
      <c r="D181" s="6" t="s">
        <v>156</v>
      </c>
      <c r="E181" s="6">
        <v>0</v>
      </c>
      <c r="F181" s="17"/>
    </row>
    <row r="182" spans="1:6">
      <c r="A182" s="6">
        <v>10040</v>
      </c>
      <c r="B182" s="6">
        <v>12181</v>
      </c>
      <c r="C182" s="29" t="s">
        <v>661</v>
      </c>
      <c r="D182" s="6" t="s">
        <v>157</v>
      </c>
      <c r="E182" s="6">
        <v>12182</v>
      </c>
      <c r="F182" s="17"/>
    </row>
    <row r="183" spans="1:6">
      <c r="A183" s="6">
        <v>10040</v>
      </c>
      <c r="B183" s="6">
        <v>12182</v>
      </c>
      <c r="C183" s="29">
        <v>20001</v>
      </c>
      <c r="D183" s="6" t="s">
        <v>158</v>
      </c>
      <c r="E183" s="6">
        <v>12183</v>
      </c>
      <c r="F183" s="17"/>
    </row>
    <row r="184" spans="1:6" s="19" customFormat="1">
      <c r="A184" s="6">
        <v>10040</v>
      </c>
      <c r="B184" s="6">
        <v>12183</v>
      </c>
      <c r="C184" s="29" t="s">
        <v>664</v>
      </c>
      <c r="D184" s="6" t="s">
        <v>159</v>
      </c>
      <c r="E184" s="6">
        <v>12184</v>
      </c>
    </row>
    <row r="185" spans="1:6">
      <c r="A185" s="6">
        <v>10040</v>
      </c>
      <c r="B185" s="6">
        <v>12184</v>
      </c>
      <c r="C185" s="29" t="s">
        <v>661</v>
      </c>
      <c r="D185" s="6" t="s">
        <v>160</v>
      </c>
      <c r="E185" s="6">
        <v>12185</v>
      </c>
      <c r="F185" s="17"/>
    </row>
    <row r="186" spans="1:6">
      <c r="A186" s="6">
        <v>10040</v>
      </c>
      <c r="B186" s="6">
        <v>12185</v>
      </c>
      <c r="C186" s="29" t="s">
        <v>664</v>
      </c>
      <c r="D186" s="6" t="s">
        <v>161</v>
      </c>
      <c r="E186" s="6">
        <v>0</v>
      </c>
      <c r="F186" s="17"/>
    </row>
    <row r="187" spans="1:6">
      <c r="A187" s="6">
        <v>10041</v>
      </c>
      <c r="B187" s="6">
        <v>12186</v>
      </c>
      <c r="C187" s="29" t="s">
        <v>665</v>
      </c>
      <c r="D187" s="6" t="s">
        <v>71</v>
      </c>
      <c r="E187" s="6">
        <v>12187</v>
      </c>
      <c r="F187" s="17"/>
    </row>
    <row r="188" spans="1:6">
      <c r="A188" s="6">
        <v>10041</v>
      </c>
      <c r="B188" s="6">
        <v>12187</v>
      </c>
      <c r="C188" s="29" t="s">
        <v>644</v>
      </c>
      <c r="D188" s="6" t="s">
        <v>72</v>
      </c>
      <c r="E188" s="6">
        <v>12188</v>
      </c>
      <c r="F188" s="17"/>
    </row>
    <row r="189" spans="1:6">
      <c r="A189" s="6">
        <v>10041</v>
      </c>
      <c r="B189" s="6">
        <v>12188</v>
      </c>
      <c r="C189" s="29" t="s">
        <v>665</v>
      </c>
      <c r="D189" s="6" t="s">
        <v>618</v>
      </c>
      <c r="E189" s="6">
        <v>12189</v>
      </c>
      <c r="F189" s="17"/>
    </row>
    <row r="190" spans="1:6">
      <c r="A190" s="6">
        <v>10041</v>
      </c>
      <c r="B190" s="6">
        <v>12189</v>
      </c>
      <c r="C190" s="29" t="s">
        <v>643</v>
      </c>
      <c r="D190" s="6" t="s">
        <v>162</v>
      </c>
      <c r="E190" s="6">
        <v>12190</v>
      </c>
      <c r="F190" s="17"/>
    </row>
    <row r="191" spans="1:6">
      <c r="A191" s="6">
        <v>10041</v>
      </c>
      <c r="B191" s="6">
        <v>12190</v>
      </c>
      <c r="C191" s="29">
        <v>20001</v>
      </c>
      <c r="D191" s="6" t="s">
        <v>163</v>
      </c>
      <c r="E191" s="6">
        <v>0</v>
      </c>
      <c r="F191" s="17"/>
    </row>
    <row r="192" spans="1:6">
      <c r="A192" s="6">
        <v>10042</v>
      </c>
      <c r="B192" s="6">
        <v>12191</v>
      </c>
      <c r="C192" s="29">
        <v>20001</v>
      </c>
      <c r="D192" s="6" t="s">
        <v>164</v>
      </c>
      <c r="E192" s="6">
        <v>0</v>
      </c>
      <c r="F192" s="17"/>
    </row>
    <row r="193" spans="1:6">
      <c r="A193" s="6">
        <v>10043</v>
      </c>
      <c r="B193" s="6">
        <v>12192</v>
      </c>
      <c r="C193" s="29">
        <v>20001</v>
      </c>
      <c r="D193" s="6" t="s">
        <v>619</v>
      </c>
      <c r="E193" s="6">
        <v>12193</v>
      </c>
      <c r="F193" s="17"/>
    </row>
    <row r="194" spans="1:6">
      <c r="A194" s="6">
        <v>10043</v>
      </c>
      <c r="B194" s="6">
        <v>12193</v>
      </c>
      <c r="C194" s="29" t="s">
        <v>643</v>
      </c>
      <c r="D194" s="6" t="s">
        <v>165</v>
      </c>
      <c r="E194" s="6">
        <v>12194</v>
      </c>
      <c r="F194" s="17"/>
    </row>
    <row r="195" spans="1:6">
      <c r="A195" s="6">
        <v>10043</v>
      </c>
      <c r="B195" s="6">
        <v>12194</v>
      </c>
      <c r="C195" s="29" t="s">
        <v>666</v>
      </c>
      <c r="D195" s="6" t="s">
        <v>73</v>
      </c>
      <c r="E195" s="6">
        <v>12195</v>
      </c>
      <c r="F195" s="17"/>
    </row>
    <row r="196" spans="1:6">
      <c r="A196" s="6">
        <v>10043</v>
      </c>
      <c r="B196" s="6">
        <v>12195</v>
      </c>
      <c r="C196" s="29">
        <v>20001</v>
      </c>
      <c r="D196" s="6" t="s">
        <v>166</v>
      </c>
      <c r="E196" s="6">
        <v>12196</v>
      </c>
      <c r="F196" s="17"/>
    </row>
    <row r="197" spans="1:6" s="17" customFormat="1">
      <c r="A197" s="6">
        <v>10043</v>
      </c>
      <c r="B197" s="6">
        <v>12196</v>
      </c>
      <c r="C197" s="29" t="s">
        <v>666</v>
      </c>
      <c r="D197" s="6" t="s">
        <v>167</v>
      </c>
      <c r="E197" s="6">
        <v>0</v>
      </c>
    </row>
    <row r="198" spans="1:6">
      <c r="A198" s="6">
        <v>10044</v>
      </c>
      <c r="B198" s="6">
        <v>12197</v>
      </c>
      <c r="C198" s="29">
        <v>20001</v>
      </c>
      <c r="D198" s="6" t="s">
        <v>74</v>
      </c>
      <c r="E198" s="6">
        <v>12198</v>
      </c>
      <c r="F198" s="17"/>
    </row>
    <row r="199" spans="1:6">
      <c r="A199" s="6">
        <v>10044</v>
      </c>
      <c r="B199" s="6">
        <v>12198</v>
      </c>
      <c r="C199" s="29" t="s">
        <v>666</v>
      </c>
      <c r="D199" s="6" t="s">
        <v>168</v>
      </c>
      <c r="E199" s="6">
        <v>12199</v>
      </c>
      <c r="F199" s="17"/>
    </row>
    <row r="200" spans="1:6">
      <c r="A200" s="6">
        <v>10044</v>
      </c>
      <c r="B200" s="6">
        <v>12199</v>
      </c>
      <c r="C200" s="29" t="s">
        <v>643</v>
      </c>
      <c r="D200" s="6" t="s">
        <v>169</v>
      </c>
      <c r="E200" s="6">
        <v>0</v>
      </c>
      <c r="F200" s="17"/>
    </row>
    <row r="201" spans="1:6">
      <c r="A201" s="6">
        <v>10045</v>
      </c>
      <c r="B201" s="6">
        <v>12200</v>
      </c>
      <c r="C201" s="29" t="s">
        <v>667</v>
      </c>
      <c r="D201" s="6" t="s">
        <v>170</v>
      </c>
      <c r="E201" s="6">
        <v>12201</v>
      </c>
      <c r="F201" s="17"/>
    </row>
    <row r="202" spans="1:6">
      <c r="A202" s="6">
        <v>10045</v>
      </c>
      <c r="B202" s="6">
        <v>12201</v>
      </c>
      <c r="C202" s="29">
        <v>20001</v>
      </c>
      <c r="D202" s="6" t="s">
        <v>171</v>
      </c>
      <c r="E202" s="6">
        <v>12202</v>
      </c>
      <c r="F202" s="17"/>
    </row>
    <row r="203" spans="1:6">
      <c r="A203" s="6">
        <v>10045</v>
      </c>
      <c r="B203" s="6">
        <v>12202</v>
      </c>
      <c r="C203" s="29" t="s">
        <v>667</v>
      </c>
      <c r="D203" s="6" t="s">
        <v>172</v>
      </c>
      <c r="E203" s="6">
        <v>12203</v>
      </c>
      <c r="F203" s="17"/>
    </row>
    <row r="204" spans="1:6">
      <c r="A204" s="6">
        <v>10045</v>
      </c>
      <c r="B204" s="6">
        <v>12203</v>
      </c>
      <c r="C204" s="29">
        <v>20001</v>
      </c>
      <c r="D204" s="6" t="s">
        <v>173</v>
      </c>
      <c r="E204" s="6">
        <v>12204</v>
      </c>
      <c r="F204" s="17"/>
    </row>
    <row r="205" spans="1:6">
      <c r="A205" s="6">
        <v>10045</v>
      </c>
      <c r="B205" s="6">
        <v>12204</v>
      </c>
      <c r="C205" s="29" t="s">
        <v>667</v>
      </c>
      <c r="D205" s="6" t="s">
        <v>174</v>
      </c>
      <c r="E205" s="6">
        <v>12205</v>
      </c>
      <c r="F205" s="17"/>
    </row>
    <row r="206" spans="1:6">
      <c r="A206" s="6">
        <v>10045</v>
      </c>
      <c r="B206" s="6">
        <v>12205</v>
      </c>
      <c r="C206" s="29">
        <v>20001</v>
      </c>
      <c r="D206" s="6" t="s">
        <v>175</v>
      </c>
      <c r="E206" s="6">
        <v>0</v>
      </c>
      <c r="F206" s="17"/>
    </row>
    <row r="207" spans="1:6">
      <c r="A207" s="6">
        <v>10046</v>
      </c>
      <c r="B207" s="6">
        <v>12206</v>
      </c>
      <c r="C207" s="29">
        <v>20001</v>
      </c>
      <c r="D207" s="6" t="s">
        <v>176</v>
      </c>
      <c r="E207" s="6">
        <v>12207</v>
      </c>
      <c r="F207" s="17"/>
    </row>
    <row r="208" spans="1:6">
      <c r="A208" s="6">
        <v>10046</v>
      </c>
      <c r="B208" s="6">
        <v>12207</v>
      </c>
      <c r="C208" s="29" t="s">
        <v>667</v>
      </c>
      <c r="D208" s="6" t="s">
        <v>177</v>
      </c>
      <c r="E208" s="6">
        <v>0</v>
      </c>
      <c r="F208" s="17"/>
    </row>
    <row r="209" spans="1:6">
      <c r="A209" s="6">
        <v>10047</v>
      </c>
      <c r="B209" s="6">
        <v>12208</v>
      </c>
      <c r="C209" s="29" t="s">
        <v>649</v>
      </c>
      <c r="D209" s="6" t="s">
        <v>620</v>
      </c>
      <c r="E209" s="6">
        <v>12209</v>
      </c>
      <c r="F209" s="17"/>
    </row>
    <row r="210" spans="1:6">
      <c r="A210" s="6">
        <v>10047</v>
      </c>
      <c r="B210" s="6">
        <v>12209</v>
      </c>
      <c r="C210" s="29">
        <v>20001</v>
      </c>
      <c r="D210" s="6" t="s">
        <v>178</v>
      </c>
      <c r="E210" s="6">
        <v>12210</v>
      </c>
      <c r="F210" s="17"/>
    </row>
    <row r="211" spans="1:6">
      <c r="A211" s="6">
        <v>10047</v>
      </c>
      <c r="B211" s="6">
        <v>12210</v>
      </c>
      <c r="C211" s="29" t="s">
        <v>649</v>
      </c>
      <c r="D211" s="6" t="s">
        <v>179</v>
      </c>
      <c r="E211" s="6">
        <v>12211</v>
      </c>
      <c r="F211" s="17"/>
    </row>
    <row r="212" spans="1:6">
      <c r="A212" s="6">
        <v>10047</v>
      </c>
      <c r="B212" s="6">
        <v>12211</v>
      </c>
      <c r="C212" s="29" t="s">
        <v>667</v>
      </c>
      <c r="D212" s="6" t="s">
        <v>180</v>
      </c>
      <c r="E212" s="6">
        <v>0</v>
      </c>
      <c r="F212" s="17"/>
    </row>
    <row r="213" spans="1:6">
      <c r="A213" s="6">
        <v>10048</v>
      </c>
      <c r="B213" s="6">
        <v>12212</v>
      </c>
      <c r="C213" s="29" t="s">
        <v>649</v>
      </c>
      <c r="D213" s="6" t="s">
        <v>181</v>
      </c>
      <c r="E213" s="6">
        <v>12213</v>
      </c>
      <c r="F213" s="17"/>
    </row>
    <row r="214" spans="1:6">
      <c r="A214" s="6">
        <v>10048</v>
      </c>
      <c r="B214" s="6">
        <v>12213</v>
      </c>
      <c r="C214" s="29">
        <v>20001</v>
      </c>
      <c r="D214" s="6" t="s">
        <v>75</v>
      </c>
      <c r="E214" s="6">
        <v>0</v>
      </c>
      <c r="F214" s="17"/>
    </row>
    <row r="215" spans="1:6">
      <c r="A215" s="6">
        <v>10049</v>
      </c>
      <c r="B215" s="6">
        <v>12214</v>
      </c>
      <c r="C215" s="29">
        <v>20001</v>
      </c>
      <c r="D215" s="6" t="s">
        <v>182</v>
      </c>
      <c r="E215" s="6">
        <v>12215</v>
      </c>
      <c r="F215" s="17"/>
    </row>
    <row r="216" spans="1:6">
      <c r="A216" s="6">
        <v>10049</v>
      </c>
      <c r="B216" s="6">
        <v>12215</v>
      </c>
      <c r="C216" s="29" t="s">
        <v>668</v>
      </c>
      <c r="D216" s="6" t="s">
        <v>183</v>
      </c>
      <c r="E216" s="6">
        <v>12216</v>
      </c>
      <c r="F216" s="17"/>
    </row>
    <row r="217" spans="1:6">
      <c r="A217" s="6">
        <v>10049</v>
      </c>
      <c r="B217" s="6">
        <v>12216</v>
      </c>
      <c r="C217" s="29">
        <v>20001</v>
      </c>
      <c r="D217" s="6" t="s">
        <v>184</v>
      </c>
      <c r="E217" s="6">
        <v>12217</v>
      </c>
      <c r="F217" s="17"/>
    </row>
    <row r="218" spans="1:6">
      <c r="A218" s="6">
        <v>10049</v>
      </c>
      <c r="B218" s="6">
        <v>12217</v>
      </c>
      <c r="C218" s="29" t="s">
        <v>668</v>
      </c>
      <c r="D218" s="6" t="s">
        <v>185</v>
      </c>
      <c r="E218" s="6">
        <v>12218</v>
      </c>
      <c r="F218" s="17"/>
    </row>
    <row r="219" spans="1:6">
      <c r="A219" s="6">
        <v>10049</v>
      </c>
      <c r="B219" s="6">
        <v>12218</v>
      </c>
      <c r="C219" s="29">
        <v>20001</v>
      </c>
      <c r="D219" s="6" t="s">
        <v>186</v>
      </c>
      <c r="E219" s="6">
        <v>12219</v>
      </c>
      <c r="F219" s="17"/>
    </row>
    <row r="220" spans="1:6">
      <c r="A220" s="6">
        <v>10049</v>
      </c>
      <c r="B220" s="6">
        <v>12219</v>
      </c>
      <c r="C220" s="29" t="s">
        <v>668</v>
      </c>
      <c r="D220" s="6" t="s">
        <v>621</v>
      </c>
      <c r="E220" s="6">
        <v>12220</v>
      </c>
      <c r="F220" s="17"/>
    </row>
    <row r="221" spans="1:6">
      <c r="A221" s="6">
        <v>10049</v>
      </c>
      <c r="B221" s="6">
        <v>12220</v>
      </c>
      <c r="C221" s="29">
        <v>20001</v>
      </c>
      <c r="D221" s="6" t="s">
        <v>187</v>
      </c>
      <c r="E221" s="6">
        <v>0</v>
      </c>
      <c r="F221" s="17"/>
    </row>
    <row r="222" spans="1:6">
      <c r="A222" s="6">
        <v>10050</v>
      </c>
      <c r="B222" s="6">
        <v>12221</v>
      </c>
      <c r="C222" s="29">
        <v>20001</v>
      </c>
      <c r="D222" s="6" t="s">
        <v>188</v>
      </c>
      <c r="E222" s="6">
        <v>12222</v>
      </c>
      <c r="F222" s="17"/>
    </row>
    <row r="223" spans="1:6">
      <c r="A223" s="6">
        <v>10050</v>
      </c>
      <c r="B223" s="6">
        <v>12222</v>
      </c>
      <c r="C223" s="29" t="s">
        <v>668</v>
      </c>
      <c r="D223" s="6" t="s">
        <v>189</v>
      </c>
      <c r="E223" s="6">
        <v>12223</v>
      </c>
      <c r="F223" s="17"/>
    </row>
    <row r="224" spans="1:6">
      <c r="A224" s="6">
        <v>10050</v>
      </c>
      <c r="B224" s="6">
        <v>12223</v>
      </c>
      <c r="C224" s="29">
        <v>20001</v>
      </c>
      <c r="D224" s="6" t="s">
        <v>692</v>
      </c>
      <c r="E224" s="6">
        <v>0</v>
      </c>
      <c r="F224" s="17"/>
    </row>
    <row r="225" spans="1:6">
      <c r="A225" s="6">
        <v>10051</v>
      </c>
      <c r="B225" s="6">
        <v>12224</v>
      </c>
      <c r="C225" s="29" t="s">
        <v>669</v>
      </c>
      <c r="D225" s="6" t="s">
        <v>190</v>
      </c>
      <c r="E225" s="6">
        <v>12225</v>
      </c>
      <c r="F225" s="17"/>
    </row>
    <row r="226" spans="1:6">
      <c r="A226" s="6">
        <v>10051</v>
      </c>
      <c r="B226" s="6">
        <v>12225</v>
      </c>
      <c r="C226" s="29" t="s">
        <v>668</v>
      </c>
      <c r="D226" s="6" t="s">
        <v>622</v>
      </c>
      <c r="E226" s="6">
        <v>12226</v>
      </c>
      <c r="F226" s="17"/>
    </row>
    <row r="227" spans="1:6">
      <c r="A227" s="6">
        <v>10051</v>
      </c>
      <c r="B227" s="6">
        <v>12226</v>
      </c>
      <c r="C227" s="29" t="s">
        <v>669</v>
      </c>
      <c r="D227" s="6" t="s">
        <v>191</v>
      </c>
      <c r="E227" s="6">
        <v>12227</v>
      </c>
      <c r="F227" s="17"/>
    </row>
    <row r="228" spans="1:6">
      <c r="A228" s="6">
        <v>10051</v>
      </c>
      <c r="B228" s="6">
        <v>12227</v>
      </c>
      <c r="C228" s="29">
        <v>20001</v>
      </c>
      <c r="D228" s="6" t="s">
        <v>192</v>
      </c>
      <c r="E228" s="6">
        <v>12228</v>
      </c>
      <c r="F228" s="17"/>
    </row>
    <row r="229" spans="1:6">
      <c r="A229" s="6">
        <v>10051</v>
      </c>
      <c r="B229" s="6">
        <v>12228</v>
      </c>
      <c r="C229" s="29" t="s">
        <v>669</v>
      </c>
      <c r="D229" s="6" t="s">
        <v>193</v>
      </c>
      <c r="E229" s="6">
        <v>12229</v>
      </c>
      <c r="F229" s="17"/>
    </row>
    <row r="230" spans="1:6">
      <c r="A230" s="6">
        <v>10051</v>
      </c>
      <c r="B230" s="6">
        <v>12229</v>
      </c>
      <c r="C230" s="29">
        <v>20001</v>
      </c>
      <c r="D230" s="6" t="s">
        <v>194</v>
      </c>
      <c r="E230" s="6">
        <v>0</v>
      </c>
      <c r="F230" s="17"/>
    </row>
    <row r="231" spans="1:6">
      <c r="A231" s="6">
        <v>10052</v>
      </c>
      <c r="B231" s="6">
        <v>12230</v>
      </c>
      <c r="C231" s="29">
        <v>20001</v>
      </c>
      <c r="D231" s="6" t="s">
        <v>195</v>
      </c>
      <c r="E231" s="6">
        <v>12231</v>
      </c>
      <c r="F231" s="17"/>
    </row>
    <row r="232" spans="1:6">
      <c r="A232" s="6">
        <v>10052</v>
      </c>
      <c r="B232" s="6">
        <v>12231</v>
      </c>
      <c r="C232" s="29" t="s">
        <v>669</v>
      </c>
      <c r="D232" s="6" t="s">
        <v>196</v>
      </c>
      <c r="E232" s="6">
        <v>0</v>
      </c>
      <c r="F232" s="17"/>
    </row>
    <row r="233" spans="1:6">
      <c r="A233" s="6">
        <v>10053</v>
      </c>
      <c r="B233" s="6">
        <v>12232</v>
      </c>
      <c r="C233" s="29">
        <v>20001</v>
      </c>
      <c r="D233" s="6" t="s">
        <v>197</v>
      </c>
      <c r="E233" s="6">
        <v>12233</v>
      </c>
      <c r="F233" s="17"/>
    </row>
    <row r="234" spans="1:6">
      <c r="A234" s="6">
        <v>10053</v>
      </c>
      <c r="B234" s="6">
        <v>12233</v>
      </c>
      <c r="C234" s="29" t="s">
        <v>668</v>
      </c>
      <c r="D234" s="6" t="s">
        <v>198</v>
      </c>
      <c r="E234" s="6">
        <v>12234</v>
      </c>
      <c r="F234" s="17"/>
    </row>
    <row r="235" spans="1:6">
      <c r="A235" s="6">
        <v>10053</v>
      </c>
      <c r="B235" s="6">
        <v>12234</v>
      </c>
      <c r="C235" s="29" t="s">
        <v>668</v>
      </c>
      <c r="D235" s="6" t="s">
        <v>199</v>
      </c>
      <c r="E235" s="6">
        <v>12235</v>
      </c>
      <c r="F235" s="17"/>
    </row>
    <row r="236" spans="1:6" s="17" customFormat="1">
      <c r="A236" s="6">
        <v>10053</v>
      </c>
      <c r="B236" s="6">
        <v>12235</v>
      </c>
      <c r="C236" s="29">
        <v>20001</v>
      </c>
      <c r="D236" s="6" t="s">
        <v>200</v>
      </c>
      <c r="E236" s="6">
        <v>12236</v>
      </c>
    </row>
    <row r="237" spans="1:6">
      <c r="A237" s="6">
        <v>10053</v>
      </c>
      <c r="B237" s="6">
        <v>12236</v>
      </c>
      <c r="C237" s="29" t="s">
        <v>668</v>
      </c>
      <c r="D237" s="6" t="s">
        <v>201</v>
      </c>
      <c r="E237" s="6">
        <v>12237</v>
      </c>
      <c r="F237" s="17"/>
    </row>
    <row r="238" spans="1:6">
      <c r="A238" s="6">
        <v>10053</v>
      </c>
      <c r="B238" s="6">
        <v>12237</v>
      </c>
      <c r="C238" s="29" t="s">
        <v>670</v>
      </c>
      <c r="D238" s="6" t="s">
        <v>623</v>
      </c>
      <c r="E238" s="6">
        <v>0</v>
      </c>
      <c r="F238" s="17"/>
    </row>
    <row r="239" spans="1:6">
      <c r="A239" s="6">
        <v>10054</v>
      </c>
      <c r="B239" s="6">
        <v>12238</v>
      </c>
      <c r="C239" s="29" t="s">
        <v>668</v>
      </c>
      <c r="D239" s="6" t="s">
        <v>624</v>
      </c>
      <c r="E239" s="6">
        <v>0</v>
      </c>
      <c r="F239" s="17"/>
    </row>
    <row r="240" spans="1:6">
      <c r="A240" s="6">
        <v>10055</v>
      </c>
      <c r="B240" s="6">
        <v>12239</v>
      </c>
      <c r="C240" s="29" t="s">
        <v>670</v>
      </c>
      <c r="D240" s="6" t="s">
        <v>202</v>
      </c>
      <c r="E240" s="6">
        <v>12240</v>
      </c>
      <c r="F240" s="17"/>
    </row>
    <row r="241" spans="1:6">
      <c r="A241" s="6">
        <v>10055</v>
      </c>
      <c r="B241" s="6">
        <v>12240</v>
      </c>
      <c r="C241" s="29">
        <v>20001</v>
      </c>
      <c r="D241" s="6" t="s">
        <v>203</v>
      </c>
      <c r="E241" s="6">
        <v>12241</v>
      </c>
      <c r="F241" s="17"/>
    </row>
    <row r="242" spans="1:6">
      <c r="A242" s="6">
        <v>10055</v>
      </c>
      <c r="B242" s="6">
        <v>12241</v>
      </c>
      <c r="C242" s="29" t="s">
        <v>670</v>
      </c>
      <c r="D242" s="6" t="s">
        <v>204</v>
      </c>
      <c r="E242" s="6">
        <v>12242</v>
      </c>
      <c r="F242" s="17"/>
    </row>
    <row r="243" spans="1:6">
      <c r="A243" s="6">
        <v>10055</v>
      </c>
      <c r="B243" s="6">
        <v>12242</v>
      </c>
      <c r="C243" s="29">
        <v>20001</v>
      </c>
      <c r="D243" s="6" t="s">
        <v>205</v>
      </c>
      <c r="E243" s="6">
        <v>12243</v>
      </c>
      <c r="F243" s="17"/>
    </row>
    <row r="244" spans="1:6">
      <c r="A244" s="6">
        <v>10055</v>
      </c>
      <c r="B244" s="6">
        <v>12243</v>
      </c>
      <c r="C244" s="29" t="s">
        <v>670</v>
      </c>
      <c r="D244" s="6" t="s">
        <v>206</v>
      </c>
      <c r="E244" s="6">
        <v>0</v>
      </c>
      <c r="F244" s="17"/>
    </row>
    <row r="245" spans="1:6">
      <c r="A245" s="6">
        <v>10056</v>
      </c>
      <c r="B245" s="6">
        <v>12244</v>
      </c>
      <c r="C245" s="29" t="s">
        <v>670</v>
      </c>
      <c r="D245" s="6" t="s">
        <v>207</v>
      </c>
      <c r="E245" s="6">
        <v>12245</v>
      </c>
      <c r="F245" s="17"/>
    </row>
    <row r="246" spans="1:6">
      <c r="A246" s="6">
        <v>10056</v>
      </c>
      <c r="B246" s="6">
        <v>12245</v>
      </c>
      <c r="C246" s="29" t="s">
        <v>668</v>
      </c>
      <c r="D246" s="6" t="s">
        <v>208</v>
      </c>
      <c r="E246" s="6">
        <v>12246</v>
      </c>
      <c r="F246" s="17"/>
    </row>
    <row r="247" spans="1:6">
      <c r="A247" s="6">
        <v>10056</v>
      </c>
      <c r="B247" s="6">
        <v>12246</v>
      </c>
      <c r="C247" s="29">
        <v>20001</v>
      </c>
      <c r="D247" s="6" t="s">
        <v>209</v>
      </c>
      <c r="E247" s="6">
        <v>12247</v>
      </c>
      <c r="F247" s="17"/>
    </row>
    <row r="248" spans="1:6">
      <c r="A248" s="6">
        <v>10056</v>
      </c>
      <c r="B248" s="6">
        <v>12247</v>
      </c>
      <c r="C248" s="29" t="s">
        <v>668</v>
      </c>
      <c r="D248" s="6" t="s">
        <v>210</v>
      </c>
      <c r="E248" s="6">
        <v>0</v>
      </c>
      <c r="F248" s="17"/>
    </row>
    <row r="249" spans="1:6">
      <c r="A249" s="6">
        <v>10057</v>
      </c>
      <c r="B249" s="6">
        <v>12248</v>
      </c>
      <c r="C249" s="29" t="s">
        <v>643</v>
      </c>
      <c r="D249" s="6" t="s">
        <v>625</v>
      </c>
      <c r="E249" s="6">
        <v>12249</v>
      </c>
      <c r="F249" s="17"/>
    </row>
    <row r="250" spans="1:6">
      <c r="A250" s="6">
        <v>10057</v>
      </c>
      <c r="B250" s="6">
        <v>12249</v>
      </c>
      <c r="C250" s="29" t="s">
        <v>671</v>
      </c>
      <c r="D250" s="6" t="s">
        <v>211</v>
      </c>
      <c r="E250" s="6">
        <v>12250</v>
      </c>
      <c r="F250" s="17"/>
    </row>
    <row r="251" spans="1:6">
      <c r="A251" s="6">
        <v>10057</v>
      </c>
      <c r="B251" s="6">
        <v>12250</v>
      </c>
      <c r="C251" s="29" t="s">
        <v>643</v>
      </c>
      <c r="D251" s="6" t="s">
        <v>212</v>
      </c>
      <c r="E251" s="6">
        <v>12251</v>
      </c>
      <c r="F251" s="17"/>
    </row>
    <row r="252" spans="1:6">
      <c r="A252" s="6">
        <v>10057</v>
      </c>
      <c r="B252" s="6">
        <v>12251</v>
      </c>
      <c r="C252" s="29" t="s">
        <v>671</v>
      </c>
      <c r="D252" s="6" t="s">
        <v>213</v>
      </c>
      <c r="E252" s="6">
        <v>0</v>
      </c>
      <c r="F252" s="17"/>
    </row>
    <row r="253" spans="1:6">
      <c r="A253" s="6">
        <v>10058</v>
      </c>
      <c r="B253" s="6">
        <v>12252</v>
      </c>
      <c r="C253" s="29" t="s">
        <v>671</v>
      </c>
      <c r="D253" s="6" t="s">
        <v>214</v>
      </c>
      <c r="E253" s="6">
        <v>12253</v>
      </c>
      <c r="F253" s="17"/>
    </row>
    <row r="254" spans="1:6">
      <c r="A254" s="6">
        <v>10058</v>
      </c>
      <c r="B254" s="6">
        <v>12253</v>
      </c>
      <c r="C254" s="29" t="s">
        <v>643</v>
      </c>
      <c r="D254" s="6" t="s">
        <v>215</v>
      </c>
      <c r="E254" s="6">
        <v>12254</v>
      </c>
      <c r="F254" s="17"/>
    </row>
    <row r="255" spans="1:6">
      <c r="A255" s="6">
        <v>10058</v>
      </c>
      <c r="B255" s="6">
        <v>12254</v>
      </c>
      <c r="C255" s="29" t="s">
        <v>644</v>
      </c>
      <c r="D255" s="6" t="s">
        <v>216</v>
      </c>
      <c r="E255" s="6">
        <v>12255</v>
      </c>
      <c r="F255" s="17"/>
    </row>
    <row r="256" spans="1:6">
      <c r="A256" s="6">
        <v>10058</v>
      </c>
      <c r="B256" s="6">
        <v>12255</v>
      </c>
      <c r="C256" s="29">
        <v>20001</v>
      </c>
      <c r="D256" s="6" t="s">
        <v>626</v>
      </c>
      <c r="E256" s="6">
        <v>12256</v>
      </c>
      <c r="F256" s="17"/>
    </row>
    <row r="257" spans="1:6">
      <c r="A257" s="6">
        <v>10058</v>
      </c>
      <c r="B257" s="6">
        <v>12256</v>
      </c>
      <c r="C257" s="29" t="s">
        <v>644</v>
      </c>
      <c r="D257" s="6" t="s">
        <v>217</v>
      </c>
      <c r="E257" s="6">
        <v>0</v>
      </c>
      <c r="F257" s="17"/>
    </row>
    <row r="258" spans="1:6">
      <c r="A258" s="6">
        <v>10059</v>
      </c>
      <c r="B258" s="6">
        <v>12257</v>
      </c>
      <c r="C258" s="29">
        <v>20001</v>
      </c>
      <c r="D258" s="6" t="s">
        <v>218</v>
      </c>
      <c r="E258" s="6">
        <v>12258</v>
      </c>
      <c r="F258" s="17"/>
    </row>
    <row r="259" spans="1:6">
      <c r="A259" s="6">
        <v>10059</v>
      </c>
      <c r="B259" s="6">
        <v>12258</v>
      </c>
      <c r="C259" s="29" t="s">
        <v>672</v>
      </c>
      <c r="D259" s="6" t="s">
        <v>219</v>
      </c>
      <c r="E259" s="6">
        <v>12259</v>
      </c>
      <c r="F259" s="17"/>
    </row>
    <row r="260" spans="1:6">
      <c r="A260" s="6">
        <v>10059</v>
      </c>
      <c r="B260" s="6">
        <v>12259</v>
      </c>
      <c r="C260" s="29">
        <v>20001</v>
      </c>
      <c r="D260" s="6" t="s">
        <v>220</v>
      </c>
      <c r="E260" s="6">
        <v>12260</v>
      </c>
      <c r="F260" s="17"/>
    </row>
    <row r="261" spans="1:6">
      <c r="A261" s="6">
        <v>10059</v>
      </c>
      <c r="B261" s="6">
        <v>12260</v>
      </c>
      <c r="C261" s="29" t="s">
        <v>672</v>
      </c>
      <c r="D261" s="6" t="s">
        <v>221</v>
      </c>
      <c r="E261" s="6">
        <v>12261</v>
      </c>
      <c r="F261" s="17"/>
    </row>
    <row r="262" spans="1:6">
      <c r="A262" s="6">
        <v>10059</v>
      </c>
      <c r="B262" s="6">
        <v>12261</v>
      </c>
      <c r="C262" s="29">
        <v>20001</v>
      </c>
      <c r="D262" s="6" t="s">
        <v>222</v>
      </c>
      <c r="E262" s="6">
        <v>12262</v>
      </c>
      <c r="F262" s="17"/>
    </row>
    <row r="263" spans="1:6">
      <c r="A263" s="6">
        <v>10059</v>
      </c>
      <c r="B263" s="6">
        <v>12262</v>
      </c>
      <c r="C263" s="29" t="s">
        <v>672</v>
      </c>
      <c r="D263" s="6" t="s">
        <v>223</v>
      </c>
      <c r="E263" s="6">
        <v>0</v>
      </c>
      <c r="F263" s="17"/>
    </row>
    <row r="264" spans="1:6">
      <c r="A264" s="6">
        <v>10060</v>
      </c>
      <c r="B264" s="6">
        <v>12263</v>
      </c>
      <c r="C264" s="29" t="s">
        <v>672</v>
      </c>
      <c r="D264" s="6" t="s">
        <v>224</v>
      </c>
      <c r="E264" s="6">
        <v>12264</v>
      </c>
      <c r="F264" s="17"/>
    </row>
    <row r="265" spans="1:6">
      <c r="A265" s="6">
        <v>10060</v>
      </c>
      <c r="B265" s="6">
        <v>12264</v>
      </c>
      <c r="C265" s="29">
        <v>20001</v>
      </c>
      <c r="D265" s="6" t="s">
        <v>225</v>
      </c>
      <c r="E265" s="6">
        <v>12265</v>
      </c>
      <c r="F265" s="17"/>
    </row>
    <row r="266" spans="1:6" s="19" customFormat="1">
      <c r="A266" s="6">
        <v>10060</v>
      </c>
      <c r="B266" s="6">
        <v>12265</v>
      </c>
      <c r="C266" s="29" t="s">
        <v>672</v>
      </c>
      <c r="D266" s="6" t="s">
        <v>226</v>
      </c>
      <c r="E266" s="6">
        <v>0</v>
      </c>
    </row>
    <row r="267" spans="1:6">
      <c r="A267" s="6">
        <v>10061</v>
      </c>
      <c r="B267" s="6">
        <v>12266</v>
      </c>
      <c r="C267" s="29" t="s">
        <v>673</v>
      </c>
      <c r="D267" s="6" t="s">
        <v>227</v>
      </c>
      <c r="E267" s="6">
        <v>12267</v>
      </c>
      <c r="F267" s="17"/>
    </row>
    <row r="268" spans="1:6">
      <c r="A268" s="6">
        <v>10061</v>
      </c>
      <c r="B268" s="6">
        <v>12267</v>
      </c>
      <c r="C268" s="29">
        <v>20001</v>
      </c>
      <c r="D268" s="6" t="s">
        <v>228</v>
      </c>
      <c r="E268" s="6">
        <v>12268</v>
      </c>
      <c r="F268" s="17"/>
    </row>
    <row r="269" spans="1:6">
      <c r="A269" s="6">
        <v>10061</v>
      </c>
      <c r="B269" s="6">
        <v>12268</v>
      </c>
      <c r="C269" s="29" t="s">
        <v>673</v>
      </c>
      <c r="D269" s="6" t="s">
        <v>229</v>
      </c>
      <c r="E269" s="6">
        <v>12269</v>
      </c>
      <c r="F269" s="17"/>
    </row>
    <row r="270" spans="1:6">
      <c r="A270" s="6">
        <v>10061</v>
      </c>
      <c r="B270" s="6">
        <v>12269</v>
      </c>
      <c r="C270" s="29">
        <v>20001</v>
      </c>
      <c r="D270" s="6" t="s">
        <v>230</v>
      </c>
      <c r="E270" s="6">
        <v>0</v>
      </c>
      <c r="F270" s="17"/>
    </row>
    <row r="271" spans="1:6">
      <c r="A271" s="6">
        <v>10062</v>
      </c>
      <c r="B271" s="6">
        <v>12270</v>
      </c>
      <c r="C271" s="29" t="s">
        <v>673</v>
      </c>
      <c r="D271" s="6" t="s">
        <v>231</v>
      </c>
      <c r="E271" s="6">
        <v>12271</v>
      </c>
      <c r="F271" s="17"/>
    </row>
    <row r="272" spans="1:6">
      <c r="A272" s="6">
        <v>10062</v>
      </c>
      <c r="B272" s="6">
        <v>12271</v>
      </c>
      <c r="C272" s="29" t="s">
        <v>671</v>
      </c>
      <c r="D272" s="6" t="s">
        <v>232</v>
      </c>
      <c r="E272" s="6">
        <v>12272</v>
      </c>
      <c r="F272" s="17"/>
    </row>
    <row r="273" spans="1:6">
      <c r="A273" s="6">
        <v>10062</v>
      </c>
      <c r="B273" s="6">
        <v>12272</v>
      </c>
      <c r="C273" s="29" t="s">
        <v>643</v>
      </c>
      <c r="D273" s="6" t="s">
        <v>233</v>
      </c>
      <c r="E273" s="6">
        <v>12273</v>
      </c>
      <c r="F273" s="17"/>
    </row>
    <row r="274" spans="1:6">
      <c r="A274" s="6">
        <v>10062</v>
      </c>
      <c r="B274" s="6">
        <v>12273</v>
      </c>
      <c r="C274" s="29" t="s">
        <v>671</v>
      </c>
      <c r="D274" s="6" t="s">
        <v>234</v>
      </c>
      <c r="E274" s="6">
        <v>12274</v>
      </c>
      <c r="F274" s="17"/>
    </row>
    <row r="275" spans="1:6">
      <c r="A275" s="6">
        <v>10062</v>
      </c>
      <c r="B275" s="6">
        <v>12274</v>
      </c>
      <c r="C275" s="29" t="s">
        <v>673</v>
      </c>
      <c r="D275" s="6" t="s">
        <v>235</v>
      </c>
      <c r="E275" s="6">
        <v>12275</v>
      </c>
      <c r="F275" s="17"/>
    </row>
    <row r="276" spans="1:6">
      <c r="A276" s="6">
        <v>10062</v>
      </c>
      <c r="B276" s="6">
        <v>12275</v>
      </c>
      <c r="C276" s="29" t="s">
        <v>643</v>
      </c>
      <c r="D276" s="6" t="s">
        <v>236</v>
      </c>
      <c r="E276" s="6">
        <v>0</v>
      </c>
      <c r="F276" s="17"/>
    </row>
    <row r="277" spans="1:6">
      <c r="A277" s="6">
        <v>10063</v>
      </c>
      <c r="B277" s="6">
        <v>12276</v>
      </c>
      <c r="C277" s="29" t="s">
        <v>643</v>
      </c>
      <c r="D277" s="6" t="s">
        <v>237</v>
      </c>
      <c r="E277" s="6">
        <v>12277</v>
      </c>
      <c r="F277" s="17"/>
    </row>
    <row r="278" spans="1:6">
      <c r="A278" s="6">
        <v>10063</v>
      </c>
      <c r="B278" s="6">
        <v>12277</v>
      </c>
      <c r="C278" s="29" t="s">
        <v>673</v>
      </c>
      <c r="D278" s="6" t="s">
        <v>238</v>
      </c>
      <c r="E278" s="6">
        <v>12278</v>
      </c>
      <c r="F278" s="17"/>
    </row>
    <row r="279" spans="1:6">
      <c r="A279" s="6">
        <v>10063</v>
      </c>
      <c r="B279" s="6">
        <v>12278</v>
      </c>
      <c r="C279" s="29" t="s">
        <v>671</v>
      </c>
      <c r="D279" s="6" t="s">
        <v>239</v>
      </c>
      <c r="E279" s="6">
        <v>12279</v>
      </c>
      <c r="F279" s="17"/>
    </row>
    <row r="280" spans="1:6">
      <c r="A280" s="6">
        <v>10063</v>
      </c>
      <c r="B280" s="6">
        <v>12279</v>
      </c>
      <c r="C280" s="29">
        <v>20001</v>
      </c>
      <c r="D280" s="6" t="s">
        <v>240</v>
      </c>
      <c r="E280" s="6">
        <v>12280</v>
      </c>
      <c r="F280" s="17"/>
    </row>
    <row r="281" spans="1:6">
      <c r="A281" s="6">
        <v>10063</v>
      </c>
      <c r="B281" s="6">
        <v>12280</v>
      </c>
      <c r="C281" s="29" t="s">
        <v>643</v>
      </c>
      <c r="D281" s="6" t="s">
        <v>241</v>
      </c>
      <c r="E281" s="6">
        <v>12281</v>
      </c>
      <c r="F281" s="17"/>
    </row>
    <row r="282" spans="1:6">
      <c r="A282" s="6">
        <v>10063</v>
      </c>
      <c r="B282" s="6">
        <v>12281</v>
      </c>
      <c r="C282" s="29">
        <v>20001</v>
      </c>
      <c r="D282" s="6" t="s">
        <v>627</v>
      </c>
      <c r="E282" s="6">
        <v>12282</v>
      </c>
      <c r="F282" s="17"/>
    </row>
    <row r="283" spans="1:6">
      <c r="A283" s="6">
        <v>10063</v>
      </c>
      <c r="B283" s="6">
        <v>12282</v>
      </c>
      <c r="C283" s="29" t="s">
        <v>671</v>
      </c>
      <c r="D283" s="6" t="s">
        <v>242</v>
      </c>
      <c r="E283" s="6">
        <v>0</v>
      </c>
      <c r="F283" s="17"/>
    </row>
    <row r="284" spans="1:6">
      <c r="A284" s="6">
        <v>10064</v>
      </c>
      <c r="B284" s="6">
        <v>12283</v>
      </c>
      <c r="C284" s="29" t="s">
        <v>670</v>
      </c>
      <c r="D284" s="6" t="s">
        <v>243</v>
      </c>
      <c r="E284" s="6">
        <v>12284</v>
      </c>
      <c r="F284" s="17"/>
    </row>
    <row r="285" spans="1:6">
      <c r="A285" s="6">
        <v>10064</v>
      </c>
      <c r="B285" s="6">
        <v>12284</v>
      </c>
      <c r="C285" s="29" t="s">
        <v>671</v>
      </c>
      <c r="D285" s="6" t="s">
        <v>244</v>
      </c>
      <c r="E285" s="6">
        <v>12285</v>
      </c>
      <c r="F285" s="17"/>
    </row>
    <row r="286" spans="1:6">
      <c r="A286" s="6">
        <v>10064</v>
      </c>
      <c r="B286" s="6">
        <v>12285</v>
      </c>
      <c r="C286" s="29" t="s">
        <v>670</v>
      </c>
      <c r="D286" s="6" t="s">
        <v>245</v>
      </c>
      <c r="E286" s="6">
        <v>12286</v>
      </c>
      <c r="F286" s="17"/>
    </row>
    <row r="287" spans="1:6">
      <c r="A287" s="6">
        <v>10064</v>
      </c>
      <c r="B287" s="6">
        <v>12286</v>
      </c>
      <c r="C287" s="29" t="s">
        <v>671</v>
      </c>
      <c r="D287" s="6" t="s">
        <v>628</v>
      </c>
      <c r="E287" s="6">
        <v>0</v>
      </c>
      <c r="F287" s="17"/>
    </row>
    <row r="288" spans="1:6">
      <c r="A288" s="6">
        <v>10065</v>
      </c>
      <c r="B288" s="6">
        <v>12287</v>
      </c>
      <c r="C288" s="29">
        <v>20001</v>
      </c>
      <c r="D288" s="6" t="s">
        <v>246</v>
      </c>
      <c r="E288" s="6">
        <v>12288</v>
      </c>
      <c r="F288" s="17"/>
    </row>
    <row r="289" spans="1:6">
      <c r="A289" s="6">
        <v>10065</v>
      </c>
      <c r="B289" s="6">
        <v>12288</v>
      </c>
      <c r="C289" s="29" t="s">
        <v>674</v>
      </c>
      <c r="D289" s="6" t="s">
        <v>247</v>
      </c>
      <c r="E289" s="6">
        <v>12289</v>
      </c>
      <c r="F289" s="17"/>
    </row>
    <row r="290" spans="1:6">
      <c r="A290" s="6">
        <v>10065</v>
      </c>
      <c r="B290" s="6">
        <v>12289</v>
      </c>
      <c r="C290" s="29">
        <v>20001</v>
      </c>
      <c r="D290" s="6" t="s">
        <v>248</v>
      </c>
      <c r="E290" s="6">
        <v>12290</v>
      </c>
      <c r="F290" s="17"/>
    </row>
    <row r="291" spans="1:6">
      <c r="A291" s="6">
        <v>10065</v>
      </c>
      <c r="B291" s="6">
        <v>12290</v>
      </c>
      <c r="C291" s="29" t="s">
        <v>674</v>
      </c>
      <c r="D291" s="6" t="s">
        <v>249</v>
      </c>
      <c r="E291" s="6">
        <v>12291</v>
      </c>
      <c r="F291" s="17"/>
    </row>
    <row r="292" spans="1:6">
      <c r="A292" s="6">
        <v>10065</v>
      </c>
      <c r="B292" s="6">
        <v>12291</v>
      </c>
      <c r="C292" s="29">
        <v>20001</v>
      </c>
      <c r="D292" s="6" t="s">
        <v>250</v>
      </c>
      <c r="E292" s="6">
        <v>12292</v>
      </c>
      <c r="F292" s="17"/>
    </row>
    <row r="293" spans="1:6">
      <c r="A293" s="6">
        <v>10065</v>
      </c>
      <c r="B293" s="6">
        <v>12292</v>
      </c>
      <c r="C293" s="29" t="s">
        <v>674</v>
      </c>
      <c r="D293" s="6" t="s">
        <v>251</v>
      </c>
      <c r="E293" s="6">
        <v>12293</v>
      </c>
      <c r="F293" s="17"/>
    </row>
    <row r="294" spans="1:6">
      <c r="A294" s="6">
        <v>10065</v>
      </c>
      <c r="B294" s="6">
        <v>12293</v>
      </c>
      <c r="C294" s="29">
        <v>20001</v>
      </c>
      <c r="D294" s="6" t="s">
        <v>252</v>
      </c>
      <c r="E294" s="6">
        <v>12294</v>
      </c>
      <c r="F294" s="17"/>
    </row>
    <row r="295" spans="1:6">
      <c r="A295" s="6">
        <v>10065</v>
      </c>
      <c r="B295" s="6">
        <v>12294</v>
      </c>
      <c r="C295" s="29" t="s">
        <v>674</v>
      </c>
      <c r="D295" s="6" t="s">
        <v>253</v>
      </c>
      <c r="E295" s="6">
        <v>0</v>
      </c>
      <c r="F295" s="17"/>
    </row>
    <row r="296" spans="1:6">
      <c r="A296" s="6">
        <v>10066</v>
      </c>
      <c r="B296" s="6">
        <v>12295</v>
      </c>
      <c r="C296" s="29" t="s">
        <v>674</v>
      </c>
      <c r="D296" s="6" t="s">
        <v>254</v>
      </c>
      <c r="E296" s="6">
        <v>12296</v>
      </c>
      <c r="F296" s="17"/>
    </row>
    <row r="297" spans="1:6">
      <c r="A297" s="6">
        <v>10066</v>
      </c>
      <c r="B297" s="6">
        <v>12296</v>
      </c>
      <c r="C297" s="29">
        <v>20001</v>
      </c>
      <c r="D297" s="6" t="s">
        <v>255</v>
      </c>
      <c r="E297" s="6">
        <v>12297</v>
      </c>
      <c r="F297" s="17"/>
    </row>
    <row r="298" spans="1:6">
      <c r="A298" s="6">
        <v>10066</v>
      </c>
      <c r="B298" s="6">
        <v>12297</v>
      </c>
      <c r="C298" s="29" t="s">
        <v>674</v>
      </c>
      <c r="D298" s="6" t="s">
        <v>256</v>
      </c>
      <c r="E298" s="6">
        <v>12298</v>
      </c>
      <c r="F298" s="17"/>
    </row>
    <row r="299" spans="1:6">
      <c r="A299" s="6">
        <v>10066</v>
      </c>
      <c r="B299" s="6">
        <v>12298</v>
      </c>
      <c r="C299" s="29">
        <v>20001</v>
      </c>
      <c r="D299" s="6" t="s">
        <v>257</v>
      </c>
      <c r="E299" s="6">
        <v>0</v>
      </c>
      <c r="F299" s="17"/>
    </row>
    <row r="300" spans="1:6">
      <c r="A300" s="6">
        <v>10067</v>
      </c>
      <c r="B300" s="6">
        <v>12299</v>
      </c>
      <c r="C300" s="29" t="s">
        <v>644</v>
      </c>
      <c r="D300" s="6" t="s">
        <v>629</v>
      </c>
      <c r="E300" s="6">
        <v>12300</v>
      </c>
      <c r="F300" s="17"/>
    </row>
    <row r="301" spans="1:6">
      <c r="A301" s="6">
        <v>10067</v>
      </c>
      <c r="B301" s="6">
        <v>12300</v>
      </c>
      <c r="C301" s="29">
        <v>20001</v>
      </c>
      <c r="D301" s="6" t="s">
        <v>258</v>
      </c>
      <c r="E301" s="6">
        <v>12301</v>
      </c>
      <c r="F301" s="17"/>
    </row>
    <row r="302" spans="1:6">
      <c r="A302" s="6">
        <v>10067</v>
      </c>
      <c r="B302" s="6">
        <v>12301</v>
      </c>
      <c r="C302" s="29" t="s">
        <v>644</v>
      </c>
      <c r="D302" s="6" t="s">
        <v>259</v>
      </c>
      <c r="E302" s="6">
        <v>12302</v>
      </c>
      <c r="F302" s="17"/>
    </row>
    <row r="303" spans="1:6">
      <c r="A303" s="6">
        <v>10067</v>
      </c>
      <c r="B303" s="6">
        <v>12302</v>
      </c>
      <c r="C303" s="29">
        <v>20001</v>
      </c>
      <c r="D303" s="6" t="s">
        <v>422</v>
      </c>
      <c r="E303" s="6">
        <v>12303</v>
      </c>
      <c r="F303" s="17"/>
    </row>
    <row r="304" spans="1:6">
      <c r="A304" s="6">
        <v>10067</v>
      </c>
      <c r="B304" s="6">
        <v>12303</v>
      </c>
      <c r="C304" s="29" t="s">
        <v>675</v>
      </c>
      <c r="D304" s="6" t="s">
        <v>260</v>
      </c>
      <c r="E304" s="6">
        <v>12304</v>
      </c>
      <c r="F304" s="17"/>
    </row>
    <row r="305" spans="1:6">
      <c r="A305" s="6">
        <v>10067</v>
      </c>
      <c r="B305" s="6">
        <v>12304</v>
      </c>
      <c r="C305" s="29">
        <v>20001</v>
      </c>
      <c r="D305" s="6" t="s">
        <v>261</v>
      </c>
      <c r="E305" s="6">
        <v>12305</v>
      </c>
      <c r="F305" s="17"/>
    </row>
    <row r="306" spans="1:6">
      <c r="A306" s="6">
        <v>10067</v>
      </c>
      <c r="B306" s="6">
        <v>12305</v>
      </c>
      <c r="C306" s="29" t="s">
        <v>675</v>
      </c>
      <c r="D306" s="6" t="s">
        <v>262</v>
      </c>
      <c r="E306" s="6">
        <v>0</v>
      </c>
      <c r="F306" s="17"/>
    </row>
    <row r="307" spans="1:6">
      <c r="A307" s="6">
        <v>10068</v>
      </c>
      <c r="B307" s="6">
        <v>12306</v>
      </c>
      <c r="C307" s="29" t="s">
        <v>675</v>
      </c>
      <c r="D307" s="6" t="s">
        <v>263</v>
      </c>
      <c r="E307" s="6">
        <v>12307</v>
      </c>
      <c r="F307" s="17"/>
    </row>
    <row r="308" spans="1:6">
      <c r="A308" s="6">
        <v>10068</v>
      </c>
      <c r="B308" s="6">
        <v>12307</v>
      </c>
      <c r="C308" s="29">
        <v>20001</v>
      </c>
      <c r="D308" s="6" t="s">
        <v>264</v>
      </c>
      <c r="E308" s="6">
        <v>12308</v>
      </c>
      <c r="F308" s="17"/>
    </row>
    <row r="309" spans="1:6">
      <c r="A309" s="6">
        <v>10068</v>
      </c>
      <c r="B309" s="6">
        <v>12308</v>
      </c>
      <c r="C309" s="29" t="s">
        <v>675</v>
      </c>
      <c r="D309" s="6" t="s">
        <v>265</v>
      </c>
      <c r="E309" s="6">
        <v>0</v>
      </c>
      <c r="F309" s="17"/>
    </row>
    <row r="310" spans="1:6">
      <c r="A310" s="6">
        <v>10069</v>
      </c>
      <c r="B310" s="6">
        <v>12309</v>
      </c>
      <c r="C310" s="29" t="s">
        <v>675</v>
      </c>
      <c r="D310" s="6" t="s">
        <v>266</v>
      </c>
      <c r="E310" s="6">
        <v>12310</v>
      </c>
      <c r="F310" s="17"/>
    </row>
    <row r="311" spans="1:6">
      <c r="A311" s="6">
        <v>10069</v>
      </c>
      <c r="B311" s="6">
        <v>12310</v>
      </c>
      <c r="C311" s="29">
        <v>20001</v>
      </c>
      <c r="D311" s="6" t="s">
        <v>267</v>
      </c>
      <c r="E311" s="6">
        <v>12311</v>
      </c>
      <c r="F311" s="17"/>
    </row>
    <row r="312" spans="1:6">
      <c r="A312" s="6">
        <v>10069</v>
      </c>
      <c r="B312" s="6">
        <v>12311</v>
      </c>
      <c r="C312" s="29" t="s">
        <v>675</v>
      </c>
      <c r="D312" s="6" t="s">
        <v>268</v>
      </c>
      <c r="E312" s="6">
        <v>12312</v>
      </c>
      <c r="F312" s="17"/>
    </row>
    <row r="313" spans="1:6">
      <c r="A313" s="6">
        <v>10069</v>
      </c>
      <c r="B313" s="6">
        <v>12312</v>
      </c>
      <c r="C313" s="29">
        <v>20001</v>
      </c>
      <c r="D313" s="6" t="s">
        <v>269</v>
      </c>
      <c r="E313" s="6">
        <v>12313</v>
      </c>
      <c r="F313" s="17"/>
    </row>
    <row r="314" spans="1:6">
      <c r="A314" s="6">
        <v>10069</v>
      </c>
      <c r="B314" s="6">
        <v>12313</v>
      </c>
      <c r="C314" s="29" t="s">
        <v>675</v>
      </c>
      <c r="D314" s="6" t="s">
        <v>270</v>
      </c>
      <c r="E314" s="6">
        <v>12314</v>
      </c>
      <c r="F314" s="17"/>
    </row>
    <row r="315" spans="1:6">
      <c r="A315" s="6">
        <v>10069</v>
      </c>
      <c r="B315" s="6">
        <v>12314</v>
      </c>
      <c r="C315" s="29">
        <v>20001</v>
      </c>
      <c r="D315" s="6" t="s">
        <v>271</v>
      </c>
      <c r="E315" s="6">
        <v>12315</v>
      </c>
      <c r="F315" s="17"/>
    </row>
    <row r="316" spans="1:6">
      <c r="A316" s="6">
        <v>10069</v>
      </c>
      <c r="B316" s="6">
        <v>12315</v>
      </c>
      <c r="C316" s="29" t="s">
        <v>675</v>
      </c>
      <c r="D316" s="6" t="s">
        <v>272</v>
      </c>
      <c r="E316" s="6">
        <v>12316</v>
      </c>
      <c r="F316" s="17"/>
    </row>
    <row r="317" spans="1:6">
      <c r="A317" s="6">
        <v>10069</v>
      </c>
      <c r="B317" s="6">
        <v>12316</v>
      </c>
      <c r="C317" s="29">
        <v>20001</v>
      </c>
      <c r="D317" s="6" t="s">
        <v>273</v>
      </c>
      <c r="E317" s="6">
        <v>12317</v>
      </c>
      <c r="F317" s="17"/>
    </row>
    <row r="318" spans="1:6">
      <c r="A318" s="6">
        <v>10069</v>
      </c>
      <c r="B318" s="6">
        <v>12317</v>
      </c>
      <c r="C318" s="29" t="s">
        <v>675</v>
      </c>
      <c r="D318" s="6" t="s">
        <v>274</v>
      </c>
      <c r="E318" s="6">
        <v>0</v>
      </c>
      <c r="F318" s="17"/>
    </row>
    <row r="319" spans="1:6">
      <c r="A319" s="6">
        <v>10070</v>
      </c>
      <c r="B319" s="6">
        <v>12318</v>
      </c>
      <c r="C319" s="29">
        <v>20001</v>
      </c>
      <c r="D319" s="6" t="s">
        <v>275</v>
      </c>
      <c r="E319" s="6">
        <v>12319</v>
      </c>
      <c r="F319" s="17"/>
    </row>
    <row r="320" spans="1:6">
      <c r="A320" s="6">
        <v>10070</v>
      </c>
      <c r="B320" s="6">
        <v>12319</v>
      </c>
      <c r="C320" s="29" t="s">
        <v>675</v>
      </c>
      <c r="D320" s="6" t="s">
        <v>276</v>
      </c>
      <c r="E320" s="6">
        <v>12320</v>
      </c>
      <c r="F320" s="17"/>
    </row>
    <row r="321" spans="1:6">
      <c r="A321" s="6">
        <v>10070</v>
      </c>
      <c r="B321" s="6">
        <v>12320</v>
      </c>
      <c r="C321" s="29" t="s">
        <v>643</v>
      </c>
      <c r="D321" s="6" t="s">
        <v>277</v>
      </c>
      <c r="E321" s="6">
        <v>12321</v>
      </c>
      <c r="F321" s="17"/>
    </row>
    <row r="322" spans="1:6">
      <c r="A322" s="6">
        <v>10070</v>
      </c>
      <c r="B322" s="6">
        <v>12321</v>
      </c>
      <c r="C322" s="29">
        <v>20001</v>
      </c>
      <c r="D322" s="6" t="s">
        <v>278</v>
      </c>
      <c r="E322" s="6">
        <v>12322</v>
      </c>
      <c r="F322" s="17"/>
    </row>
    <row r="323" spans="1:6">
      <c r="A323" s="6">
        <v>10070</v>
      </c>
      <c r="B323" s="6">
        <v>12322</v>
      </c>
      <c r="C323" s="29" t="s">
        <v>643</v>
      </c>
      <c r="D323" s="6" t="s">
        <v>279</v>
      </c>
      <c r="E323" s="6">
        <v>0</v>
      </c>
      <c r="F323" s="17"/>
    </row>
    <row r="324" spans="1:6">
      <c r="A324" s="6">
        <v>10071</v>
      </c>
      <c r="B324" s="6">
        <v>12323</v>
      </c>
      <c r="C324" s="29" t="s">
        <v>676</v>
      </c>
      <c r="D324" s="6" t="s">
        <v>280</v>
      </c>
      <c r="E324" s="6">
        <v>12324</v>
      </c>
      <c r="F324" s="17"/>
    </row>
    <row r="325" spans="1:6">
      <c r="A325" s="6">
        <v>10071</v>
      </c>
      <c r="B325" s="6">
        <v>12324</v>
      </c>
      <c r="C325" s="29">
        <v>20001</v>
      </c>
      <c r="D325" s="6" t="s">
        <v>281</v>
      </c>
      <c r="E325" s="6">
        <v>12325</v>
      </c>
      <c r="F325" s="17"/>
    </row>
    <row r="326" spans="1:6">
      <c r="A326" s="6">
        <v>10071</v>
      </c>
      <c r="B326" s="6">
        <v>12325</v>
      </c>
      <c r="C326" s="29" t="s">
        <v>676</v>
      </c>
      <c r="D326" s="6" t="s">
        <v>630</v>
      </c>
      <c r="E326" s="6">
        <v>12326</v>
      </c>
      <c r="F326" s="17"/>
    </row>
    <row r="327" spans="1:6">
      <c r="A327" s="6">
        <v>10071</v>
      </c>
      <c r="B327" s="6">
        <v>12326</v>
      </c>
      <c r="C327" s="29">
        <v>20001</v>
      </c>
      <c r="D327" s="6" t="s">
        <v>282</v>
      </c>
      <c r="E327" s="6">
        <v>12327</v>
      </c>
      <c r="F327" s="17"/>
    </row>
    <row r="328" spans="1:6">
      <c r="A328" s="6">
        <v>10071</v>
      </c>
      <c r="B328" s="6">
        <v>12327</v>
      </c>
      <c r="C328" s="29" t="s">
        <v>676</v>
      </c>
      <c r="D328" s="6" t="s">
        <v>631</v>
      </c>
      <c r="E328" s="6">
        <v>0</v>
      </c>
      <c r="F328" s="17"/>
    </row>
    <row r="329" spans="1:6">
      <c r="A329" s="6">
        <v>10072</v>
      </c>
      <c r="B329" s="6">
        <v>12328</v>
      </c>
      <c r="C329" s="29" t="s">
        <v>676</v>
      </c>
      <c r="D329" s="6" t="s">
        <v>283</v>
      </c>
      <c r="E329" s="6">
        <v>0</v>
      </c>
      <c r="F329" s="17"/>
    </row>
    <row r="330" spans="1:6">
      <c r="A330" s="6">
        <v>10073</v>
      </c>
      <c r="B330" s="6">
        <v>12329</v>
      </c>
      <c r="C330" s="29" t="s">
        <v>677</v>
      </c>
      <c r="D330" s="6" t="s">
        <v>284</v>
      </c>
      <c r="E330" s="6">
        <v>12330</v>
      </c>
      <c r="F330" s="17"/>
    </row>
    <row r="331" spans="1:6">
      <c r="A331" s="6">
        <v>10073</v>
      </c>
      <c r="B331" s="6">
        <v>12330</v>
      </c>
      <c r="C331" s="29" t="s">
        <v>678</v>
      </c>
      <c r="D331" s="6" t="s">
        <v>285</v>
      </c>
      <c r="E331" s="6">
        <v>12331</v>
      </c>
      <c r="F331" s="17"/>
    </row>
    <row r="332" spans="1:6">
      <c r="A332" s="6">
        <v>10073</v>
      </c>
      <c r="B332" s="6">
        <v>12331</v>
      </c>
      <c r="C332" s="29">
        <v>20001</v>
      </c>
      <c r="D332" s="6" t="s">
        <v>286</v>
      </c>
      <c r="E332" s="6">
        <v>12332</v>
      </c>
      <c r="F332" s="17"/>
    </row>
    <row r="333" spans="1:6">
      <c r="A333" s="6">
        <v>10073</v>
      </c>
      <c r="B333" s="6">
        <v>12332</v>
      </c>
      <c r="C333" s="29" t="s">
        <v>677</v>
      </c>
      <c r="D333" s="6" t="s">
        <v>287</v>
      </c>
      <c r="E333" s="6">
        <v>12333</v>
      </c>
      <c r="F333" s="17"/>
    </row>
    <row r="334" spans="1:6">
      <c r="A334" s="6">
        <v>10073</v>
      </c>
      <c r="B334" s="6">
        <v>12333</v>
      </c>
      <c r="C334" s="29">
        <v>20001</v>
      </c>
      <c r="D334" s="6" t="s">
        <v>288</v>
      </c>
      <c r="E334" s="6">
        <v>0</v>
      </c>
      <c r="F334" s="17"/>
    </row>
    <row r="335" spans="1:6">
      <c r="A335" s="6">
        <v>10074</v>
      </c>
      <c r="B335" s="6">
        <v>12334</v>
      </c>
      <c r="C335" s="29">
        <v>20001</v>
      </c>
      <c r="D335" s="6" t="s">
        <v>289</v>
      </c>
      <c r="E335" s="6">
        <v>12335</v>
      </c>
      <c r="F335" s="17"/>
    </row>
    <row r="336" spans="1:6">
      <c r="A336" s="6">
        <v>10074</v>
      </c>
      <c r="B336" s="6">
        <v>12335</v>
      </c>
      <c r="C336" s="29" t="s">
        <v>678</v>
      </c>
      <c r="D336" s="6" t="s">
        <v>290</v>
      </c>
      <c r="E336" s="6">
        <v>12336</v>
      </c>
      <c r="F336" s="17"/>
    </row>
    <row r="337" spans="1:6">
      <c r="A337" s="6">
        <v>10074</v>
      </c>
      <c r="B337" s="6">
        <v>12336</v>
      </c>
      <c r="C337" s="29" t="s">
        <v>677</v>
      </c>
      <c r="D337" s="6" t="s">
        <v>291</v>
      </c>
      <c r="E337" s="6">
        <v>0</v>
      </c>
      <c r="F337" s="17"/>
    </row>
    <row r="338" spans="1:6">
      <c r="A338" s="6">
        <v>10075</v>
      </c>
      <c r="B338" s="6">
        <v>12337</v>
      </c>
      <c r="C338" s="29" t="s">
        <v>643</v>
      </c>
      <c r="D338" s="6" t="s">
        <v>292</v>
      </c>
      <c r="E338" s="6">
        <v>12338</v>
      </c>
      <c r="F338" s="17"/>
    </row>
    <row r="339" spans="1:6">
      <c r="A339" s="6">
        <v>10075</v>
      </c>
      <c r="B339" s="6">
        <v>12338</v>
      </c>
      <c r="C339" s="29" t="s">
        <v>679</v>
      </c>
      <c r="D339" s="6" t="s">
        <v>293</v>
      </c>
      <c r="E339" s="6">
        <v>12339</v>
      </c>
      <c r="F339" s="17"/>
    </row>
    <row r="340" spans="1:6">
      <c r="A340" s="6">
        <v>10075</v>
      </c>
      <c r="B340" s="6">
        <v>12339</v>
      </c>
      <c r="C340" s="29" t="s">
        <v>643</v>
      </c>
      <c r="D340" s="6" t="s">
        <v>642</v>
      </c>
      <c r="E340" s="6">
        <v>12340</v>
      </c>
      <c r="F340" s="17"/>
    </row>
    <row r="341" spans="1:6">
      <c r="A341" s="6">
        <v>10075</v>
      </c>
      <c r="B341" s="6">
        <v>12340</v>
      </c>
      <c r="C341" s="29" t="s">
        <v>679</v>
      </c>
      <c r="D341" s="28" t="s">
        <v>641</v>
      </c>
      <c r="E341" s="6">
        <v>12341</v>
      </c>
      <c r="F341" s="17"/>
    </row>
    <row r="342" spans="1:6">
      <c r="A342" s="6">
        <v>10075</v>
      </c>
      <c r="B342" s="6">
        <v>12341</v>
      </c>
      <c r="C342" s="29" t="s">
        <v>643</v>
      </c>
      <c r="D342" s="6" t="s">
        <v>294</v>
      </c>
      <c r="E342" s="6">
        <v>12342</v>
      </c>
      <c r="F342" s="17"/>
    </row>
    <row r="343" spans="1:6">
      <c r="A343" s="6">
        <v>10075</v>
      </c>
      <c r="B343" s="6">
        <v>12342</v>
      </c>
      <c r="C343" s="29">
        <v>20001</v>
      </c>
      <c r="D343" s="6" t="s">
        <v>295</v>
      </c>
      <c r="E343" s="6">
        <v>0</v>
      </c>
      <c r="F343" s="17"/>
    </row>
    <row r="344" spans="1:6">
      <c r="A344" s="6">
        <v>10076</v>
      </c>
      <c r="B344" s="6">
        <v>12343</v>
      </c>
      <c r="C344" s="29">
        <v>20001</v>
      </c>
      <c r="D344" s="6" t="s">
        <v>296</v>
      </c>
      <c r="E344" s="6">
        <v>12344</v>
      </c>
      <c r="F344" s="17"/>
    </row>
    <row r="345" spans="1:6">
      <c r="A345" s="6">
        <v>10076</v>
      </c>
      <c r="B345" s="6">
        <v>12344</v>
      </c>
      <c r="C345" s="29" t="s">
        <v>644</v>
      </c>
      <c r="D345" s="6" t="s">
        <v>297</v>
      </c>
      <c r="E345" s="6">
        <v>12345</v>
      </c>
      <c r="F345" s="17"/>
    </row>
    <row r="346" spans="1:6" s="19" customFormat="1">
      <c r="A346" s="6">
        <v>10076</v>
      </c>
      <c r="B346" s="6">
        <v>12345</v>
      </c>
      <c r="C346" s="29" t="s">
        <v>680</v>
      </c>
      <c r="D346" s="6" t="s">
        <v>298</v>
      </c>
      <c r="E346" s="6">
        <v>12346</v>
      </c>
    </row>
    <row r="347" spans="1:6">
      <c r="A347" s="6">
        <v>10076</v>
      </c>
      <c r="B347" s="6">
        <v>12346</v>
      </c>
      <c r="C347" s="29">
        <v>20001</v>
      </c>
      <c r="D347" s="6" t="s">
        <v>299</v>
      </c>
      <c r="E347" s="6">
        <v>12347</v>
      </c>
      <c r="F347" s="17"/>
    </row>
    <row r="348" spans="1:6">
      <c r="A348" s="6">
        <v>10076</v>
      </c>
      <c r="B348" s="6">
        <v>12347</v>
      </c>
      <c r="C348" s="29" t="s">
        <v>680</v>
      </c>
      <c r="D348" s="6" t="s">
        <v>300</v>
      </c>
      <c r="E348" s="6">
        <v>0</v>
      </c>
      <c r="F348" s="17"/>
    </row>
    <row r="349" spans="1:6">
      <c r="A349" s="6">
        <v>10077</v>
      </c>
      <c r="B349" s="6">
        <v>12348</v>
      </c>
      <c r="C349" s="29">
        <v>20001</v>
      </c>
      <c r="D349" s="6" t="s">
        <v>301</v>
      </c>
      <c r="E349" s="6">
        <v>12349</v>
      </c>
      <c r="F349" s="17"/>
    </row>
    <row r="350" spans="1:6">
      <c r="A350" s="6">
        <v>10077</v>
      </c>
      <c r="B350" s="6">
        <v>12349</v>
      </c>
      <c r="C350" s="29" t="s">
        <v>675</v>
      </c>
      <c r="D350" s="6" t="s">
        <v>632</v>
      </c>
      <c r="E350" s="6">
        <v>12350</v>
      </c>
      <c r="F350" s="17"/>
    </row>
    <row r="351" spans="1:6">
      <c r="A351" s="6">
        <v>10077</v>
      </c>
      <c r="B351" s="6">
        <v>12350</v>
      </c>
      <c r="C351" s="29" t="s">
        <v>681</v>
      </c>
      <c r="D351" s="6" t="s">
        <v>302</v>
      </c>
      <c r="E351" s="6">
        <v>12351</v>
      </c>
      <c r="F351" s="17"/>
    </row>
    <row r="352" spans="1:6">
      <c r="A352" s="6">
        <v>10077</v>
      </c>
      <c r="B352" s="6">
        <v>12351</v>
      </c>
      <c r="C352" s="29">
        <v>20001</v>
      </c>
      <c r="D352" s="6" t="s">
        <v>303</v>
      </c>
      <c r="E352" s="6">
        <v>0</v>
      </c>
      <c r="F352" s="17"/>
    </row>
    <row r="353" spans="1:6">
      <c r="A353" s="6">
        <v>10078</v>
      </c>
      <c r="B353" s="6">
        <v>12352</v>
      </c>
      <c r="C353" s="29" t="s">
        <v>675</v>
      </c>
      <c r="D353" s="6" t="s">
        <v>304</v>
      </c>
      <c r="E353" s="6">
        <v>12353</v>
      </c>
      <c r="F353" s="17"/>
    </row>
    <row r="354" spans="1:6">
      <c r="A354" s="6">
        <v>10078</v>
      </c>
      <c r="B354" s="6">
        <v>12353</v>
      </c>
      <c r="C354" s="29">
        <v>20001</v>
      </c>
      <c r="D354" s="6" t="s">
        <v>305</v>
      </c>
      <c r="E354" s="6">
        <v>12354</v>
      </c>
      <c r="F354" s="17"/>
    </row>
    <row r="355" spans="1:6">
      <c r="A355" s="6">
        <v>10078</v>
      </c>
      <c r="B355" s="6">
        <v>12354</v>
      </c>
      <c r="C355" s="29" t="s">
        <v>675</v>
      </c>
      <c r="D355" s="6" t="s">
        <v>306</v>
      </c>
      <c r="E355" s="6">
        <v>12355</v>
      </c>
      <c r="F355" s="17"/>
    </row>
    <row r="356" spans="1:6">
      <c r="A356" s="6">
        <v>10078</v>
      </c>
      <c r="B356" s="6">
        <v>12355</v>
      </c>
      <c r="C356" s="29">
        <v>20001</v>
      </c>
      <c r="D356" s="6" t="s">
        <v>307</v>
      </c>
      <c r="E356" s="6">
        <v>12356</v>
      </c>
      <c r="F356" s="17"/>
    </row>
    <row r="357" spans="1:6">
      <c r="A357" s="6">
        <v>10078</v>
      </c>
      <c r="B357" s="6">
        <v>12356</v>
      </c>
      <c r="C357" s="29" t="s">
        <v>675</v>
      </c>
      <c r="D357" s="6" t="s">
        <v>308</v>
      </c>
      <c r="E357" s="6">
        <v>0</v>
      </c>
      <c r="F357" s="17"/>
    </row>
    <row r="358" spans="1:6">
      <c r="A358" s="6">
        <v>10079</v>
      </c>
      <c r="B358" s="6">
        <v>12357</v>
      </c>
      <c r="C358" s="29">
        <v>20001</v>
      </c>
      <c r="D358" s="6" t="s">
        <v>309</v>
      </c>
      <c r="E358" s="6">
        <v>12358</v>
      </c>
      <c r="F358" s="17"/>
    </row>
    <row r="359" spans="1:6">
      <c r="A359" s="6">
        <v>10079</v>
      </c>
      <c r="B359" s="6">
        <v>12358</v>
      </c>
      <c r="C359" s="29" t="s">
        <v>643</v>
      </c>
      <c r="D359" s="6" t="s">
        <v>310</v>
      </c>
      <c r="E359" s="6">
        <v>12359</v>
      </c>
      <c r="F359" s="17"/>
    </row>
    <row r="360" spans="1:6">
      <c r="A360" s="6">
        <v>10079</v>
      </c>
      <c r="B360" s="6">
        <v>12359</v>
      </c>
      <c r="C360" s="29">
        <v>20001</v>
      </c>
      <c r="D360" s="6" t="s">
        <v>311</v>
      </c>
      <c r="E360" s="6">
        <v>12360</v>
      </c>
      <c r="F360" s="17"/>
    </row>
    <row r="361" spans="1:6">
      <c r="A361" s="6">
        <v>10079</v>
      </c>
      <c r="B361" s="6">
        <v>12360</v>
      </c>
      <c r="C361" s="29" t="s">
        <v>643</v>
      </c>
      <c r="D361" s="6" t="s">
        <v>312</v>
      </c>
      <c r="E361" s="6">
        <v>12361</v>
      </c>
      <c r="F361" s="17"/>
    </row>
    <row r="362" spans="1:6">
      <c r="A362" s="6">
        <v>10079</v>
      </c>
      <c r="B362" s="6">
        <v>12361</v>
      </c>
      <c r="C362" s="29">
        <v>20001</v>
      </c>
      <c r="D362" s="6" t="s">
        <v>313</v>
      </c>
      <c r="E362" s="6">
        <v>12362</v>
      </c>
      <c r="F362" s="17"/>
    </row>
    <row r="363" spans="1:6">
      <c r="A363" s="6">
        <v>10079</v>
      </c>
      <c r="B363" s="6">
        <v>12362</v>
      </c>
      <c r="C363" s="29" t="s">
        <v>643</v>
      </c>
      <c r="D363" s="6" t="s">
        <v>314</v>
      </c>
      <c r="E363" s="6">
        <v>12363</v>
      </c>
      <c r="F363" s="17"/>
    </row>
    <row r="364" spans="1:6">
      <c r="A364" s="6">
        <v>10079</v>
      </c>
      <c r="B364" s="6">
        <v>12363</v>
      </c>
      <c r="C364" s="29">
        <v>20001</v>
      </c>
      <c r="D364" s="6" t="s">
        <v>315</v>
      </c>
      <c r="E364" s="6">
        <v>0</v>
      </c>
      <c r="F364" s="17"/>
    </row>
    <row r="365" spans="1:6">
      <c r="A365" s="6">
        <v>10080</v>
      </c>
      <c r="B365" s="6">
        <v>12364</v>
      </c>
      <c r="C365" s="29" t="s">
        <v>643</v>
      </c>
      <c r="D365" s="6" t="s">
        <v>316</v>
      </c>
      <c r="E365" s="6">
        <v>12365</v>
      </c>
      <c r="F365" s="17"/>
    </row>
    <row r="366" spans="1:6">
      <c r="A366" s="6">
        <v>10080</v>
      </c>
      <c r="B366" s="6">
        <v>12365</v>
      </c>
      <c r="C366" s="29">
        <v>20001</v>
      </c>
      <c r="D366" s="6" t="s">
        <v>317</v>
      </c>
      <c r="E366" s="6">
        <v>12366</v>
      </c>
      <c r="F366" s="17"/>
    </row>
    <row r="367" spans="1:6">
      <c r="A367" s="6">
        <v>10080</v>
      </c>
      <c r="B367" s="6">
        <v>12366</v>
      </c>
      <c r="C367" s="29" t="s">
        <v>644</v>
      </c>
      <c r="D367" s="6" t="s">
        <v>318</v>
      </c>
      <c r="E367" s="6">
        <v>12367</v>
      </c>
      <c r="F367" s="17"/>
    </row>
    <row r="368" spans="1:6">
      <c r="A368" s="6">
        <v>10080</v>
      </c>
      <c r="B368" s="6">
        <v>12367</v>
      </c>
      <c r="C368" s="29">
        <v>20001</v>
      </c>
      <c r="D368" s="6" t="s">
        <v>633</v>
      </c>
      <c r="E368" s="6">
        <v>12368</v>
      </c>
      <c r="F368" s="17"/>
    </row>
    <row r="369" spans="1:6">
      <c r="A369" s="6">
        <v>10080</v>
      </c>
      <c r="B369" s="6">
        <v>12368</v>
      </c>
      <c r="C369" s="29" t="s">
        <v>643</v>
      </c>
      <c r="D369" s="6" t="s">
        <v>319</v>
      </c>
      <c r="E369" s="6">
        <v>0</v>
      </c>
      <c r="F369" s="17"/>
    </row>
    <row r="370" spans="1:6">
      <c r="A370" s="6">
        <v>10081</v>
      </c>
      <c r="B370" s="6">
        <v>12369</v>
      </c>
      <c r="C370" s="29" t="s">
        <v>643</v>
      </c>
      <c r="D370" s="6" t="s">
        <v>634</v>
      </c>
      <c r="E370" s="6">
        <v>12370</v>
      </c>
      <c r="F370" s="17"/>
    </row>
    <row r="371" spans="1:6">
      <c r="A371" s="6">
        <v>10081</v>
      </c>
      <c r="B371" s="6">
        <v>12370</v>
      </c>
      <c r="C371" s="29">
        <v>20001</v>
      </c>
      <c r="D371" s="6" t="s">
        <v>320</v>
      </c>
      <c r="E371" s="6">
        <v>12371</v>
      </c>
      <c r="F371" s="17"/>
    </row>
    <row r="372" spans="1:6">
      <c r="A372" s="6">
        <v>10081</v>
      </c>
      <c r="B372" s="6">
        <v>12371</v>
      </c>
      <c r="C372" s="29" t="s">
        <v>682</v>
      </c>
      <c r="D372" s="6" t="s">
        <v>321</v>
      </c>
      <c r="E372" s="6">
        <v>12372</v>
      </c>
      <c r="F372" s="17"/>
    </row>
    <row r="373" spans="1:6">
      <c r="A373" s="6">
        <v>10081</v>
      </c>
      <c r="B373" s="6">
        <v>12372</v>
      </c>
      <c r="C373" s="29" t="s">
        <v>683</v>
      </c>
      <c r="D373" s="6" t="s">
        <v>322</v>
      </c>
      <c r="E373" s="6">
        <v>12373</v>
      </c>
      <c r="F373" s="17"/>
    </row>
    <row r="374" spans="1:6">
      <c r="A374" s="6">
        <v>10081</v>
      </c>
      <c r="B374" s="6">
        <v>12373</v>
      </c>
      <c r="C374" s="29" t="s">
        <v>682</v>
      </c>
      <c r="D374" s="6" t="s">
        <v>323</v>
      </c>
      <c r="E374" s="6">
        <v>0</v>
      </c>
      <c r="F374" s="17"/>
    </row>
    <row r="375" spans="1:6">
      <c r="A375" s="6">
        <v>10082</v>
      </c>
      <c r="B375" s="6">
        <v>12374</v>
      </c>
      <c r="C375" s="29">
        <v>20001</v>
      </c>
      <c r="D375" s="6" t="s">
        <v>324</v>
      </c>
      <c r="E375" s="6">
        <v>12375</v>
      </c>
      <c r="F375" s="17"/>
    </row>
    <row r="376" spans="1:6">
      <c r="A376" s="6">
        <v>10082</v>
      </c>
      <c r="B376" s="6">
        <v>12375</v>
      </c>
      <c r="C376" s="29" t="s">
        <v>682</v>
      </c>
      <c r="D376" s="6" t="s">
        <v>325</v>
      </c>
      <c r="E376" s="6">
        <v>12376</v>
      </c>
      <c r="F376" s="17"/>
    </row>
    <row r="377" spans="1:6">
      <c r="A377" s="6">
        <v>10082</v>
      </c>
      <c r="B377" s="6">
        <v>12376</v>
      </c>
      <c r="C377" s="29" t="s">
        <v>683</v>
      </c>
      <c r="D377" s="6" t="s">
        <v>326</v>
      </c>
      <c r="E377" s="6">
        <v>12377</v>
      </c>
      <c r="F377" s="17"/>
    </row>
    <row r="378" spans="1:6">
      <c r="A378" s="6">
        <v>10082</v>
      </c>
      <c r="B378" s="6">
        <v>12377</v>
      </c>
      <c r="C378" s="29" t="s">
        <v>682</v>
      </c>
      <c r="D378" s="6" t="s">
        <v>327</v>
      </c>
      <c r="E378" s="6">
        <v>0</v>
      </c>
      <c r="F378" s="17"/>
    </row>
    <row r="379" spans="1:6">
      <c r="A379" s="6">
        <v>10083</v>
      </c>
      <c r="B379" s="6">
        <v>12378</v>
      </c>
      <c r="C379" s="29" t="s">
        <v>684</v>
      </c>
      <c r="D379" s="6" t="s">
        <v>328</v>
      </c>
      <c r="E379" s="6">
        <v>12379</v>
      </c>
      <c r="F379" s="17"/>
    </row>
    <row r="380" spans="1:6">
      <c r="A380" s="6">
        <v>10083</v>
      </c>
      <c r="B380" s="6">
        <v>12379</v>
      </c>
      <c r="C380" s="29" t="s">
        <v>644</v>
      </c>
      <c r="D380" s="6" t="s">
        <v>329</v>
      </c>
      <c r="E380" s="6">
        <v>12380</v>
      </c>
      <c r="F380" s="17"/>
    </row>
    <row r="381" spans="1:6">
      <c r="A381" s="6">
        <v>10083</v>
      </c>
      <c r="B381" s="6">
        <v>12380</v>
      </c>
      <c r="C381" s="29">
        <v>20001</v>
      </c>
      <c r="D381" s="6" t="s">
        <v>423</v>
      </c>
      <c r="E381" s="6">
        <v>12381</v>
      </c>
      <c r="F381" s="17"/>
    </row>
    <row r="382" spans="1:6" s="17" customFormat="1">
      <c r="A382" s="6">
        <v>10083</v>
      </c>
      <c r="B382" s="6">
        <v>12381</v>
      </c>
      <c r="C382" s="29" t="s">
        <v>684</v>
      </c>
      <c r="D382" s="6" t="s">
        <v>330</v>
      </c>
      <c r="E382" s="6">
        <v>0</v>
      </c>
    </row>
    <row r="383" spans="1:6">
      <c r="A383" s="6">
        <v>10084</v>
      </c>
      <c r="B383" s="6">
        <v>12382</v>
      </c>
      <c r="C383" s="29" t="s">
        <v>682</v>
      </c>
      <c r="D383" s="6" t="s">
        <v>331</v>
      </c>
      <c r="E383" s="6">
        <v>12383</v>
      </c>
      <c r="F383" s="17"/>
    </row>
    <row r="384" spans="1:6">
      <c r="A384" s="6">
        <v>10084</v>
      </c>
      <c r="B384" s="6">
        <v>12383</v>
      </c>
      <c r="C384" s="29" t="s">
        <v>684</v>
      </c>
      <c r="D384" s="6" t="s">
        <v>332</v>
      </c>
      <c r="E384" s="6">
        <v>12384</v>
      </c>
      <c r="F384" s="17"/>
    </row>
    <row r="385" spans="1:6">
      <c r="A385" s="6">
        <v>10084</v>
      </c>
      <c r="B385" s="6">
        <v>12384</v>
      </c>
      <c r="C385" s="29" t="s">
        <v>682</v>
      </c>
      <c r="D385" s="6" t="s">
        <v>333</v>
      </c>
      <c r="E385" s="6">
        <v>12385</v>
      </c>
      <c r="F385" s="17"/>
    </row>
    <row r="386" spans="1:6">
      <c r="A386" s="6">
        <v>10084</v>
      </c>
      <c r="B386" s="6">
        <v>12385</v>
      </c>
      <c r="C386" s="29">
        <v>20001</v>
      </c>
      <c r="D386" s="6" t="s">
        <v>334</v>
      </c>
      <c r="E386" s="6">
        <v>12386</v>
      </c>
      <c r="F386" s="17"/>
    </row>
    <row r="387" spans="1:6">
      <c r="A387" s="6">
        <v>10084</v>
      </c>
      <c r="B387" s="6">
        <v>12386</v>
      </c>
      <c r="C387" s="29" t="s">
        <v>683</v>
      </c>
      <c r="D387" s="6" t="s">
        <v>335</v>
      </c>
      <c r="E387" s="6">
        <v>12387</v>
      </c>
      <c r="F387" s="17"/>
    </row>
    <row r="388" spans="1:6">
      <c r="A388" s="6">
        <v>10084</v>
      </c>
      <c r="B388" s="6">
        <v>12387</v>
      </c>
      <c r="C388" s="29" t="s">
        <v>683</v>
      </c>
      <c r="D388" s="6" t="s">
        <v>336</v>
      </c>
      <c r="E388" s="6">
        <v>0</v>
      </c>
      <c r="F388" s="17"/>
    </row>
    <row r="389" spans="1:6">
      <c r="A389" s="6">
        <v>10085</v>
      </c>
      <c r="B389" s="6">
        <v>12388</v>
      </c>
      <c r="C389" s="29">
        <v>20001</v>
      </c>
      <c r="D389" s="6" t="s">
        <v>337</v>
      </c>
      <c r="E389" s="6">
        <v>12389</v>
      </c>
      <c r="F389" s="17"/>
    </row>
    <row r="390" spans="1:6">
      <c r="A390" s="6">
        <v>10085</v>
      </c>
      <c r="B390" s="6">
        <v>12389</v>
      </c>
      <c r="C390" s="29" t="s">
        <v>644</v>
      </c>
      <c r="D390" s="6" t="s">
        <v>338</v>
      </c>
      <c r="E390" s="6">
        <v>12390</v>
      </c>
      <c r="F390" s="17"/>
    </row>
    <row r="391" spans="1:6">
      <c r="A391" s="6">
        <v>10085</v>
      </c>
      <c r="B391" s="6">
        <v>12390</v>
      </c>
      <c r="C391" s="29">
        <v>20001</v>
      </c>
      <c r="D391" s="6" t="s">
        <v>339</v>
      </c>
      <c r="E391" s="6">
        <v>12391</v>
      </c>
      <c r="F391" s="17"/>
    </row>
    <row r="392" spans="1:6">
      <c r="A392" s="6">
        <v>10085</v>
      </c>
      <c r="B392" s="6">
        <v>12391</v>
      </c>
      <c r="C392" s="29" t="s">
        <v>684</v>
      </c>
      <c r="D392" s="6" t="s">
        <v>340</v>
      </c>
      <c r="E392" s="6">
        <v>12392</v>
      </c>
      <c r="F392" s="17"/>
    </row>
    <row r="393" spans="1:6">
      <c r="A393" s="6">
        <v>10085</v>
      </c>
      <c r="B393" s="6">
        <v>12392</v>
      </c>
      <c r="C393" s="29" t="s">
        <v>683</v>
      </c>
      <c r="D393" s="6" t="s">
        <v>341</v>
      </c>
      <c r="E393" s="6">
        <v>12393</v>
      </c>
      <c r="F393" s="17"/>
    </row>
    <row r="394" spans="1:6">
      <c r="A394" s="6">
        <v>10085</v>
      </c>
      <c r="B394" s="6">
        <v>12393</v>
      </c>
      <c r="C394" s="29" t="s">
        <v>670</v>
      </c>
      <c r="D394" s="6" t="s">
        <v>342</v>
      </c>
      <c r="E394" s="6">
        <v>12394</v>
      </c>
      <c r="F394" s="17"/>
    </row>
    <row r="395" spans="1:6">
      <c r="A395" s="6">
        <v>10085</v>
      </c>
      <c r="B395" s="6">
        <v>12394</v>
      </c>
      <c r="C395" s="29">
        <v>20001</v>
      </c>
      <c r="D395" s="6" t="s">
        <v>343</v>
      </c>
      <c r="E395" s="6">
        <v>0</v>
      </c>
      <c r="F395" s="17"/>
    </row>
    <row r="396" spans="1:6">
      <c r="A396" s="6">
        <v>10086</v>
      </c>
      <c r="B396" s="6">
        <v>12395</v>
      </c>
      <c r="C396" s="29">
        <v>20001</v>
      </c>
      <c r="D396" s="6" t="s">
        <v>344</v>
      </c>
      <c r="E396" s="6">
        <v>12396</v>
      </c>
      <c r="F396" s="17"/>
    </row>
    <row r="397" spans="1:6">
      <c r="A397" s="6">
        <v>10086</v>
      </c>
      <c r="B397" s="6">
        <v>12396</v>
      </c>
      <c r="C397" s="29" t="s">
        <v>670</v>
      </c>
      <c r="D397" s="6" t="s">
        <v>345</v>
      </c>
      <c r="E397" s="6">
        <v>12397</v>
      </c>
      <c r="F397" s="17"/>
    </row>
    <row r="398" spans="1:6">
      <c r="A398" s="6">
        <v>10086</v>
      </c>
      <c r="B398" s="6">
        <v>12397</v>
      </c>
      <c r="C398" s="29">
        <v>20001</v>
      </c>
      <c r="D398" s="6" t="s">
        <v>346</v>
      </c>
      <c r="E398" s="6">
        <v>12398</v>
      </c>
      <c r="F398" s="17"/>
    </row>
    <row r="399" spans="1:6">
      <c r="A399" s="6">
        <v>10086</v>
      </c>
      <c r="B399" s="6">
        <v>12398</v>
      </c>
      <c r="C399" s="29" t="s">
        <v>670</v>
      </c>
      <c r="D399" s="6" t="s">
        <v>347</v>
      </c>
      <c r="E399" s="6">
        <v>12399</v>
      </c>
      <c r="F399" s="17"/>
    </row>
    <row r="400" spans="1:6" s="17" customFormat="1">
      <c r="A400" s="6">
        <v>10086</v>
      </c>
      <c r="B400" s="6">
        <v>12399</v>
      </c>
      <c r="C400" s="29">
        <v>20001</v>
      </c>
      <c r="D400" s="6" t="s">
        <v>348</v>
      </c>
      <c r="E400" s="6">
        <v>12400</v>
      </c>
    </row>
    <row r="401" spans="1:6">
      <c r="A401" s="6">
        <v>10086</v>
      </c>
      <c r="B401" s="6">
        <v>12400</v>
      </c>
      <c r="C401" s="29" t="s">
        <v>684</v>
      </c>
      <c r="D401" s="6" t="s">
        <v>349</v>
      </c>
      <c r="E401" s="6">
        <v>0</v>
      </c>
      <c r="F401" s="17"/>
    </row>
    <row r="402" spans="1:6">
      <c r="A402" s="6">
        <v>10087</v>
      </c>
      <c r="B402" s="6">
        <v>12401</v>
      </c>
      <c r="C402" s="29" t="s">
        <v>644</v>
      </c>
      <c r="D402" s="6" t="s">
        <v>350</v>
      </c>
      <c r="E402" s="6">
        <v>12402</v>
      </c>
      <c r="F402" s="17"/>
    </row>
    <row r="403" spans="1:6">
      <c r="A403" s="6">
        <v>10087</v>
      </c>
      <c r="B403" s="6">
        <v>12402</v>
      </c>
      <c r="C403" s="29">
        <v>20001</v>
      </c>
      <c r="D403" s="6" t="s">
        <v>351</v>
      </c>
      <c r="E403" s="6">
        <v>12403</v>
      </c>
      <c r="F403" s="17"/>
    </row>
    <row r="404" spans="1:6">
      <c r="A404" s="6">
        <v>10087</v>
      </c>
      <c r="B404" s="6">
        <v>12403</v>
      </c>
      <c r="C404" s="29" t="s">
        <v>644</v>
      </c>
      <c r="D404" s="6" t="s">
        <v>352</v>
      </c>
      <c r="E404" s="6">
        <v>12404</v>
      </c>
      <c r="F404" s="17"/>
    </row>
    <row r="405" spans="1:6">
      <c r="A405" s="6">
        <v>10087</v>
      </c>
      <c r="B405" s="6">
        <v>12404</v>
      </c>
      <c r="C405" s="29" t="s">
        <v>685</v>
      </c>
      <c r="D405" s="6" t="s">
        <v>353</v>
      </c>
      <c r="E405" s="6">
        <v>12405</v>
      </c>
      <c r="F405" s="17"/>
    </row>
    <row r="406" spans="1:6">
      <c r="A406" s="6">
        <v>10087</v>
      </c>
      <c r="B406" s="6">
        <v>12405</v>
      </c>
      <c r="C406" s="29">
        <v>20001</v>
      </c>
      <c r="D406" s="6" t="s">
        <v>354</v>
      </c>
      <c r="E406" s="6">
        <v>12406</v>
      </c>
      <c r="F406" s="17"/>
    </row>
    <row r="407" spans="1:6">
      <c r="A407" s="6">
        <v>10087</v>
      </c>
      <c r="B407" s="6">
        <v>12406</v>
      </c>
      <c r="C407" s="29" t="s">
        <v>685</v>
      </c>
      <c r="D407" s="6" t="s">
        <v>355</v>
      </c>
      <c r="E407" s="6">
        <v>0</v>
      </c>
      <c r="F407" s="17"/>
    </row>
    <row r="408" spans="1:6">
      <c r="A408" s="6">
        <v>10088</v>
      </c>
      <c r="B408" s="6">
        <v>12407</v>
      </c>
      <c r="C408" s="29" t="s">
        <v>685</v>
      </c>
      <c r="D408" s="6" t="s">
        <v>356</v>
      </c>
      <c r="E408" s="6">
        <v>12408</v>
      </c>
      <c r="F408" s="17"/>
    </row>
    <row r="409" spans="1:6">
      <c r="A409" s="6">
        <v>10088</v>
      </c>
      <c r="B409" s="6">
        <v>12408</v>
      </c>
      <c r="C409" s="29">
        <v>20001</v>
      </c>
      <c r="D409" s="6" t="s">
        <v>357</v>
      </c>
      <c r="E409" s="6">
        <v>0</v>
      </c>
      <c r="F409" s="17"/>
    </row>
    <row r="410" spans="1:6">
      <c r="A410" s="6">
        <v>10089</v>
      </c>
      <c r="B410" s="6">
        <v>12409</v>
      </c>
      <c r="C410" s="29" t="s">
        <v>686</v>
      </c>
      <c r="D410" s="6" t="s">
        <v>358</v>
      </c>
      <c r="E410" s="6">
        <v>12410</v>
      </c>
      <c r="F410" s="17"/>
    </row>
    <row r="411" spans="1:6">
      <c r="A411" s="6">
        <v>10089</v>
      </c>
      <c r="B411" s="6">
        <v>12410</v>
      </c>
      <c r="C411" s="29">
        <v>20001</v>
      </c>
      <c r="D411" s="6" t="s">
        <v>359</v>
      </c>
      <c r="E411" s="6">
        <v>12411</v>
      </c>
      <c r="F411" s="17"/>
    </row>
    <row r="412" spans="1:6">
      <c r="A412" s="6">
        <v>10089</v>
      </c>
      <c r="B412" s="6">
        <v>12411</v>
      </c>
      <c r="C412" s="29" t="s">
        <v>686</v>
      </c>
      <c r="D412" s="6" t="s">
        <v>360</v>
      </c>
      <c r="E412" s="6">
        <v>0</v>
      </c>
      <c r="F412" s="17"/>
    </row>
    <row r="413" spans="1:6">
      <c r="A413" s="6">
        <v>10090</v>
      </c>
      <c r="B413" s="6">
        <v>12412</v>
      </c>
      <c r="C413" s="29" t="s">
        <v>683</v>
      </c>
      <c r="D413" s="6" t="s">
        <v>635</v>
      </c>
      <c r="E413" s="6">
        <v>12413</v>
      </c>
      <c r="F413" s="17"/>
    </row>
    <row r="414" spans="1:6">
      <c r="A414" s="6">
        <v>10090</v>
      </c>
      <c r="B414" s="6">
        <v>12413</v>
      </c>
      <c r="C414" s="29">
        <v>20001</v>
      </c>
      <c r="D414" s="6" t="s">
        <v>361</v>
      </c>
      <c r="E414" s="6">
        <v>12414</v>
      </c>
      <c r="F414" s="17"/>
    </row>
    <row r="415" spans="1:6">
      <c r="A415" s="6">
        <v>10090</v>
      </c>
      <c r="B415" s="6">
        <v>12414</v>
      </c>
      <c r="C415" s="29" t="s">
        <v>683</v>
      </c>
      <c r="D415" s="6" t="s">
        <v>362</v>
      </c>
      <c r="E415" s="6">
        <v>0</v>
      </c>
      <c r="F415" s="17"/>
    </row>
    <row r="416" spans="1:6">
      <c r="A416" s="6">
        <v>10091</v>
      </c>
      <c r="B416" s="6">
        <v>12415</v>
      </c>
      <c r="C416" s="29">
        <v>20001</v>
      </c>
      <c r="D416" s="6" t="s">
        <v>363</v>
      </c>
      <c r="E416" s="6">
        <v>12416</v>
      </c>
      <c r="F416" s="17"/>
    </row>
    <row r="417" spans="1:6">
      <c r="A417" s="6">
        <v>10091</v>
      </c>
      <c r="B417" s="6">
        <v>12416</v>
      </c>
      <c r="C417" s="29" t="s">
        <v>683</v>
      </c>
      <c r="D417" s="6" t="s">
        <v>364</v>
      </c>
      <c r="E417" s="6">
        <v>12417</v>
      </c>
      <c r="F417" s="17"/>
    </row>
    <row r="418" spans="1:6">
      <c r="A418" s="6">
        <v>10091</v>
      </c>
      <c r="B418" s="6">
        <v>12417</v>
      </c>
      <c r="C418" s="29" t="s">
        <v>686</v>
      </c>
      <c r="D418" s="6" t="s">
        <v>365</v>
      </c>
      <c r="E418" s="6">
        <v>12418</v>
      </c>
      <c r="F418" s="17"/>
    </row>
    <row r="419" spans="1:6">
      <c r="A419" s="6">
        <v>10091</v>
      </c>
      <c r="B419" s="6">
        <v>12418</v>
      </c>
      <c r="C419" s="29" t="s">
        <v>687</v>
      </c>
      <c r="D419" s="6" t="s">
        <v>366</v>
      </c>
      <c r="E419" s="6">
        <v>0</v>
      </c>
      <c r="F419" s="17"/>
    </row>
    <row r="420" spans="1:6">
      <c r="A420" s="6">
        <v>10092</v>
      </c>
      <c r="B420" s="6">
        <v>12419</v>
      </c>
      <c r="C420" s="29" t="s">
        <v>687</v>
      </c>
      <c r="D420" s="6" t="s">
        <v>367</v>
      </c>
      <c r="E420" s="6">
        <v>12420</v>
      </c>
      <c r="F420" s="17"/>
    </row>
    <row r="421" spans="1:6">
      <c r="A421" s="6">
        <v>10092</v>
      </c>
      <c r="B421" s="6">
        <v>12420</v>
      </c>
      <c r="C421" s="29" t="s">
        <v>683</v>
      </c>
      <c r="D421" s="6" t="s">
        <v>368</v>
      </c>
      <c r="E421" s="6">
        <v>12421</v>
      </c>
      <c r="F421" s="17"/>
    </row>
    <row r="422" spans="1:6">
      <c r="A422" s="6">
        <v>10092</v>
      </c>
      <c r="B422" s="6">
        <v>12421</v>
      </c>
      <c r="C422" s="29">
        <v>20001</v>
      </c>
      <c r="D422" s="6" t="s">
        <v>369</v>
      </c>
      <c r="E422" s="6">
        <v>0</v>
      </c>
      <c r="F422" s="17"/>
    </row>
    <row r="423" spans="1:6">
      <c r="A423" s="6">
        <v>10093</v>
      </c>
      <c r="B423" s="6">
        <v>12422</v>
      </c>
      <c r="C423" s="29">
        <v>20001</v>
      </c>
      <c r="D423" s="6" t="s">
        <v>370</v>
      </c>
      <c r="E423" s="6">
        <v>12423</v>
      </c>
      <c r="F423" s="17"/>
    </row>
    <row r="424" spans="1:6">
      <c r="A424" s="6">
        <v>10093</v>
      </c>
      <c r="B424" s="6">
        <v>12423</v>
      </c>
      <c r="C424" s="29" t="s">
        <v>683</v>
      </c>
      <c r="D424" s="6" t="s">
        <v>371</v>
      </c>
      <c r="E424" s="6">
        <v>12424</v>
      </c>
      <c r="F424" s="17"/>
    </row>
    <row r="425" spans="1:6">
      <c r="A425" s="6">
        <v>10093</v>
      </c>
      <c r="B425" s="6">
        <v>12424</v>
      </c>
      <c r="C425" s="29">
        <v>20001</v>
      </c>
      <c r="D425" s="6" t="s">
        <v>372</v>
      </c>
      <c r="E425" s="6">
        <v>12425</v>
      </c>
      <c r="F425" s="17"/>
    </row>
    <row r="426" spans="1:6">
      <c r="A426" s="6">
        <v>10093</v>
      </c>
      <c r="B426" s="6">
        <v>12425</v>
      </c>
      <c r="C426" s="29" t="s">
        <v>683</v>
      </c>
      <c r="D426" s="6" t="s">
        <v>373</v>
      </c>
      <c r="E426" s="6">
        <v>12426</v>
      </c>
      <c r="F426" s="17"/>
    </row>
    <row r="427" spans="1:6">
      <c r="A427" s="6">
        <v>10093</v>
      </c>
      <c r="B427" s="6">
        <v>12426</v>
      </c>
      <c r="C427" s="29">
        <v>20001</v>
      </c>
      <c r="D427" s="6" t="s">
        <v>374</v>
      </c>
      <c r="E427" s="6">
        <v>0</v>
      </c>
      <c r="F427" s="17"/>
    </row>
    <row r="428" spans="1:6">
      <c r="A428" s="6">
        <v>10094</v>
      </c>
      <c r="B428" s="6">
        <v>12427</v>
      </c>
      <c r="C428" s="29">
        <v>20001</v>
      </c>
      <c r="D428" s="6" t="s">
        <v>375</v>
      </c>
      <c r="E428" s="6">
        <v>0</v>
      </c>
      <c r="F428" s="17"/>
    </row>
    <row r="429" spans="1:6">
      <c r="A429" s="6">
        <v>10095</v>
      </c>
      <c r="B429" s="6">
        <v>12428</v>
      </c>
      <c r="C429" s="29">
        <v>20001</v>
      </c>
      <c r="D429" s="6" t="s">
        <v>376</v>
      </c>
      <c r="E429" s="6">
        <v>12429</v>
      </c>
      <c r="F429" s="17"/>
    </row>
    <row r="430" spans="1:6">
      <c r="A430" s="6">
        <v>10095</v>
      </c>
      <c r="B430" s="6">
        <v>12429</v>
      </c>
      <c r="C430" s="29" t="s">
        <v>644</v>
      </c>
      <c r="D430" s="6" t="s">
        <v>377</v>
      </c>
      <c r="E430" s="6">
        <v>12430</v>
      </c>
      <c r="F430" s="17"/>
    </row>
    <row r="431" spans="1:6">
      <c r="A431" s="6">
        <v>10095</v>
      </c>
      <c r="B431" s="6">
        <v>12430</v>
      </c>
      <c r="C431" s="29">
        <v>20001</v>
      </c>
      <c r="D431" s="6" t="s">
        <v>378</v>
      </c>
      <c r="E431" s="6">
        <v>12431</v>
      </c>
      <c r="F431" s="17"/>
    </row>
    <row r="432" spans="1:6">
      <c r="A432" s="6">
        <v>10095</v>
      </c>
      <c r="B432" s="6">
        <v>12431</v>
      </c>
      <c r="C432" s="29" t="s">
        <v>644</v>
      </c>
      <c r="D432" s="6" t="s">
        <v>379</v>
      </c>
      <c r="E432" s="6">
        <v>12432</v>
      </c>
      <c r="F432" s="17"/>
    </row>
    <row r="433" spans="1:6">
      <c r="A433" s="6">
        <v>10095</v>
      </c>
      <c r="B433" s="6">
        <v>12432</v>
      </c>
      <c r="C433" s="29" t="s">
        <v>688</v>
      </c>
      <c r="D433" s="6" t="s">
        <v>380</v>
      </c>
      <c r="E433" s="6">
        <v>12433</v>
      </c>
      <c r="F433" s="17"/>
    </row>
    <row r="434" spans="1:6">
      <c r="A434" s="6">
        <v>10095</v>
      </c>
      <c r="B434" s="6">
        <v>12433</v>
      </c>
      <c r="C434" s="29">
        <v>20001</v>
      </c>
      <c r="D434" s="6" t="s">
        <v>381</v>
      </c>
      <c r="E434" s="6">
        <v>0</v>
      </c>
      <c r="F434" s="17"/>
    </row>
    <row r="435" spans="1:6">
      <c r="A435" s="6">
        <v>10096</v>
      </c>
      <c r="B435" s="6">
        <v>12434</v>
      </c>
      <c r="C435" s="29" t="s">
        <v>644</v>
      </c>
      <c r="D435" s="6" t="s">
        <v>382</v>
      </c>
      <c r="E435" s="6">
        <v>12435</v>
      </c>
      <c r="F435" s="17"/>
    </row>
    <row r="436" spans="1:6">
      <c r="A436" s="6">
        <v>10096</v>
      </c>
      <c r="B436" s="6">
        <v>12435</v>
      </c>
      <c r="C436" s="29">
        <v>20001</v>
      </c>
      <c r="D436" s="6" t="s">
        <v>383</v>
      </c>
      <c r="E436" s="6">
        <v>12436</v>
      </c>
      <c r="F436" s="17"/>
    </row>
    <row r="437" spans="1:6">
      <c r="A437" s="6">
        <v>10096</v>
      </c>
      <c r="B437" s="6">
        <v>12436</v>
      </c>
      <c r="C437" s="29" t="s">
        <v>688</v>
      </c>
      <c r="D437" s="6" t="s">
        <v>384</v>
      </c>
      <c r="E437" s="6">
        <v>12437</v>
      </c>
      <c r="F437" s="17"/>
    </row>
    <row r="438" spans="1:6">
      <c r="A438" s="6">
        <v>10096</v>
      </c>
      <c r="B438" s="6">
        <v>12437</v>
      </c>
      <c r="C438" s="29">
        <v>20001</v>
      </c>
      <c r="D438" s="6" t="s">
        <v>385</v>
      </c>
      <c r="E438" s="6">
        <v>12438</v>
      </c>
      <c r="F438" s="17"/>
    </row>
    <row r="439" spans="1:6">
      <c r="A439" s="6">
        <v>10096</v>
      </c>
      <c r="B439" s="6">
        <v>12438</v>
      </c>
      <c r="C439" s="29" t="s">
        <v>688</v>
      </c>
      <c r="D439" s="6" t="s">
        <v>386</v>
      </c>
      <c r="E439" s="6">
        <v>0</v>
      </c>
      <c r="F439" s="17"/>
    </row>
    <row r="440" spans="1:6">
      <c r="A440" s="6">
        <v>10097</v>
      </c>
      <c r="B440" s="6">
        <v>12439</v>
      </c>
      <c r="C440" s="29" t="s">
        <v>689</v>
      </c>
      <c r="D440" s="6" t="s">
        <v>387</v>
      </c>
      <c r="E440" s="6">
        <v>12440</v>
      </c>
      <c r="F440" s="17"/>
    </row>
    <row r="441" spans="1:6">
      <c r="A441" s="6">
        <v>10097</v>
      </c>
      <c r="B441" s="6">
        <v>12440</v>
      </c>
      <c r="C441" s="29">
        <v>20001</v>
      </c>
      <c r="D441" s="6" t="s">
        <v>388</v>
      </c>
      <c r="E441" s="6">
        <v>12441</v>
      </c>
      <c r="F441" s="17"/>
    </row>
    <row r="442" spans="1:6">
      <c r="A442" s="6">
        <v>10097</v>
      </c>
      <c r="B442" s="6">
        <v>12441</v>
      </c>
      <c r="C442" s="29" t="s">
        <v>689</v>
      </c>
      <c r="D442" s="6" t="s">
        <v>636</v>
      </c>
      <c r="E442" s="6">
        <v>12442</v>
      </c>
      <c r="F442" s="17"/>
    </row>
    <row r="443" spans="1:6">
      <c r="A443" s="6">
        <v>10097</v>
      </c>
      <c r="B443" s="6">
        <v>12442</v>
      </c>
      <c r="C443" s="29">
        <v>20001</v>
      </c>
      <c r="D443" s="6" t="s">
        <v>389</v>
      </c>
      <c r="E443" s="6">
        <v>12443</v>
      </c>
      <c r="F443" s="17"/>
    </row>
    <row r="444" spans="1:6">
      <c r="A444" s="6">
        <v>10097</v>
      </c>
      <c r="B444" s="6">
        <v>12443</v>
      </c>
      <c r="C444" s="29" t="s">
        <v>688</v>
      </c>
      <c r="D444" s="6" t="s">
        <v>390</v>
      </c>
      <c r="E444" s="6">
        <v>0</v>
      </c>
      <c r="F444" s="17"/>
    </row>
    <row r="445" spans="1:6">
      <c r="A445" s="6">
        <v>10098</v>
      </c>
      <c r="B445" s="6">
        <v>12444</v>
      </c>
      <c r="C445" s="29" t="s">
        <v>689</v>
      </c>
      <c r="D445" s="6" t="s">
        <v>391</v>
      </c>
      <c r="E445" s="6">
        <v>0</v>
      </c>
      <c r="F445" s="17"/>
    </row>
    <row r="446" spans="1:6">
      <c r="A446" s="6">
        <v>10099</v>
      </c>
      <c r="B446" s="6">
        <v>12445</v>
      </c>
      <c r="C446" s="29" t="s">
        <v>690</v>
      </c>
      <c r="D446" s="6" t="s">
        <v>392</v>
      </c>
      <c r="E446" s="6">
        <v>12446</v>
      </c>
      <c r="F446" s="17"/>
    </row>
    <row r="447" spans="1:6">
      <c r="A447" s="6">
        <v>10099</v>
      </c>
      <c r="B447" s="6">
        <v>12446</v>
      </c>
      <c r="C447" s="29" t="s">
        <v>689</v>
      </c>
      <c r="D447" s="6" t="s">
        <v>393</v>
      </c>
      <c r="E447" s="6">
        <v>12447</v>
      </c>
      <c r="F447" s="17"/>
    </row>
    <row r="448" spans="1:6">
      <c r="A448" s="6">
        <v>10099</v>
      </c>
      <c r="B448" s="6">
        <v>12447</v>
      </c>
      <c r="C448" s="29" t="s">
        <v>690</v>
      </c>
      <c r="D448" s="6" t="s">
        <v>849</v>
      </c>
      <c r="E448" s="6">
        <v>12448</v>
      </c>
      <c r="F448" s="17"/>
    </row>
    <row r="449" spans="1:6">
      <c r="A449" s="6">
        <v>10099</v>
      </c>
      <c r="B449" s="6">
        <v>12448</v>
      </c>
      <c r="C449" s="29">
        <v>20001</v>
      </c>
      <c r="D449" s="6" t="s">
        <v>394</v>
      </c>
      <c r="E449" s="6">
        <v>12449</v>
      </c>
      <c r="F449" s="17"/>
    </row>
    <row r="450" spans="1:6">
      <c r="A450" s="6">
        <v>10099</v>
      </c>
      <c r="B450" s="6">
        <v>12449</v>
      </c>
      <c r="C450" s="29" t="s">
        <v>689</v>
      </c>
      <c r="D450" s="6" t="s">
        <v>395</v>
      </c>
      <c r="E450" s="6">
        <v>0</v>
      </c>
      <c r="F450" s="17"/>
    </row>
    <row r="451" spans="1:6">
      <c r="A451" s="6">
        <v>10100</v>
      </c>
      <c r="B451" s="6">
        <v>12450</v>
      </c>
      <c r="C451" s="29" t="s">
        <v>689</v>
      </c>
      <c r="D451" s="6" t="s">
        <v>396</v>
      </c>
      <c r="E451" s="6">
        <v>12451</v>
      </c>
      <c r="F451" s="17"/>
    </row>
    <row r="452" spans="1:6">
      <c r="A452" s="6">
        <v>10100</v>
      </c>
      <c r="B452" s="6">
        <v>12451</v>
      </c>
      <c r="C452" s="29" t="s">
        <v>690</v>
      </c>
      <c r="D452" s="6" t="s">
        <v>397</v>
      </c>
      <c r="E452" s="6">
        <v>12452</v>
      </c>
      <c r="F452" s="17"/>
    </row>
    <row r="453" spans="1:6">
      <c r="A453" s="6">
        <v>10100</v>
      </c>
      <c r="B453" s="6">
        <v>12452</v>
      </c>
      <c r="C453" s="29" t="s">
        <v>688</v>
      </c>
      <c r="D453" s="6" t="s">
        <v>637</v>
      </c>
      <c r="E453" s="6">
        <v>0</v>
      </c>
      <c r="F453" s="17"/>
    </row>
    <row r="454" spans="1:6">
      <c r="A454" s="6">
        <v>10101</v>
      </c>
      <c r="B454" s="6">
        <v>12453</v>
      </c>
      <c r="C454" s="29" t="s">
        <v>690</v>
      </c>
      <c r="D454" s="6" t="s">
        <v>398</v>
      </c>
      <c r="E454" s="6">
        <v>12454</v>
      </c>
      <c r="F454" s="17"/>
    </row>
    <row r="455" spans="1:6">
      <c r="A455" s="6">
        <v>10101</v>
      </c>
      <c r="B455" s="6">
        <v>12454</v>
      </c>
      <c r="C455" s="29" t="s">
        <v>689</v>
      </c>
      <c r="D455" s="6" t="s">
        <v>399</v>
      </c>
      <c r="E455" s="6">
        <v>12455</v>
      </c>
      <c r="F455" s="17"/>
    </row>
    <row r="456" spans="1:6">
      <c r="A456" s="6">
        <v>10101</v>
      </c>
      <c r="B456" s="6">
        <v>12455</v>
      </c>
      <c r="C456" s="29" t="s">
        <v>690</v>
      </c>
      <c r="D456" s="6" t="s">
        <v>400</v>
      </c>
      <c r="E456" s="6">
        <v>12456</v>
      </c>
      <c r="F456" s="17"/>
    </row>
    <row r="457" spans="1:6">
      <c r="A457" s="6">
        <v>10101</v>
      </c>
      <c r="B457" s="6">
        <v>12456</v>
      </c>
      <c r="C457" s="29">
        <v>20001</v>
      </c>
      <c r="D457" s="6" t="s">
        <v>401</v>
      </c>
      <c r="E457" s="6">
        <v>0</v>
      </c>
    </row>
    <row r="458" spans="1:6">
      <c r="A458" s="6">
        <v>10102</v>
      </c>
      <c r="B458" s="6">
        <v>12457</v>
      </c>
      <c r="C458" s="29" t="s">
        <v>690</v>
      </c>
      <c r="D458" s="6" t="s">
        <v>402</v>
      </c>
      <c r="E458" s="6">
        <v>12458</v>
      </c>
    </row>
    <row r="459" spans="1:6">
      <c r="A459" s="6">
        <v>10102</v>
      </c>
      <c r="B459" s="6">
        <v>12458</v>
      </c>
      <c r="C459" s="29" t="s">
        <v>689</v>
      </c>
      <c r="D459" s="6" t="s">
        <v>403</v>
      </c>
      <c r="E459" s="6">
        <v>12459</v>
      </c>
    </row>
    <row r="460" spans="1:6">
      <c r="A460" s="6">
        <v>10102</v>
      </c>
      <c r="B460" s="6">
        <v>12459</v>
      </c>
      <c r="C460" s="29" t="s">
        <v>688</v>
      </c>
      <c r="D460" s="6" t="s">
        <v>638</v>
      </c>
      <c r="E460" s="6">
        <v>12460</v>
      </c>
    </row>
    <row r="461" spans="1:6">
      <c r="A461" s="6">
        <v>10102</v>
      </c>
      <c r="B461" s="6">
        <v>12460</v>
      </c>
      <c r="C461" s="29" t="s">
        <v>643</v>
      </c>
      <c r="D461" s="6" t="s">
        <v>639</v>
      </c>
      <c r="E461" s="6">
        <v>12461</v>
      </c>
    </row>
    <row r="462" spans="1:6">
      <c r="A462" s="6">
        <v>10102</v>
      </c>
      <c r="B462" s="6">
        <v>12461</v>
      </c>
      <c r="C462" s="29">
        <v>20001</v>
      </c>
      <c r="D462" s="6" t="s">
        <v>640</v>
      </c>
      <c r="E462" s="6">
        <v>0</v>
      </c>
    </row>
    <row r="463" spans="1:6">
      <c r="A463" s="6">
        <v>10103</v>
      </c>
      <c r="B463" s="6">
        <v>12462</v>
      </c>
      <c r="C463" s="29" t="s">
        <v>644</v>
      </c>
      <c r="D463" s="6" t="s">
        <v>697</v>
      </c>
      <c r="E463" s="6">
        <v>12463</v>
      </c>
    </row>
    <row r="464" spans="1:6">
      <c r="A464" s="6">
        <v>10103</v>
      </c>
      <c r="B464" s="6">
        <v>12463</v>
      </c>
      <c r="C464" s="29">
        <v>20001</v>
      </c>
      <c r="D464" s="6" t="s">
        <v>698</v>
      </c>
      <c r="E464" s="6">
        <v>12464</v>
      </c>
    </row>
    <row r="465" spans="1:5">
      <c r="A465" s="6">
        <v>10103</v>
      </c>
      <c r="B465" s="6">
        <v>12464</v>
      </c>
      <c r="C465" s="29">
        <v>20001</v>
      </c>
      <c r="D465" s="6" t="s">
        <v>699</v>
      </c>
      <c r="E465" s="6">
        <v>12465</v>
      </c>
    </row>
    <row r="466" spans="1:5">
      <c r="A466" s="6">
        <v>10103</v>
      </c>
      <c r="B466" s="6">
        <v>12465</v>
      </c>
      <c r="C466" s="29" t="s">
        <v>894</v>
      </c>
      <c r="D466" s="6" t="s">
        <v>700</v>
      </c>
      <c r="E466" s="6">
        <v>12466</v>
      </c>
    </row>
    <row r="467" spans="1:5">
      <c r="A467" s="6">
        <v>10103</v>
      </c>
      <c r="B467" s="6">
        <v>12466</v>
      </c>
      <c r="C467" s="29">
        <v>20001</v>
      </c>
      <c r="D467" s="6" t="s">
        <v>701</v>
      </c>
      <c r="E467" s="6">
        <v>12467</v>
      </c>
    </row>
    <row r="468" spans="1:5">
      <c r="A468" s="6">
        <v>10103</v>
      </c>
      <c r="B468" s="6">
        <v>12467</v>
      </c>
      <c r="C468" s="29" t="s">
        <v>894</v>
      </c>
      <c r="D468" s="6" t="s">
        <v>702</v>
      </c>
      <c r="E468" s="6">
        <v>0</v>
      </c>
    </row>
    <row r="469" spans="1:5">
      <c r="A469" s="6">
        <v>10104</v>
      </c>
      <c r="B469" s="6">
        <v>12468</v>
      </c>
      <c r="C469" s="29">
        <v>20001</v>
      </c>
      <c r="D469" s="6" t="s">
        <v>703</v>
      </c>
      <c r="E469" s="6">
        <v>12469</v>
      </c>
    </row>
    <row r="470" spans="1:5">
      <c r="A470" s="6">
        <v>10104</v>
      </c>
      <c r="B470" s="6">
        <v>12469</v>
      </c>
      <c r="C470" s="29" t="s">
        <v>894</v>
      </c>
      <c r="D470" s="6" t="s">
        <v>704</v>
      </c>
      <c r="E470" s="6">
        <v>12470</v>
      </c>
    </row>
    <row r="471" spans="1:5">
      <c r="A471" s="6">
        <v>10104</v>
      </c>
      <c r="B471" s="6">
        <v>12470</v>
      </c>
      <c r="C471" s="29" t="s">
        <v>894</v>
      </c>
      <c r="D471" s="6" t="s">
        <v>705</v>
      </c>
      <c r="E471" s="6">
        <v>0</v>
      </c>
    </row>
    <row r="472" spans="1:5">
      <c r="A472" s="6">
        <v>10105</v>
      </c>
      <c r="B472" s="6">
        <v>12471</v>
      </c>
      <c r="C472" s="29" t="s">
        <v>644</v>
      </c>
      <c r="D472" s="6" t="s">
        <v>706</v>
      </c>
      <c r="E472" s="6">
        <v>12472</v>
      </c>
    </row>
    <row r="473" spans="1:5">
      <c r="A473" s="6">
        <v>10105</v>
      </c>
      <c r="B473" s="6">
        <v>12472</v>
      </c>
      <c r="C473" s="29">
        <v>20001</v>
      </c>
      <c r="D473" s="6" t="s">
        <v>707</v>
      </c>
      <c r="E473" s="6">
        <v>12473</v>
      </c>
    </row>
    <row r="474" spans="1:5">
      <c r="A474" s="6">
        <v>10105</v>
      </c>
      <c r="B474" s="6">
        <v>12473</v>
      </c>
      <c r="C474" s="29" t="s">
        <v>644</v>
      </c>
      <c r="D474" s="6" t="s">
        <v>708</v>
      </c>
      <c r="E474" s="6">
        <v>12474</v>
      </c>
    </row>
    <row r="475" spans="1:5">
      <c r="A475" s="6">
        <v>10105</v>
      </c>
      <c r="B475" s="6">
        <v>12474</v>
      </c>
      <c r="C475" s="29">
        <v>20001</v>
      </c>
      <c r="D475" s="6" t="s">
        <v>709</v>
      </c>
      <c r="E475" s="6">
        <v>0</v>
      </c>
    </row>
    <row r="476" spans="1:5">
      <c r="A476" s="6">
        <v>10106</v>
      </c>
      <c r="B476" s="6">
        <v>12475</v>
      </c>
      <c r="C476" s="29" t="s">
        <v>644</v>
      </c>
      <c r="D476" s="6" t="s">
        <v>710</v>
      </c>
      <c r="E476" s="6">
        <v>12476</v>
      </c>
    </row>
    <row r="477" spans="1:5">
      <c r="A477" s="6">
        <v>10106</v>
      </c>
      <c r="B477" s="6">
        <v>12476</v>
      </c>
      <c r="C477" s="29">
        <v>20001</v>
      </c>
      <c r="D477" s="6" t="s">
        <v>711</v>
      </c>
      <c r="E477" s="6">
        <v>0</v>
      </c>
    </row>
    <row r="478" spans="1:5">
      <c r="A478" s="6">
        <v>10107</v>
      </c>
      <c r="B478" s="6">
        <v>12477</v>
      </c>
      <c r="C478" s="29">
        <v>20001</v>
      </c>
      <c r="D478" s="6" t="s">
        <v>712</v>
      </c>
      <c r="E478" s="6">
        <v>12478</v>
      </c>
    </row>
    <row r="479" spans="1:5">
      <c r="A479" s="6">
        <v>10107</v>
      </c>
      <c r="B479" s="6">
        <v>12478</v>
      </c>
      <c r="C479" s="29" t="s">
        <v>644</v>
      </c>
      <c r="D479" s="6" t="s">
        <v>713</v>
      </c>
      <c r="E479" s="6">
        <v>12479</v>
      </c>
    </row>
    <row r="480" spans="1:5">
      <c r="A480" s="6">
        <v>10107</v>
      </c>
      <c r="B480" s="6">
        <v>12479</v>
      </c>
      <c r="C480" s="29">
        <v>20001</v>
      </c>
      <c r="D480" s="6" t="s">
        <v>714</v>
      </c>
      <c r="E480" s="6">
        <v>12480</v>
      </c>
    </row>
    <row r="481" spans="1:5">
      <c r="A481" s="6">
        <v>10107</v>
      </c>
      <c r="B481" s="6">
        <v>12480</v>
      </c>
      <c r="C481" s="29" t="s">
        <v>644</v>
      </c>
      <c r="D481" s="6" t="s">
        <v>715</v>
      </c>
      <c r="E481" s="6">
        <v>12481</v>
      </c>
    </row>
    <row r="482" spans="1:5">
      <c r="A482" s="6">
        <v>10107</v>
      </c>
      <c r="B482" s="6">
        <v>12481</v>
      </c>
      <c r="C482" s="29">
        <v>20001</v>
      </c>
      <c r="D482" s="6" t="s">
        <v>716</v>
      </c>
      <c r="E482" s="6">
        <v>0</v>
      </c>
    </row>
    <row r="483" spans="1:5">
      <c r="A483" s="6">
        <v>10108</v>
      </c>
      <c r="B483" s="6">
        <v>12482</v>
      </c>
      <c r="C483" s="29">
        <v>20001</v>
      </c>
      <c r="D483" s="6" t="s">
        <v>717</v>
      </c>
      <c r="E483" s="6">
        <v>12483</v>
      </c>
    </row>
    <row r="484" spans="1:5">
      <c r="A484" s="6">
        <v>10108</v>
      </c>
      <c r="B484" s="6">
        <v>12483</v>
      </c>
      <c r="C484" s="29" t="s">
        <v>895</v>
      </c>
      <c r="D484" s="6" t="s">
        <v>718</v>
      </c>
      <c r="E484" s="6">
        <v>0</v>
      </c>
    </row>
    <row r="485" spans="1:5">
      <c r="A485" s="6">
        <v>10109</v>
      </c>
      <c r="B485" s="6">
        <v>12484</v>
      </c>
      <c r="C485" s="29" t="s">
        <v>643</v>
      </c>
      <c r="D485" s="6" t="s">
        <v>719</v>
      </c>
      <c r="E485" s="6">
        <v>12485</v>
      </c>
    </row>
    <row r="486" spans="1:5">
      <c r="A486" s="6">
        <v>10109</v>
      </c>
      <c r="B486" s="6">
        <v>12485</v>
      </c>
      <c r="C486" s="29">
        <v>20001</v>
      </c>
      <c r="D486" s="6" t="s">
        <v>720</v>
      </c>
      <c r="E486" s="6">
        <v>12486</v>
      </c>
    </row>
    <row r="487" spans="1:5">
      <c r="A487" s="6">
        <v>10109</v>
      </c>
      <c r="B487" s="6">
        <v>12486</v>
      </c>
      <c r="C487" s="29" t="s">
        <v>896</v>
      </c>
      <c r="D487" s="6" t="s">
        <v>721</v>
      </c>
      <c r="E487" s="6">
        <v>12487</v>
      </c>
    </row>
    <row r="488" spans="1:5">
      <c r="A488" s="6">
        <v>10109</v>
      </c>
      <c r="B488" s="6">
        <v>12487</v>
      </c>
      <c r="C488" s="29">
        <v>20001</v>
      </c>
      <c r="D488" s="6" t="s">
        <v>722</v>
      </c>
      <c r="E488" s="6">
        <v>12488</v>
      </c>
    </row>
    <row r="489" spans="1:5">
      <c r="A489" s="6">
        <v>10109</v>
      </c>
      <c r="B489" s="6">
        <v>12488</v>
      </c>
      <c r="C489" s="29" t="s">
        <v>896</v>
      </c>
      <c r="D489" s="6" t="s">
        <v>723</v>
      </c>
      <c r="E489" s="6">
        <v>0</v>
      </c>
    </row>
    <row r="490" spans="1:5">
      <c r="A490" s="6">
        <v>10110</v>
      </c>
      <c r="B490" s="6">
        <v>12489</v>
      </c>
      <c r="C490" s="29" t="s">
        <v>896</v>
      </c>
      <c r="D490" s="6" t="s">
        <v>724</v>
      </c>
      <c r="E490" s="6">
        <v>12490</v>
      </c>
    </row>
    <row r="491" spans="1:5">
      <c r="A491" s="6">
        <v>10110</v>
      </c>
      <c r="B491" s="6">
        <v>12490</v>
      </c>
      <c r="C491" s="29">
        <v>20001</v>
      </c>
      <c r="D491" s="6" t="s">
        <v>725</v>
      </c>
      <c r="E491" s="6">
        <v>12491</v>
      </c>
    </row>
    <row r="492" spans="1:5">
      <c r="A492" s="6">
        <v>10110</v>
      </c>
      <c r="B492" s="6">
        <v>12491</v>
      </c>
      <c r="C492" s="29" t="s">
        <v>896</v>
      </c>
      <c r="D492" s="6" t="s">
        <v>726</v>
      </c>
      <c r="E492" s="6">
        <v>12492</v>
      </c>
    </row>
    <row r="493" spans="1:5">
      <c r="A493" s="6">
        <v>10110</v>
      </c>
      <c r="B493" s="6">
        <v>12492</v>
      </c>
      <c r="C493" s="29">
        <v>20001</v>
      </c>
      <c r="D493" s="6" t="s">
        <v>727</v>
      </c>
      <c r="E493" s="6">
        <v>0</v>
      </c>
    </row>
    <row r="494" spans="1:5">
      <c r="A494" s="6">
        <v>10111</v>
      </c>
      <c r="B494" s="6">
        <v>12493</v>
      </c>
      <c r="C494" s="29" t="s">
        <v>896</v>
      </c>
      <c r="D494" s="6" t="s">
        <v>728</v>
      </c>
      <c r="E494" s="6">
        <v>12494</v>
      </c>
    </row>
    <row r="495" spans="1:5">
      <c r="A495" s="6">
        <v>10111</v>
      </c>
      <c r="B495" s="6">
        <v>12494</v>
      </c>
      <c r="C495" s="29">
        <v>20001</v>
      </c>
      <c r="D495" s="6" t="s">
        <v>729</v>
      </c>
      <c r="E495" s="6">
        <v>12495</v>
      </c>
    </row>
    <row r="496" spans="1:5">
      <c r="A496" s="6">
        <v>10111</v>
      </c>
      <c r="B496" s="6">
        <v>12495</v>
      </c>
      <c r="C496" s="29">
        <v>20001</v>
      </c>
      <c r="D496" s="6" t="s">
        <v>730</v>
      </c>
      <c r="E496" s="6">
        <v>12496</v>
      </c>
    </row>
    <row r="497" spans="1:5">
      <c r="A497" s="6">
        <v>10111</v>
      </c>
      <c r="B497" s="6">
        <v>12496</v>
      </c>
      <c r="C497" s="29" t="s">
        <v>896</v>
      </c>
      <c r="D497" s="6" t="s">
        <v>731</v>
      </c>
      <c r="E497" s="6">
        <v>0</v>
      </c>
    </row>
    <row r="498" spans="1:5">
      <c r="A498" s="6">
        <v>10112</v>
      </c>
      <c r="B498" s="6">
        <v>12497</v>
      </c>
      <c r="C498" s="29" t="s">
        <v>896</v>
      </c>
      <c r="D498" s="6" t="s">
        <v>732</v>
      </c>
      <c r="E498" s="6">
        <v>12498</v>
      </c>
    </row>
    <row r="499" spans="1:5">
      <c r="A499" s="6">
        <v>10112</v>
      </c>
      <c r="B499" s="6">
        <v>12498</v>
      </c>
      <c r="C499" s="29">
        <v>20001</v>
      </c>
      <c r="D499" s="6" t="s">
        <v>848</v>
      </c>
      <c r="E499" s="6">
        <v>12499</v>
      </c>
    </row>
    <row r="500" spans="1:5">
      <c r="A500" s="6">
        <v>10112</v>
      </c>
      <c r="B500" s="6">
        <v>12499</v>
      </c>
      <c r="C500" s="29" t="s">
        <v>896</v>
      </c>
      <c r="D500" s="6" t="s">
        <v>733</v>
      </c>
      <c r="E500" s="6">
        <v>0</v>
      </c>
    </row>
    <row r="501" spans="1:5">
      <c r="A501" s="11">
        <v>10113</v>
      </c>
      <c r="B501" s="6">
        <v>12500</v>
      </c>
      <c r="C501" s="29" t="s">
        <v>896</v>
      </c>
      <c r="D501" s="6" t="s">
        <v>734</v>
      </c>
      <c r="E501" s="6">
        <v>12501</v>
      </c>
    </row>
    <row r="502" spans="1:5">
      <c r="A502" s="11">
        <v>10113</v>
      </c>
      <c r="B502" s="6">
        <v>12501</v>
      </c>
      <c r="C502" s="29">
        <v>20001</v>
      </c>
      <c r="D502" s="6" t="s">
        <v>735</v>
      </c>
      <c r="E502" s="6">
        <v>12502</v>
      </c>
    </row>
    <row r="503" spans="1:5">
      <c r="A503" s="11">
        <v>10113</v>
      </c>
      <c r="B503" s="6">
        <v>12502</v>
      </c>
      <c r="C503" s="29" t="s">
        <v>897</v>
      </c>
      <c r="D503" s="6" t="s">
        <v>736</v>
      </c>
      <c r="E503" s="6">
        <v>12503</v>
      </c>
    </row>
    <row r="504" spans="1:5">
      <c r="A504" s="11">
        <v>10113</v>
      </c>
      <c r="B504" s="6">
        <v>12503</v>
      </c>
      <c r="C504" s="29">
        <v>20001</v>
      </c>
      <c r="D504" s="6" t="s">
        <v>737</v>
      </c>
      <c r="E504" s="6">
        <v>0</v>
      </c>
    </row>
    <row r="505" spans="1:5">
      <c r="A505" s="11">
        <v>10114</v>
      </c>
      <c r="B505" s="6">
        <v>12504</v>
      </c>
      <c r="C505" s="29" t="s">
        <v>897</v>
      </c>
      <c r="D505" s="6" t="s">
        <v>738</v>
      </c>
      <c r="E505" s="6">
        <v>12505</v>
      </c>
    </row>
    <row r="506" spans="1:5">
      <c r="A506" s="11">
        <v>10114</v>
      </c>
      <c r="B506" s="6">
        <v>12505</v>
      </c>
      <c r="C506" s="29">
        <v>20001</v>
      </c>
      <c r="D506" s="6" t="s">
        <v>739</v>
      </c>
      <c r="E506" s="6">
        <v>0</v>
      </c>
    </row>
    <row r="507" spans="1:5">
      <c r="A507" s="11">
        <v>10115</v>
      </c>
      <c r="B507" s="6">
        <v>12506</v>
      </c>
      <c r="C507" s="29" t="s">
        <v>896</v>
      </c>
      <c r="D507" s="6" t="s">
        <v>740</v>
      </c>
      <c r="E507" s="6">
        <v>12507</v>
      </c>
    </row>
    <row r="508" spans="1:5">
      <c r="A508" s="11">
        <v>10115</v>
      </c>
      <c r="B508" s="6">
        <v>12507</v>
      </c>
      <c r="C508" s="29" t="s">
        <v>898</v>
      </c>
      <c r="D508" s="6" t="s">
        <v>741</v>
      </c>
      <c r="E508" s="6">
        <v>12508</v>
      </c>
    </row>
    <row r="509" spans="1:5">
      <c r="A509" s="11">
        <v>10115</v>
      </c>
      <c r="B509" s="6">
        <v>12508</v>
      </c>
      <c r="C509" s="29" t="s">
        <v>896</v>
      </c>
      <c r="D509" s="6" t="s">
        <v>742</v>
      </c>
      <c r="E509" s="6">
        <v>12509</v>
      </c>
    </row>
    <row r="510" spans="1:5">
      <c r="A510" s="11">
        <v>10115</v>
      </c>
      <c r="B510" s="6">
        <v>12509</v>
      </c>
      <c r="C510" s="29" t="s">
        <v>898</v>
      </c>
      <c r="D510" s="6" t="s">
        <v>743</v>
      </c>
      <c r="E510" s="6">
        <v>12510</v>
      </c>
    </row>
    <row r="511" spans="1:5">
      <c r="A511" s="11">
        <v>10115</v>
      </c>
      <c r="B511" s="6">
        <v>12510</v>
      </c>
      <c r="C511" s="29">
        <v>20001</v>
      </c>
      <c r="D511" s="6" t="s">
        <v>744</v>
      </c>
      <c r="E511" s="6">
        <v>0</v>
      </c>
    </row>
    <row r="512" spans="1:5">
      <c r="A512" s="11">
        <v>10116</v>
      </c>
      <c r="B512" s="6">
        <v>12511</v>
      </c>
      <c r="C512" s="29" t="s">
        <v>898</v>
      </c>
      <c r="D512" s="6" t="s">
        <v>745</v>
      </c>
      <c r="E512" s="6">
        <v>12512</v>
      </c>
    </row>
    <row r="513" spans="1:5">
      <c r="A513" s="11">
        <v>10116</v>
      </c>
      <c r="B513" s="6">
        <v>12512</v>
      </c>
      <c r="C513" s="29" t="s">
        <v>896</v>
      </c>
      <c r="D513" s="6" t="s">
        <v>746</v>
      </c>
      <c r="E513" s="6">
        <v>0</v>
      </c>
    </row>
    <row r="514" spans="1:5">
      <c r="A514" s="11">
        <v>10117</v>
      </c>
      <c r="B514" s="6">
        <v>12513</v>
      </c>
      <c r="C514" s="29" t="s">
        <v>899</v>
      </c>
      <c r="D514" s="6" t="s">
        <v>747</v>
      </c>
      <c r="E514" s="6">
        <v>12514</v>
      </c>
    </row>
    <row r="515" spans="1:5">
      <c r="A515" s="11">
        <v>10117</v>
      </c>
      <c r="B515" s="6">
        <v>12514</v>
      </c>
      <c r="C515" s="29" t="s">
        <v>898</v>
      </c>
      <c r="D515" s="6" t="s">
        <v>748</v>
      </c>
      <c r="E515" s="6">
        <v>12515</v>
      </c>
    </row>
    <row r="516" spans="1:5">
      <c r="A516" s="11">
        <v>10117</v>
      </c>
      <c r="B516" s="6">
        <v>12515</v>
      </c>
      <c r="C516" s="29" t="s">
        <v>899</v>
      </c>
      <c r="D516" s="6" t="s">
        <v>749</v>
      </c>
      <c r="E516" s="6">
        <v>12516</v>
      </c>
    </row>
    <row r="517" spans="1:5">
      <c r="A517" s="11">
        <v>10117</v>
      </c>
      <c r="B517" s="6">
        <v>12516</v>
      </c>
      <c r="C517" s="29" t="s">
        <v>899</v>
      </c>
      <c r="D517" s="6" t="s">
        <v>750</v>
      </c>
      <c r="E517" s="6">
        <v>12517</v>
      </c>
    </row>
    <row r="518" spans="1:5">
      <c r="A518" s="11">
        <v>10117</v>
      </c>
      <c r="B518" s="6">
        <v>12517</v>
      </c>
      <c r="C518" s="29">
        <v>20001</v>
      </c>
      <c r="D518" s="6" t="s">
        <v>751</v>
      </c>
      <c r="E518" s="6">
        <v>0</v>
      </c>
    </row>
    <row r="519" spans="1:5">
      <c r="A519" s="11">
        <v>10118</v>
      </c>
      <c r="B519" s="6">
        <v>12518</v>
      </c>
      <c r="C519" s="29">
        <v>20001</v>
      </c>
      <c r="D519" s="6" t="s">
        <v>752</v>
      </c>
      <c r="E519" s="6">
        <v>12519</v>
      </c>
    </row>
    <row r="520" spans="1:5">
      <c r="A520" s="11">
        <v>10118</v>
      </c>
      <c r="B520" s="6">
        <v>12519</v>
      </c>
      <c r="C520" s="29" t="s">
        <v>899</v>
      </c>
      <c r="D520" s="6" t="s">
        <v>753</v>
      </c>
      <c r="E520" s="6">
        <v>12520</v>
      </c>
    </row>
    <row r="521" spans="1:5">
      <c r="A521" s="11">
        <v>10118</v>
      </c>
      <c r="B521" s="6">
        <v>12520</v>
      </c>
      <c r="C521" s="29" t="s">
        <v>898</v>
      </c>
      <c r="D521" s="6" t="s">
        <v>754</v>
      </c>
      <c r="E521" s="6">
        <v>12521</v>
      </c>
    </row>
    <row r="522" spans="1:5">
      <c r="A522" s="11">
        <v>10118</v>
      </c>
      <c r="B522" s="6">
        <v>12521</v>
      </c>
      <c r="C522" s="29" t="s">
        <v>898</v>
      </c>
      <c r="D522" s="6" t="s">
        <v>755</v>
      </c>
      <c r="E522" s="6">
        <v>12522</v>
      </c>
    </row>
    <row r="523" spans="1:5">
      <c r="A523" s="11">
        <v>10118</v>
      </c>
      <c r="B523" s="6">
        <v>12522</v>
      </c>
      <c r="C523" s="29">
        <v>20001</v>
      </c>
      <c r="D523" s="6" t="s">
        <v>756</v>
      </c>
      <c r="E523" s="6">
        <v>0</v>
      </c>
    </row>
    <row r="524" spans="1:5">
      <c r="A524" s="11">
        <v>10119</v>
      </c>
      <c r="B524" s="6">
        <v>12523</v>
      </c>
      <c r="C524" s="29" t="s">
        <v>900</v>
      </c>
      <c r="D524" s="6" t="s">
        <v>757</v>
      </c>
      <c r="E524" s="6">
        <v>12524</v>
      </c>
    </row>
    <row r="525" spans="1:5">
      <c r="A525" s="11">
        <v>10119</v>
      </c>
      <c r="B525" s="6">
        <v>12524</v>
      </c>
      <c r="C525" s="29" t="s">
        <v>896</v>
      </c>
      <c r="D525" s="6" t="s">
        <v>850</v>
      </c>
      <c r="E525" s="6">
        <v>12525</v>
      </c>
    </row>
    <row r="526" spans="1:5">
      <c r="A526" s="11">
        <v>10119</v>
      </c>
      <c r="B526" s="6">
        <v>12525</v>
      </c>
      <c r="C526" s="29" t="s">
        <v>900</v>
      </c>
      <c r="D526" s="6" t="s">
        <v>758</v>
      </c>
      <c r="E526" s="6">
        <v>12526</v>
      </c>
    </row>
    <row r="527" spans="1:5">
      <c r="A527" s="11">
        <v>10119</v>
      </c>
      <c r="B527" s="6">
        <v>12526</v>
      </c>
      <c r="C527" s="29">
        <v>20001</v>
      </c>
      <c r="D527" s="6" t="s">
        <v>759</v>
      </c>
      <c r="E527" s="6">
        <v>0</v>
      </c>
    </row>
    <row r="528" spans="1:5">
      <c r="A528" s="11">
        <v>10120</v>
      </c>
      <c r="B528" s="6">
        <v>12527</v>
      </c>
      <c r="C528" s="28" t="s">
        <v>900</v>
      </c>
      <c r="D528" s="28" t="s">
        <v>851</v>
      </c>
      <c r="E528" s="6">
        <v>0</v>
      </c>
    </row>
    <row r="529" spans="1:5">
      <c r="A529" s="11">
        <v>10121</v>
      </c>
      <c r="B529" s="6">
        <v>12528</v>
      </c>
      <c r="C529" s="29" t="s">
        <v>901</v>
      </c>
      <c r="D529" s="6" t="s">
        <v>760</v>
      </c>
      <c r="E529" s="6">
        <v>12529</v>
      </c>
    </row>
    <row r="530" spans="1:5">
      <c r="A530" s="11">
        <v>10121</v>
      </c>
      <c r="B530" s="6">
        <v>12529</v>
      </c>
      <c r="C530" s="29">
        <v>20001</v>
      </c>
      <c r="D530" s="6" t="s">
        <v>761</v>
      </c>
      <c r="E530" s="6">
        <v>12530</v>
      </c>
    </row>
    <row r="531" spans="1:5">
      <c r="A531" s="11">
        <v>10121</v>
      </c>
      <c r="B531" s="6">
        <v>12530</v>
      </c>
      <c r="C531" s="29" t="s">
        <v>896</v>
      </c>
      <c r="D531" s="6" t="s">
        <v>762</v>
      </c>
      <c r="E531" s="6">
        <v>12531</v>
      </c>
    </row>
    <row r="532" spans="1:5">
      <c r="A532" s="11">
        <v>10121</v>
      </c>
      <c r="B532" s="6">
        <v>12531</v>
      </c>
      <c r="C532" s="29">
        <v>20001</v>
      </c>
      <c r="D532" s="6" t="s">
        <v>763</v>
      </c>
      <c r="E532" s="6">
        <v>12532</v>
      </c>
    </row>
    <row r="533" spans="1:5">
      <c r="A533" s="11">
        <v>10121</v>
      </c>
      <c r="B533" s="6">
        <v>12532</v>
      </c>
      <c r="C533" s="29" t="s">
        <v>901</v>
      </c>
      <c r="D533" s="6" t="s">
        <v>764</v>
      </c>
      <c r="E533" s="6">
        <v>12533</v>
      </c>
    </row>
    <row r="534" spans="1:5">
      <c r="A534" s="11">
        <v>10121</v>
      </c>
      <c r="B534" s="6">
        <v>12533</v>
      </c>
      <c r="C534" s="29">
        <v>20001</v>
      </c>
      <c r="D534" s="6" t="s">
        <v>765</v>
      </c>
      <c r="E534" s="6">
        <v>0</v>
      </c>
    </row>
    <row r="535" spans="1:5">
      <c r="A535" s="11">
        <v>10122</v>
      </c>
      <c r="B535" s="6">
        <v>12534</v>
      </c>
      <c r="C535" s="29" t="s">
        <v>902</v>
      </c>
      <c r="D535" s="6" t="s">
        <v>766</v>
      </c>
      <c r="E535" s="6">
        <v>12535</v>
      </c>
    </row>
    <row r="536" spans="1:5">
      <c r="A536" s="11">
        <v>10122</v>
      </c>
      <c r="B536" s="6">
        <v>12535</v>
      </c>
      <c r="C536" s="29">
        <v>20001</v>
      </c>
      <c r="D536" s="6" t="s">
        <v>767</v>
      </c>
      <c r="E536" s="6">
        <v>0</v>
      </c>
    </row>
    <row r="537" spans="1:5">
      <c r="A537" s="11">
        <v>10123</v>
      </c>
      <c r="B537" s="6">
        <v>12536</v>
      </c>
      <c r="C537" s="29" t="s">
        <v>670</v>
      </c>
      <c r="D537" s="6" t="s">
        <v>768</v>
      </c>
      <c r="E537" s="6">
        <v>12537</v>
      </c>
    </row>
    <row r="538" spans="1:5">
      <c r="A538" s="11">
        <v>10123</v>
      </c>
      <c r="B538" s="6">
        <v>12537</v>
      </c>
      <c r="C538" s="29" t="s">
        <v>901</v>
      </c>
      <c r="D538" s="6" t="s">
        <v>769</v>
      </c>
      <c r="E538" s="6">
        <v>12538</v>
      </c>
    </row>
    <row r="539" spans="1:5">
      <c r="A539" s="11">
        <v>10123</v>
      </c>
      <c r="B539" s="6">
        <v>12538</v>
      </c>
      <c r="C539" s="29" t="s">
        <v>670</v>
      </c>
      <c r="D539" s="6" t="s">
        <v>770</v>
      </c>
      <c r="E539" s="6">
        <v>12539</v>
      </c>
    </row>
    <row r="540" spans="1:5">
      <c r="A540" s="11">
        <v>10123</v>
      </c>
      <c r="B540" s="6">
        <v>12539</v>
      </c>
      <c r="C540" s="29">
        <v>20001</v>
      </c>
      <c r="D540" s="6" t="s">
        <v>771</v>
      </c>
      <c r="E540" s="6">
        <v>12540</v>
      </c>
    </row>
    <row r="541" spans="1:5">
      <c r="A541" s="11">
        <v>10123</v>
      </c>
      <c r="B541" s="6">
        <v>12540</v>
      </c>
      <c r="C541" s="29" t="s">
        <v>670</v>
      </c>
      <c r="D541" s="6" t="s">
        <v>772</v>
      </c>
      <c r="E541" s="6">
        <v>0</v>
      </c>
    </row>
    <row r="542" spans="1:5">
      <c r="A542" s="11">
        <v>10124</v>
      </c>
      <c r="B542" s="6">
        <v>12541</v>
      </c>
      <c r="C542" s="29">
        <v>20001</v>
      </c>
      <c r="D542" s="6" t="s">
        <v>773</v>
      </c>
      <c r="E542" s="6">
        <v>12542</v>
      </c>
    </row>
    <row r="543" spans="1:5">
      <c r="A543" s="11">
        <v>10124</v>
      </c>
      <c r="B543" s="6">
        <v>12542</v>
      </c>
      <c r="C543" s="29" t="s">
        <v>896</v>
      </c>
      <c r="D543" s="6" t="s">
        <v>774</v>
      </c>
      <c r="E543" s="6">
        <v>0</v>
      </c>
    </row>
    <row r="544" spans="1:5">
      <c r="A544" s="11">
        <v>10125</v>
      </c>
      <c r="B544" s="6">
        <v>12543</v>
      </c>
      <c r="C544" s="29">
        <v>20001</v>
      </c>
      <c r="D544" s="6" t="s">
        <v>775</v>
      </c>
      <c r="E544" s="6">
        <v>12544</v>
      </c>
    </row>
    <row r="545" spans="1:5">
      <c r="A545" s="11">
        <v>10125</v>
      </c>
      <c r="B545" s="6">
        <v>12544</v>
      </c>
      <c r="C545" s="29" t="s">
        <v>670</v>
      </c>
      <c r="D545" s="6" t="s">
        <v>776</v>
      </c>
      <c r="E545" s="6">
        <v>12545</v>
      </c>
    </row>
    <row r="546" spans="1:5">
      <c r="A546" s="11">
        <v>10125</v>
      </c>
      <c r="B546" s="6">
        <v>12545</v>
      </c>
      <c r="C546" s="29">
        <v>20001</v>
      </c>
      <c r="D546" s="6" t="s">
        <v>777</v>
      </c>
      <c r="E546" s="6">
        <v>12546</v>
      </c>
    </row>
    <row r="547" spans="1:5">
      <c r="A547" s="11">
        <v>10125</v>
      </c>
      <c r="B547" s="6">
        <v>12546</v>
      </c>
      <c r="C547" s="29" t="s">
        <v>670</v>
      </c>
      <c r="D547" s="6" t="s">
        <v>778</v>
      </c>
      <c r="E547" s="6">
        <v>0</v>
      </c>
    </row>
    <row r="548" spans="1:5">
      <c r="A548" s="11">
        <v>10126</v>
      </c>
      <c r="B548" s="6">
        <v>12547</v>
      </c>
      <c r="C548" s="29">
        <v>20001</v>
      </c>
      <c r="D548" s="6" t="s">
        <v>779</v>
      </c>
      <c r="E548" s="6">
        <v>12548</v>
      </c>
    </row>
    <row r="549" spans="1:5">
      <c r="A549" s="11">
        <v>10126</v>
      </c>
      <c r="B549" s="6">
        <v>12548</v>
      </c>
      <c r="C549" s="29" t="s">
        <v>896</v>
      </c>
      <c r="D549" s="6" t="s">
        <v>780</v>
      </c>
      <c r="E549" s="6">
        <v>12549</v>
      </c>
    </row>
    <row r="550" spans="1:5">
      <c r="A550" s="11">
        <v>10126</v>
      </c>
      <c r="B550" s="6">
        <v>12549</v>
      </c>
      <c r="C550" s="29">
        <v>20001</v>
      </c>
      <c r="D550" s="6" t="s">
        <v>781</v>
      </c>
      <c r="E550" s="6">
        <v>12550</v>
      </c>
    </row>
    <row r="551" spans="1:5">
      <c r="A551" s="11">
        <v>10126</v>
      </c>
      <c r="B551" s="6">
        <v>12550</v>
      </c>
      <c r="C551" s="29" t="s">
        <v>896</v>
      </c>
      <c r="D551" s="6" t="s">
        <v>782</v>
      </c>
      <c r="E551" s="6">
        <v>0</v>
      </c>
    </row>
    <row r="552" spans="1:5">
      <c r="A552" s="11">
        <v>10127</v>
      </c>
      <c r="B552" s="6">
        <v>12551</v>
      </c>
      <c r="C552" s="29" t="s">
        <v>896</v>
      </c>
      <c r="D552" s="6" t="s">
        <v>783</v>
      </c>
      <c r="E552" s="6">
        <v>12552</v>
      </c>
    </row>
    <row r="553" spans="1:5">
      <c r="A553" s="11">
        <v>10127</v>
      </c>
      <c r="B553" s="6">
        <v>12552</v>
      </c>
      <c r="C553" s="29" t="s">
        <v>903</v>
      </c>
      <c r="D553" s="6" t="s">
        <v>784</v>
      </c>
      <c r="E553" s="6">
        <v>12553</v>
      </c>
    </row>
    <row r="554" spans="1:5">
      <c r="A554" s="11">
        <v>10127</v>
      </c>
      <c r="B554" s="6">
        <v>12553</v>
      </c>
      <c r="C554" s="29">
        <v>20001</v>
      </c>
      <c r="D554" s="6" t="s">
        <v>785</v>
      </c>
      <c r="E554" s="6">
        <v>12554</v>
      </c>
    </row>
    <row r="555" spans="1:5">
      <c r="A555" s="11">
        <v>10127</v>
      </c>
      <c r="B555" s="6">
        <v>12554</v>
      </c>
      <c r="C555" s="29" t="s">
        <v>896</v>
      </c>
      <c r="D555" s="6" t="s">
        <v>786</v>
      </c>
      <c r="E555" s="6">
        <v>12555</v>
      </c>
    </row>
    <row r="556" spans="1:5">
      <c r="A556" s="11">
        <v>10127</v>
      </c>
      <c r="B556" s="6">
        <v>12555</v>
      </c>
      <c r="C556" s="29">
        <v>20001</v>
      </c>
      <c r="D556" s="6" t="s">
        <v>787</v>
      </c>
      <c r="E556" s="6">
        <v>12556</v>
      </c>
    </row>
    <row r="557" spans="1:5">
      <c r="A557" s="11">
        <v>10127</v>
      </c>
      <c r="B557" s="6">
        <v>12556</v>
      </c>
      <c r="C557" s="29" t="s">
        <v>896</v>
      </c>
      <c r="D557" s="6" t="s">
        <v>788</v>
      </c>
      <c r="E557" s="6">
        <v>12557</v>
      </c>
    </row>
    <row r="558" spans="1:5">
      <c r="A558" s="11">
        <v>10127</v>
      </c>
      <c r="B558" s="6">
        <v>12557</v>
      </c>
      <c r="C558" s="29">
        <v>20001</v>
      </c>
      <c r="D558" s="6" t="s">
        <v>789</v>
      </c>
      <c r="E558" s="6">
        <v>0</v>
      </c>
    </row>
    <row r="559" spans="1:5">
      <c r="A559" s="11">
        <v>10128</v>
      </c>
      <c r="B559" s="6">
        <v>12558</v>
      </c>
      <c r="C559" s="29" t="s">
        <v>903</v>
      </c>
      <c r="D559" s="6" t="s">
        <v>790</v>
      </c>
      <c r="E559" s="6">
        <v>12559</v>
      </c>
    </row>
    <row r="560" spans="1:5">
      <c r="A560" s="11">
        <v>10128</v>
      </c>
      <c r="B560" s="6">
        <v>12559</v>
      </c>
      <c r="C560" s="29">
        <v>20001</v>
      </c>
      <c r="D560" s="6" t="s">
        <v>791</v>
      </c>
      <c r="E560" s="6">
        <v>12560</v>
      </c>
    </row>
    <row r="561" spans="1:5">
      <c r="A561" s="11">
        <v>10128</v>
      </c>
      <c r="B561" s="6">
        <v>12560</v>
      </c>
      <c r="C561" s="29" t="s">
        <v>896</v>
      </c>
      <c r="D561" s="6" t="s">
        <v>792</v>
      </c>
      <c r="E561" s="6">
        <v>0</v>
      </c>
    </row>
    <row r="562" spans="1:5">
      <c r="A562" s="11">
        <v>10129</v>
      </c>
      <c r="B562" s="6">
        <v>12561</v>
      </c>
      <c r="C562" s="29" t="s">
        <v>685</v>
      </c>
      <c r="D562" s="6" t="s">
        <v>793</v>
      </c>
      <c r="E562" s="6">
        <v>12562</v>
      </c>
    </row>
    <row r="563" spans="1:5">
      <c r="A563" s="11">
        <v>10129</v>
      </c>
      <c r="B563" s="6">
        <v>12562</v>
      </c>
      <c r="C563" s="29" t="s">
        <v>904</v>
      </c>
      <c r="D563" s="6" t="s">
        <v>794</v>
      </c>
      <c r="E563" s="6">
        <v>12563</v>
      </c>
    </row>
    <row r="564" spans="1:5">
      <c r="A564" s="11">
        <v>10129</v>
      </c>
      <c r="B564" s="6">
        <v>12563</v>
      </c>
      <c r="C564" s="29" t="s">
        <v>685</v>
      </c>
      <c r="D564" s="6" t="s">
        <v>795</v>
      </c>
      <c r="E564" s="6">
        <v>12564</v>
      </c>
    </row>
    <row r="565" spans="1:5">
      <c r="A565" s="11">
        <v>10129</v>
      </c>
      <c r="B565" s="6">
        <v>12564</v>
      </c>
      <c r="C565" s="29" t="s">
        <v>904</v>
      </c>
      <c r="D565" s="6" t="s">
        <v>796</v>
      </c>
      <c r="E565" s="6">
        <v>12565</v>
      </c>
    </row>
    <row r="566" spans="1:5">
      <c r="A566" s="11">
        <v>10129</v>
      </c>
      <c r="B566" s="6">
        <v>12565</v>
      </c>
      <c r="C566" s="29" t="s">
        <v>685</v>
      </c>
      <c r="D566" s="6" t="s">
        <v>797</v>
      </c>
      <c r="E566" s="6">
        <v>12566</v>
      </c>
    </row>
    <row r="567" spans="1:5">
      <c r="A567" s="11">
        <v>10129</v>
      </c>
      <c r="B567" s="6">
        <v>12566</v>
      </c>
      <c r="C567" s="29" t="s">
        <v>904</v>
      </c>
      <c r="D567" s="6" t="s">
        <v>798</v>
      </c>
      <c r="E567" s="6">
        <v>0</v>
      </c>
    </row>
    <row r="568" spans="1:5">
      <c r="A568" s="11">
        <v>10130</v>
      </c>
      <c r="B568" s="6">
        <v>12567</v>
      </c>
      <c r="C568" s="29">
        <v>20001</v>
      </c>
      <c r="D568" s="6" t="s">
        <v>799</v>
      </c>
      <c r="E568" s="6">
        <v>12568</v>
      </c>
    </row>
    <row r="569" spans="1:5">
      <c r="A569" s="11">
        <v>10130</v>
      </c>
      <c r="B569" s="6">
        <v>12568</v>
      </c>
      <c r="C569" s="29" t="s">
        <v>896</v>
      </c>
      <c r="D569" s="6" t="s">
        <v>800</v>
      </c>
      <c r="E569" s="6">
        <v>0</v>
      </c>
    </row>
    <row r="570" spans="1:5">
      <c r="A570" s="11">
        <v>10131</v>
      </c>
      <c r="B570" s="6">
        <v>12569</v>
      </c>
      <c r="C570" s="29" t="s">
        <v>671</v>
      </c>
      <c r="D570" s="6" t="s">
        <v>801</v>
      </c>
      <c r="E570" s="6">
        <v>12570</v>
      </c>
    </row>
    <row r="571" spans="1:5">
      <c r="A571" s="11">
        <v>10131</v>
      </c>
      <c r="B571" s="6">
        <v>12570</v>
      </c>
      <c r="C571" s="29">
        <v>20001</v>
      </c>
      <c r="D571" s="6" t="s">
        <v>802</v>
      </c>
      <c r="E571" s="6">
        <v>12571</v>
      </c>
    </row>
    <row r="572" spans="1:5">
      <c r="A572" s="11">
        <v>10131</v>
      </c>
      <c r="B572" s="6">
        <v>12571</v>
      </c>
      <c r="C572" s="29" t="s">
        <v>905</v>
      </c>
      <c r="D572" s="6" t="s">
        <v>803</v>
      </c>
      <c r="E572" s="6">
        <v>0</v>
      </c>
    </row>
    <row r="573" spans="1:5">
      <c r="A573" s="11">
        <v>10132</v>
      </c>
      <c r="B573" s="6">
        <v>12572</v>
      </c>
      <c r="C573" s="29">
        <v>20001</v>
      </c>
      <c r="D573" s="6" t="s">
        <v>804</v>
      </c>
      <c r="E573" s="6">
        <v>0</v>
      </c>
    </row>
    <row r="574" spans="1:5">
      <c r="A574" s="11">
        <v>10133</v>
      </c>
      <c r="B574" s="6">
        <v>12573</v>
      </c>
      <c r="C574" s="29" t="s">
        <v>905</v>
      </c>
      <c r="D574" s="6" t="s">
        <v>805</v>
      </c>
      <c r="E574" s="6">
        <v>12574</v>
      </c>
    </row>
    <row r="575" spans="1:5">
      <c r="A575" s="11">
        <v>10133</v>
      </c>
      <c r="B575" s="6">
        <v>12574</v>
      </c>
      <c r="C575" s="29">
        <v>20001</v>
      </c>
      <c r="D575" s="6" t="s">
        <v>806</v>
      </c>
      <c r="E575" s="6">
        <v>12575</v>
      </c>
    </row>
    <row r="576" spans="1:5">
      <c r="A576" s="11">
        <v>10133</v>
      </c>
      <c r="B576" s="6">
        <v>12575</v>
      </c>
      <c r="C576" s="29" t="s">
        <v>905</v>
      </c>
      <c r="D576" s="6" t="s">
        <v>807</v>
      </c>
      <c r="E576" s="6">
        <v>12576</v>
      </c>
    </row>
    <row r="577" spans="1:5">
      <c r="A577" s="11">
        <v>10133</v>
      </c>
      <c r="B577" s="6">
        <v>12576</v>
      </c>
      <c r="C577" s="29">
        <v>20001</v>
      </c>
      <c r="D577" s="6" t="s">
        <v>808</v>
      </c>
      <c r="E577" s="6">
        <v>12577</v>
      </c>
    </row>
    <row r="578" spans="1:5">
      <c r="A578" s="11">
        <v>10133</v>
      </c>
      <c r="B578" s="6">
        <v>12577</v>
      </c>
      <c r="C578" s="29" t="s">
        <v>905</v>
      </c>
      <c r="D578" s="6" t="s">
        <v>809</v>
      </c>
      <c r="E578" s="6">
        <v>0</v>
      </c>
    </row>
    <row r="579" spans="1:5">
      <c r="A579" s="11">
        <v>10134</v>
      </c>
      <c r="B579" s="6">
        <v>12578</v>
      </c>
      <c r="C579" s="10" t="s">
        <v>905</v>
      </c>
      <c r="D579" s="20" t="s">
        <v>810</v>
      </c>
      <c r="E579" s="6">
        <v>12579</v>
      </c>
    </row>
    <row r="580" spans="1:5">
      <c r="A580" s="11">
        <v>10134</v>
      </c>
      <c r="B580" s="6">
        <v>12579</v>
      </c>
      <c r="C580" s="10" t="s">
        <v>644</v>
      </c>
      <c r="D580" s="20" t="s">
        <v>811</v>
      </c>
      <c r="E580" s="6">
        <v>0</v>
      </c>
    </row>
    <row r="581" spans="1:5">
      <c r="A581" s="11">
        <v>10135</v>
      </c>
      <c r="B581" s="6">
        <v>12580</v>
      </c>
      <c r="C581" s="10" t="s">
        <v>904</v>
      </c>
      <c r="D581" s="20" t="s">
        <v>812</v>
      </c>
      <c r="E581" s="6">
        <v>12581</v>
      </c>
    </row>
    <row r="582" spans="1:5" ht="27">
      <c r="A582" s="11">
        <v>10135</v>
      </c>
      <c r="B582" s="6">
        <v>12581</v>
      </c>
      <c r="C582" s="10">
        <v>20001</v>
      </c>
      <c r="D582" s="20" t="s">
        <v>813</v>
      </c>
      <c r="E582" s="6">
        <v>12582</v>
      </c>
    </row>
    <row r="583" spans="1:5">
      <c r="A583" s="11">
        <v>10135</v>
      </c>
      <c r="B583" s="6">
        <v>12582</v>
      </c>
      <c r="C583" s="10" t="s">
        <v>671</v>
      </c>
      <c r="D583" s="20" t="s">
        <v>814</v>
      </c>
      <c r="E583" s="6">
        <v>12583</v>
      </c>
    </row>
    <row r="584" spans="1:5">
      <c r="A584" s="11">
        <v>10135</v>
      </c>
      <c r="B584" s="6">
        <v>12583</v>
      </c>
      <c r="C584" s="10">
        <v>20001</v>
      </c>
      <c r="D584" s="20" t="s">
        <v>815</v>
      </c>
      <c r="E584" s="6">
        <v>12584</v>
      </c>
    </row>
    <row r="585" spans="1:5">
      <c r="A585" s="11">
        <v>10135</v>
      </c>
      <c r="B585" s="6">
        <v>12584</v>
      </c>
      <c r="C585" s="10" t="s">
        <v>671</v>
      </c>
      <c r="D585" s="20" t="s">
        <v>816</v>
      </c>
      <c r="E585" s="6">
        <v>0</v>
      </c>
    </row>
    <row r="586" spans="1:5">
      <c r="A586" s="11">
        <v>10136</v>
      </c>
      <c r="B586" s="6">
        <v>12585</v>
      </c>
      <c r="C586" s="10" t="s">
        <v>904</v>
      </c>
      <c r="D586" s="20" t="s">
        <v>817</v>
      </c>
      <c r="E586" s="6">
        <v>12586</v>
      </c>
    </row>
    <row r="587" spans="1:5" ht="27">
      <c r="A587" s="11">
        <v>10136</v>
      </c>
      <c r="B587" s="6">
        <v>12586</v>
      </c>
      <c r="C587" s="10" t="s">
        <v>671</v>
      </c>
      <c r="D587" s="20" t="s">
        <v>818</v>
      </c>
      <c r="E587" s="6">
        <v>12587</v>
      </c>
    </row>
    <row r="588" spans="1:5" ht="27">
      <c r="A588" s="11">
        <v>10136</v>
      </c>
      <c r="B588" s="6">
        <v>12587</v>
      </c>
      <c r="C588" s="10">
        <v>20001</v>
      </c>
      <c r="D588" s="20" t="s">
        <v>819</v>
      </c>
      <c r="E588" s="6">
        <v>12588</v>
      </c>
    </row>
    <row r="589" spans="1:5">
      <c r="A589" s="11">
        <v>10136</v>
      </c>
      <c r="B589" s="6">
        <v>12588</v>
      </c>
      <c r="C589" s="10" t="s">
        <v>671</v>
      </c>
      <c r="D589" s="20" t="s">
        <v>820</v>
      </c>
      <c r="E589" s="6">
        <v>0</v>
      </c>
    </row>
    <row r="590" spans="1:5">
      <c r="A590" s="11">
        <v>10137</v>
      </c>
      <c r="B590" s="6">
        <v>12589</v>
      </c>
      <c r="C590" s="10" t="s">
        <v>904</v>
      </c>
      <c r="D590" s="20" t="s">
        <v>821</v>
      </c>
      <c r="E590" s="6">
        <v>12590</v>
      </c>
    </row>
    <row r="591" spans="1:5">
      <c r="A591" s="11">
        <v>10137</v>
      </c>
      <c r="B591" s="6">
        <v>12590</v>
      </c>
      <c r="C591" s="10">
        <v>20001</v>
      </c>
      <c r="D591" s="20" t="s">
        <v>822</v>
      </c>
      <c r="E591" s="6">
        <v>12591</v>
      </c>
    </row>
    <row r="592" spans="1:5">
      <c r="A592" s="11">
        <v>10137</v>
      </c>
      <c r="B592" s="6">
        <v>12591</v>
      </c>
      <c r="C592" s="10" t="s">
        <v>896</v>
      </c>
      <c r="D592" s="20" t="s">
        <v>823</v>
      </c>
      <c r="E592" s="6">
        <v>12592</v>
      </c>
    </row>
    <row r="593" spans="1:5">
      <c r="A593" s="11">
        <v>10137</v>
      </c>
      <c r="B593" s="6">
        <v>12592</v>
      </c>
      <c r="C593" s="10">
        <v>20001</v>
      </c>
      <c r="D593" s="20" t="s">
        <v>824</v>
      </c>
      <c r="E593" s="6">
        <v>12593</v>
      </c>
    </row>
    <row r="594" spans="1:5">
      <c r="A594" s="11">
        <v>10137</v>
      </c>
      <c r="B594" s="6">
        <v>12593</v>
      </c>
      <c r="C594" s="10" t="s">
        <v>904</v>
      </c>
      <c r="D594" s="20" t="s">
        <v>825</v>
      </c>
      <c r="E594" s="6">
        <v>0</v>
      </c>
    </row>
    <row r="595" spans="1:5">
      <c r="A595" s="11">
        <v>10138</v>
      </c>
      <c r="B595" s="6">
        <v>12594</v>
      </c>
      <c r="C595" s="10">
        <v>20001</v>
      </c>
      <c r="D595" s="20" t="s">
        <v>826</v>
      </c>
      <c r="E595" s="6">
        <v>12595</v>
      </c>
    </row>
    <row r="596" spans="1:5">
      <c r="A596" s="11">
        <v>10138</v>
      </c>
      <c r="B596" s="6">
        <v>12595</v>
      </c>
      <c r="C596" s="10" t="s">
        <v>896</v>
      </c>
      <c r="D596" s="20" t="s">
        <v>827</v>
      </c>
      <c r="E596" s="6">
        <v>0</v>
      </c>
    </row>
    <row r="597" spans="1:5">
      <c r="A597" s="11">
        <v>10139</v>
      </c>
      <c r="B597" s="6">
        <v>12596</v>
      </c>
      <c r="C597" s="10">
        <v>20001</v>
      </c>
      <c r="D597" s="20" t="s">
        <v>828</v>
      </c>
      <c r="E597" s="6">
        <v>12597</v>
      </c>
    </row>
    <row r="598" spans="1:5">
      <c r="A598" s="11">
        <v>10139</v>
      </c>
      <c r="B598" s="6">
        <v>12597</v>
      </c>
      <c r="C598" s="10" t="s">
        <v>644</v>
      </c>
      <c r="D598" s="20" t="s">
        <v>829</v>
      </c>
      <c r="E598" s="6">
        <v>12598</v>
      </c>
    </row>
    <row r="599" spans="1:5">
      <c r="A599" s="11">
        <v>10139</v>
      </c>
      <c r="B599" s="6">
        <v>12598</v>
      </c>
      <c r="C599" s="10">
        <v>20001</v>
      </c>
      <c r="D599" s="20" t="s">
        <v>830</v>
      </c>
      <c r="E599" s="6">
        <v>12599</v>
      </c>
    </row>
    <row r="600" spans="1:5">
      <c r="A600" s="11">
        <v>10139</v>
      </c>
      <c r="B600" s="6">
        <v>12599</v>
      </c>
      <c r="C600" s="10" t="s">
        <v>644</v>
      </c>
      <c r="D600" s="20" t="s">
        <v>831</v>
      </c>
      <c r="E600" s="6">
        <v>12600</v>
      </c>
    </row>
    <row r="601" spans="1:5">
      <c r="A601" s="11">
        <v>10139</v>
      </c>
      <c r="B601" s="6">
        <v>12600</v>
      </c>
      <c r="C601" s="10">
        <v>20001</v>
      </c>
      <c r="D601" s="20" t="s">
        <v>832</v>
      </c>
      <c r="E601" s="6">
        <v>12601</v>
      </c>
    </row>
    <row r="602" spans="1:5">
      <c r="A602" s="11">
        <v>10139</v>
      </c>
      <c r="B602" s="6">
        <v>12601</v>
      </c>
      <c r="C602" s="10" t="s">
        <v>896</v>
      </c>
      <c r="D602" s="10" t="s">
        <v>833</v>
      </c>
      <c r="E602" s="6">
        <v>0</v>
      </c>
    </row>
    <row r="603" spans="1:5">
      <c r="A603" s="11">
        <v>10140</v>
      </c>
      <c r="B603" s="6">
        <v>12602</v>
      </c>
      <c r="C603" s="10">
        <v>20001</v>
      </c>
      <c r="D603" s="20" t="s">
        <v>834</v>
      </c>
      <c r="E603" s="6">
        <v>12603</v>
      </c>
    </row>
    <row r="604" spans="1:5">
      <c r="A604" s="11">
        <v>10140</v>
      </c>
      <c r="B604" s="6">
        <v>12603</v>
      </c>
      <c r="C604" s="10" t="s">
        <v>896</v>
      </c>
      <c r="D604" s="10" t="s">
        <v>835</v>
      </c>
      <c r="E604" s="6">
        <v>0</v>
      </c>
    </row>
    <row r="605" spans="1:5">
      <c r="A605" s="11">
        <v>10141</v>
      </c>
      <c r="B605" s="6">
        <v>12604</v>
      </c>
      <c r="C605" s="10" t="s">
        <v>898</v>
      </c>
      <c r="D605" s="20" t="s">
        <v>836</v>
      </c>
      <c r="E605" s="6">
        <v>12605</v>
      </c>
    </row>
    <row r="606" spans="1:5">
      <c r="A606" s="11">
        <v>10141</v>
      </c>
      <c r="B606" s="6">
        <v>12605</v>
      </c>
      <c r="C606" s="10" t="s">
        <v>896</v>
      </c>
      <c r="D606" s="20" t="s">
        <v>837</v>
      </c>
      <c r="E606" s="6">
        <v>12606</v>
      </c>
    </row>
    <row r="607" spans="1:5">
      <c r="A607" s="11">
        <v>10141</v>
      </c>
      <c r="B607" s="6">
        <v>12606</v>
      </c>
      <c r="C607" s="10">
        <v>20001</v>
      </c>
      <c r="D607" s="20" t="s">
        <v>838</v>
      </c>
      <c r="E607" s="6">
        <v>12607</v>
      </c>
    </row>
    <row r="608" spans="1:5">
      <c r="A608" s="11">
        <v>10141</v>
      </c>
      <c r="B608" s="6">
        <v>12607</v>
      </c>
      <c r="C608" s="10" t="s">
        <v>896</v>
      </c>
      <c r="D608" s="20" t="s">
        <v>839</v>
      </c>
      <c r="E608" s="6">
        <v>12608</v>
      </c>
    </row>
    <row r="609" spans="1:5">
      <c r="A609" s="11">
        <v>10141</v>
      </c>
      <c r="B609" s="6">
        <v>12608</v>
      </c>
      <c r="C609" s="10">
        <v>20001</v>
      </c>
      <c r="D609" s="20" t="s">
        <v>840</v>
      </c>
      <c r="E609" s="6">
        <v>12609</v>
      </c>
    </row>
    <row r="610" spans="1:5">
      <c r="A610" s="11">
        <v>10141</v>
      </c>
      <c r="B610" s="6">
        <v>12609</v>
      </c>
      <c r="C610" s="10" t="s">
        <v>896</v>
      </c>
      <c r="D610" s="20" t="s">
        <v>841</v>
      </c>
      <c r="E610" s="6">
        <v>12610</v>
      </c>
    </row>
    <row r="611" spans="1:5">
      <c r="A611" s="11">
        <v>10141</v>
      </c>
      <c r="B611" s="6">
        <v>12610</v>
      </c>
      <c r="C611" s="10">
        <v>20001</v>
      </c>
      <c r="D611" s="20" t="s">
        <v>842</v>
      </c>
      <c r="E611" s="6">
        <v>12611</v>
      </c>
    </row>
    <row r="612" spans="1:5">
      <c r="A612" s="11">
        <v>10141</v>
      </c>
      <c r="B612" s="6">
        <v>12611</v>
      </c>
      <c r="C612" s="10" t="s">
        <v>896</v>
      </c>
      <c r="D612" s="20" t="s">
        <v>843</v>
      </c>
      <c r="E612" s="6">
        <v>0</v>
      </c>
    </row>
    <row r="613" spans="1:5">
      <c r="A613" s="11">
        <v>10142</v>
      </c>
      <c r="B613" s="6">
        <v>12612</v>
      </c>
      <c r="C613" s="10" t="s">
        <v>898</v>
      </c>
      <c r="D613" s="20" t="s">
        <v>844</v>
      </c>
      <c r="E613" s="6">
        <v>12613</v>
      </c>
    </row>
    <row r="614" spans="1:5" ht="27">
      <c r="A614" s="11">
        <v>10142</v>
      </c>
      <c r="B614" s="6">
        <v>12613</v>
      </c>
      <c r="C614" s="10" t="s">
        <v>896</v>
      </c>
      <c r="D614" s="20" t="s">
        <v>845</v>
      </c>
      <c r="E614" s="6">
        <v>12614</v>
      </c>
    </row>
    <row r="615" spans="1:5">
      <c r="A615" s="11">
        <v>10142</v>
      </c>
      <c r="B615" s="6">
        <v>12614</v>
      </c>
      <c r="C615" s="10" t="s">
        <v>898</v>
      </c>
      <c r="D615" s="20" t="s">
        <v>846</v>
      </c>
      <c r="E615" s="6">
        <v>12615</v>
      </c>
    </row>
    <row r="616" spans="1:5">
      <c r="A616" s="11">
        <v>10142</v>
      </c>
      <c r="B616" s="6">
        <v>12615</v>
      </c>
      <c r="C616" s="10">
        <v>20001</v>
      </c>
      <c r="D616" s="20" t="s">
        <v>847</v>
      </c>
      <c r="E616" s="6">
        <v>0</v>
      </c>
    </row>
    <row r="617" spans="1:5">
      <c r="A617" s="11"/>
      <c r="B617" s="6"/>
      <c r="C617" s="10"/>
      <c r="D617" s="10"/>
      <c r="E617" s="6"/>
    </row>
    <row r="618" spans="1:5">
      <c r="A618" s="11"/>
      <c r="B618" s="6"/>
      <c r="C618" s="10"/>
      <c r="E618" s="6"/>
    </row>
    <row r="619" spans="1:5">
      <c r="A619" s="11"/>
      <c r="B619" s="6"/>
      <c r="C619" s="10"/>
      <c r="D619" s="10"/>
      <c r="E619" s="6"/>
    </row>
    <row r="620" spans="1:5">
      <c r="A620" s="11"/>
      <c r="B620" s="6"/>
      <c r="C620" s="10"/>
      <c r="E620" s="6"/>
    </row>
    <row r="621" spans="1:5">
      <c r="A621" s="11"/>
      <c r="B621" s="6"/>
      <c r="C621" s="10"/>
      <c r="D621" s="10"/>
      <c r="E621" s="6"/>
    </row>
    <row r="622" spans="1:5">
      <c r="A622" s="11"/>
      <c r="B622" s="6"/>
      <c r="C622" s="10"/>
      <c r="E622" s="6"/>
    </row>
    <row r="623" spans="1:5">
      <c r="A623" s="11"/>
      <c r="B623" s="6"/>
      <c r="C623" s="10"/>
      <c r="D623" s="10"/>
      <c r="E623" s="6"/>
    </row>
    <row r="624" spans="1:5">
      <c r="A624" s="11"/>
      <c r="B624" s="6"/>
      <c r="C624" s="10"/>
      <c r="E624" s="6"/>
    </row>
    <row r="625" spans="1:5">
      <c r="A625" s="11"/>
      <c r="B625" s="6"/>
      <c r="C625" s="10"/>
      <c r="E625" s="6"/>
    </row>
    <row r="626" spans="1:5">
      <c r="A626" s="11"/>
      <c r="B626" s="6"/>
      <c r="C626" s="10"/>
      <c r="E626" s="6"/>
    </row>
    <row r="627" spans="1:5">
      <c r="A627" s="11"/>
      <c r="B627" s="6"/>
      <c r="C627" s="10"/>
      <c r="E627" s="6"/>
    </row>
    <row r="628" spans="1:5">
      <c r="A628" s="11"/>
      <c r="B628" s="6"/>
      <c r="C628" s="10"/>
      <c r="E628" s="6"/>
    </row>
    <row r="629" spans="1:5">
      <c r="A629" s="11"/>
      <c r="B629" s="6"/>
      <c r="C629" s="10"/>
      <c r="E629" s="6"/>
    </row>
    <row r="630" spans="1:5">
      <c r="A630" s="11"/>
      <c r="B630" s="6"/>
      <c r="C630" s="10"/>
      <c r="E630" s="6"/>
    </row>
    <row r="631" spans="1:5">
      <c r="A631" s="11"/>
      <c r="B631" s="6"/>
      <c r="C631" s="10"/>
      <c r="E631" s="6"/>
    </row>
    <row r="632" spans="1:5">
      <c r="A632" s="11"/>
      <c r="B632" s="6"/>
      <c r="C632" s="10"/>
      <c r="E632" s="6"/>
    </row>
    <row r="633" spans="1:5">
      <c r="A633" s="11"/>
      <c r="B633" s="6"/>
      <c r="C633" s="10"/>
      <c r="E633" s="6"/>
    </row>
    <row r="634" spans="1:5">
      <c r="A634" s="11"/>
      <c r="B634" s="6"/>
      <c r="C634" s="10"/>
      <c r="E634" s="6"/>
    </row>
    <row r="635" spans="1:5">
      <c r="A635" s="11"/>
      <c r="B635" s="6"/>
      <c r="C635" s="10"/>
      <c r="E635" s="6"/>
    </row>
    <row r="636" spans="1:5">
      <c r="A636" s="11"/>
      <c r="B636" s="6"/>
      <c r="C636" s="10"/>
      <c r="D636" s="10"/>
      <c r="E636" s="6"/>
    </row>
    <row r="637" spans="1:5">
      <c r="A637" s="11"/>
      <c r="B637" s="6"/>
      <c r="C637" s="10"/>
      <c r="E637" s="6"/>
    </row>
    <row r="638" spans="1:5">
      <c r="A638" s="11"/>
      <c r="B638" s="6"/>
      <c r="C638" s="10"/>
      <c r="D638" s="10"/>
      <c r="E638" s="6"/>
    </row>
    <row r="639" spans="1:5">
      <c r="A639" s="11"/>
      <c r="B639" s="6"/>
      <c r="C639" s="10"/>
      <c r="E639" s="6"/>
    </row>
    <row r="640" spans="1:5">
      <c r="A640" s="11"/>
      <c r="B640" s="6"/>
      <c r="C640" s="10"/>
      <c r="E640" s="6"/>
    </row>
    <row r="641" spans="1:5">
      <c r="A641" s="11"/>
      <c r="B641" s="6"/>
      <c r="C641" s="10"/>
      <c r="E641" s="6"/>
    </row>
    <row r="642" spans="1:5">
      <c r="A642" s="11"/>
      <c r="B642" s="6"/>
      <c r="C642" s="10"/>
      <c r="E642" s="6"/>
    </row>
    <row r="643" spans="1:5">
      <c r="A643" s="11"/>
      <c r="B643" s="6"/>
      <c r="C643" s="10"/>
      <c r="E643" s="6"/>
    </row>
    <row r="644" spans="1:5">
      <c r="A644" s="11"/>
      <c r="B644" s="6"/>
      <c r="C644" s="10"/>
      <c r="D644" s="10"/>
      <c r="E644" s="6"/>
    </row>
    <row r="645" spans="1:5">
      <c r="A645" s="11"/>
      <c r="B645" s="6"/>
      <c r="C645" s="10"/>
      <c r="E645" s="6"/>
    </row>
    <row r="646" spans="1:5">
      <c r="A646" s="11"/>
      <c r="B646" s="6"/>
      <c r="C646" s="10"/>
      <c r="D646" s="10"/>
      <c r="E646" s="6"/>
    </row>
    <row r="647" spans="1:5">
      <c r="A647" s="11"/>
      <c r="B647" s="6"/>
      <c r="C647" s="10"/>
      <c r="D647" s="10"/>
      <c r="E647" s="6"/>
    </row>
    <row r="648" spans="1:5">
      <c r="A648" s="11"/>
      <c r="B648" s="6"/>
      <c r="C648" s="10"/>
      <c r="E648" s="6"/>
    </row>
    <row r="649" spans="1:5">
      <c r="A649" s="11"/>
      <c r="B649" s="6"/>
      <c r="C649" s="10"/>
      <c r="D649" s="10"/>
      <c r="E649" s="6"/>
    </row>
    <row r="650" spans="1:5">
      <c r="A650" s="11"/>
      <c r="B650" s="6"/>
      <c r="C650" s="10"/>
      <c r="E650" s="6"/>
    </row>
    <row r="651" spans="1:5">
      <c r="A651" s="11"/>
      <c r="B651" s="6"/>
      <c r="C651" s="10"/>
      <c r="D651" s="10"/>
      <c r="E651" s="6"/>
    </row>
    <row r="652" spans="1:5">
      <c r="A652" s="11"/>
      <c r="B652" s="6"/>
      <c r="C652" s="10"/>
      <c r="E652" s="6"/>
    </row>
    <row r="653" spans="1:5">
      <c r="A653" s="11"/>
      <c r="B653" s="6"/>
      <c r="C653" s="10"/>
      <c r="E653" s="6"/>
    </row>
    <row r="654" spans="1:5">
      <c r="A654" s="11"/>
      <c r="B654" s="6"/>
      <c r="C654" s="10"/>
      <c r="E654" s="6"/>
    </row>
    <row r="655" spans="1:5">
      <c r="A655" s="11"/>
      <c r="B655" s="6"/>
      <c r="C655" s="10"/>
      <c r="E655" s="6"/>
    </row>
    <row r="656" spans="1:5">
      <c r="A656" s="11"/>
      <c r="B656" s="6"/>
      <c r="C656" s="10"/>
      <c r="E656" s="6"/>
    </row>
    <row r="657" spans="1:5">
      <c r="A657" s="11"/>
      <c r="B657" s="6"/>
      <c r="C657" s="10"/>
      <c r="E657" s="6"/>
    </row>
    <row r="658" spans="1:5">
      <c r="A658" s="11"/>
      <c r="B658" s="6"/>
      <c r="C658" s="10"/>
      <c r="E658" s="6"/>
    </row>
    <row r="659" spans="1:5">
      <c r="A659" s="11"/>
      <c r="B659" s="6"/>
      <c r="C659" s="10"/>
      <c r="E659" s="6"/>
    </row>
    <row r="660" spans="1:5">
      <c r="A660" s="11"/>
      <c r="B660" s="6"/>
      <c r="C660" s="10"/>
      <c r="E660" s="6"/>
    </row>
    <row r="661" spans="1:5">
      <c r="A661" s="11"/>
      <c r="B661" s="6"/>
      <c r="C661" s="10"/>
      <c r="E661" s="6"/>
    </row>
    <row r="662" spans="1:5">
      <c r="A662" s="11"/>
      <c r="B662" s="6"/>
      <c r="C662" s="10"/>
      <c r="E662" s="6"/>
    </row>
    <row r="663" spans="1:5">
      <c r="A663" s="11"/>
      <c r="B663" s="6"/>
      <c r="C663" s="10"/>
      <c r="E663" s="6"/>
    </row>
    <row r="664" spans="1:5">
      <c r="A664" s="11"/>
      <c r="B664" s="6"/>
      <c r="C664" s="10"/>
      <c r="E664" s="6"/>
    </row>
    <row r="665" spans="1:5">
      <c r="A665" s="11"/>
      <c r="B665" s="5"/>
    </row>
    <row r="666" spans="1:5">
      <c r="A666" s="11"/>
      <c r="B666" s="5"/>
    </row>
    <row r="667" spans="1:5">
      <c r="A667" s="11"/>
      <c r="B667" s="5"/>
    </row>
    <row r="668" spans="1:5">
      <c r="A668" s="11"/>
      <c r="B668" s="5"/>
    </row>
    <row r="669" spans="1:5">
      <c r="A669" s="11"/>
      <c r="B669" s="5"/>
    </row>
    <row r="670" spans="1:5">
      <c r="A670" s="11"/>
      <c r="B670" s="5"/>
    </row>
    <row r="671" spans="1:5">
      <c r="A671" s="11"/>
      <c r="B671" s="5"/>
    </row>
    <row r="672" spans="1:5">
      <c r="A672" s="11"/>
      <c r="B672" s="5"/>
    </row>
    <row r="673" spans="1:2">
      <c r="A673" s="11"/>
      <c r="B673" s="5"/>
    </row>
    <row r="674" spans="1:2">
      <c r="A674" s="11"/>
      <c r="B674" s="5"/>
    </row>
    <row r="675" spans="1:2">
      <c r="A675" s="11"/>
      <c r="B675" s="5"/>
    </row>
    <row r="676" spans="1:2">
      <c r="A676" s="11"/>
      <c r="B676" s="5"/>
    </row>
    <row r="677" spans="1:2">
      <c r="A677" s="11"/>
      <c r="B677" s="5"/>
    </row>
    <row r="678" spans="1:2">
      <c r="A678" s="11"/>
      <c r="B678" s="5"/>
    </row>
    <row r="679" spans="1:2">
      <c r="A679" s="11"/>
      <c r="B679" s="5"/>
    </row>
    <row r="680" spans="1:2">
      <c r="A680" s="11"/>
      <c r="B680" s="5"/>
    </row>
    <row r="681" spans="1:2">
      <c r="A681" s="11"/>
      <c r="B681" s="5"/>
    </row>
    <row r="682" spans="1:2">
      <c r="A682" s="11"/>
      <c r="B682" s="5"/>
    </row>
    <row r="683" spans="1:2">
      <c r="A683" s="11"/>
      <c r="B683" s="5"/>
    </row>
    <row r="684" spans="1:2">
      <c r="A684" s="11"/>
      <c r="B684" s="5"/>
    </row>
    <row r="685" spans="1:2">
      <c r="A685" s="11"/>
      <c r="B685" s="5"/>
    </row>
    <row r="686" spans="1:2">
      <c r="A686" s="11"/>
      <c r="B686" s="5"/>
    </row>
    <row r="687" spans="1:2">
      <c r="A687" s="11"/>
      <c r="B687" s="5"/>
    </row>
    <row r="688" spans="1:2">
      <c r="A688" s="11"/>
      <c r="B688" s="5"/>
    </row>
    <row r="689" spans="1:2">
      <c r="A689" s="11"/>
      <c r="B689" s="5"/>
    </row>
    <row r="690" spans="1:2">
      <c r="A690" s="11"/>
      <c r="B690" s="5"/>
    </row>
    <row r="691" spans="1:2">
      <c r="A691" s="11"/>
      <c r="B691" s="5"/>
    </row>
    <row r="692" spans="1:2">
      <c r="A692" s="11"/>
      <c r="B692" s="5"/>
    </row>
    <row r="693" spans="1:2">
      <c r="A693" s="11"/>
      <c r="B693" s="5"/>
    </row>
    <row r="694" spans="1:2">
      <c r="A694" s="11"/>
      <c r="B694" s="5"/>
    </row>
    <row r="695" spans="1:2">
      <c r="A695" s="11"/>
      <c r="B695" s="5"/>
    </row>
    <row r="696" spans="1:2">
      <c r="A696" s="11"/>
      <c r="B696" s="5"/>
    </row>
    <row r="697" spans="1:2">
      <c r="A697" s="11"/>
      <c r="B697" s="5"/>
    </row>
    <row r="698" spans="1:2">
      <c r="A698" s="11"/>
      <c r="B698" s="5"/>
    </row>
    <row r="699" spans="1:2">
      <c r="A699" s="11"/>
      <c r="B699" s="5"/>
    </row>
    <row r="700" spans="1:2">
      <c r="A700" s="11"/>
      <c r="B700" s="5"/>
    </row>
    <row r="701" spans="1:2">
      <c r="A701" s="11"/>
      <c r="B701" s="5"/>
    </row>
    <row r="702" spans="1:2">
      <c r="A702" s="11"/>
      <c r="B702" s="5"/>
    </row>
    <row r="703" spans="1:2">
      <c r="A703" s="11"/>
      <c r="B703" s="5"/>
    </row>
    <row r="704" spans="1:2">
      <c r="A704" s="11"/>
      <c r="B704" s="5"/>
    </row>
    <row r="705" spans="1:2">
      <c r="A705" s="11"/>
      <c r="B705" s="5"/>
    </row>
    <row r="706" spans="1:2">
      <c r="A706" s="11"/>
      <c r="B706" s="5"/>
    </row>
    <row r="707" spans="1:2">
      <c r="A707" s="11"/>
      <c r="B707" s="5"/>
    </row>
    <row r="708" spans="1:2">
      <c r="A708" s="11"/>
      <c r="B708" s="5"/>
    </row>
    <row r="709" spans="1:2">
      <c r="A709" s="11"/>
      <c r="B709" s="5"/>
    </row>
    <row r="710" spans="1:2">
      <c r="A710" s="11"/>
      <c r="B710" s="5"/>
    </row>
    <row r="711" spans="1:2">
      <c r="A711" s="11"/>
      <c r="B711" s="5"/>
    </row>
    <row r="712" spans="1:2">
      <c r="A712" s="11"/>
      <c r="B712" s="5"/>
    </row>
    <row r="713" spans="1:2">
      <c r="A713" s="11"/>
      <c r="B713" s="5"/>
    </row>
    <row r="714" spans="1:2">
      <c r="A714" s="11"/>
      <c r="B714" s="5"/>
    </row>
    <row r="715" spans="1:2">
      <c r="A715" s="11"/>
      <c r="B715" s="5"/>
    </row>
    <row r="716" spans="1:2">
      <c r="A716" s="11"/>
      <c r="B716" s="5"/>
    </row>
    <row r="717" spans="1:2">
      <c r="A717" s="11"/>
      <c r="B717" s="11"/>
    </row>
    <row r="718" spans="1:2">
      <c r="A718" s="11"/>
      <c r="B718" s="11"/>
    </row>
    <row r="719" spans="1:2">
      <c r="A719" s="11"/>
      <c r="B719" s="11"/>
    </row>
    <row r="720" spans="1:2">
      <c r="A720" s="11"/>
      <c r="B720" s="11"/>
    </row>
    <row r="721" spans="1:2">
      <c r="A721" s="11"/>
      <c r="B721" s="11"/>
    </row>
    <row r="722" spans="1:2">
      <c r="A722" s="11"/>
      <c r="B722" s="11"/>
    </row>
    <row r="723" spans="1:2">
      <c r="A723" s="11"/>
      <c r="B723" s="11"/>
    </row>
    <row r="724" spans="1:2">
      <c r="A724" s="11"/>
      <c r="B724" s="11"/>
    </row>
    <row r="725" spans="1:2">
      <c r="A725" s="11"/>
      <c r="B725" s="11"/>
    </row>
    <row r="726" spans="1:2">
      <c r="A726" s="11"/>
      <c r="B726" s="11"/>
    </row>
    <row r="727" spans="1:2">
      <c r="A727" s="11"/>
      <c r="B727" s="11"/>
    </row>
    <row r="728" spans="1:2">
      <c r="A728" s="11"/>
      <c r="B728" s="11"/>
    </row>
    <row r="729" spans="1:2">
      <c r="A729" s="11"/>
      <c r="B729" s="11"/>
    </row>
    <row r="730" spans="1:2">
      <c r="A730" s="11"/>
      <c r="B730" s="11"/>
    </row>
    <row r="731" spans="1:2">
      <c r="A731" s="11"/>
      <c r="B731" s="11"/>
    </row>
    <row r="732" spans="1:2">
      <c r="A732" s="11"/>
      <c r="B732" s="11"/>
    </row>
    <row r="733" spans="1:2">
      <c r="A733" s="11"/>
      <c r="B733" s="11"/>
    </row>
    <row r="734" spans="1:2">
      <c r="A734" s="11"/>
      <c r="B734" s="11"/>
    </row>
    <row r="735" spans="1:2">
      <c r="A735" s="11"/>
      <c r="B735" s="11"/>
    </row>
    <row r="736" spans="1:2">
      <c r="A736" s="11"/>
      <c r="B736" s="11"/>
    </row>
    <row r="737" spans="1:2">
      <c r="A737" s="11"/>
      <c r="B737" s="11"/>
    </row>
    <row r="738" spans="1:2">
      <c r="A738" s="11"/>
      <c r="B738" s="11"/>
    </row>
    <row r="739" spans="1:2">
      <c r="A739" s="11"/>
      <c r="B739" s="11"/>
    </row>
    <row r="740" spans="1:2">
      <c r="A740" s="11"/>
      <c r="B740" s="11"/>
    </row>
    <row r="741" spans="1:2">
      <c r="A741" s="11"/>
      <c r="B741" s="11"/>
    </row>
    <row r="742" spans="1:2">
      <c r="A742" s="11"/>
      <c r="B742" s="11"/>
    </row>
    <row r="743" spans="1:2">
      <c r="A743" s="11"/>
      <c r="B743" s="11"/>
    </row>
    <row r="744" spans="1:2">
      <c r="A744" s="11"/>
      <c r="B744" s="11"/>
    </row>
    <row r="745" spans="1:2">
      <c r="A745" s="11"/>
      <c r="B745" s="11"/>
    </row>
    <row r="746" spans="1:2">
      <c r="A746" s="11"/>
      <c r="B746" s="11"/>
    </row>
    <row r="747" spans="1:2">
      <c r="A747" s="11"/>
      <c r="B747" s="11"/>
    </row>
    <row r="748" spans="1:2">
      <c r="A748" s="11"/>
      <c r="B748" s="11"/>
    </row>
    <row r="749" spans="1:2">
      <c r="A749" s="11"/>
      <c r="B749" s="11"/>
    </row>
    <row r="750" spans="1:2">
      <c r="A750" s="11"/>
      <c r="B750" s="11"/>
    </row>
    <row r="751" spans="1:2">
      <c r="A751" s="11"/>
      <c r="B751" s="11"/>
    </row>
    <row r="752" spans="1:2">
      <c r="A752" s="11"/>
      <c r="B752" s="11"/>
    </row>
    <row r="753" spans="1:2">
      <c r="A753" s="11"/>
      <c r="B753" s="11"/>
    </row>
    <row r="754" spans="1:2">
      <c r="A754" s="11"/>
      <c r="B754" s="11"/>
    </row>
    <row r="755" spans="1:2">
      <c r="A755" s="11"/>
      <c r="B755" s="11"/>
    </row>
    <row r="756" spans="1:2">
      <c r="A756" s="11"/>
      <c r="B756" s="11"/>
    </row>
    <row r="757" spans="1:2">
      <c r="A757" s="11"/>
      <c r="B757" s="11"/>
    </row>
    <row r="758" spans="1:2">
      <c r="A758" s="11"/>
      <c r="B758" s="11"/>
    </row>
    <row r="759" spans="1:2">
      <c r="A759" s="11"/>
      <c r="B759" s="11"/>
    </row>
    <row r="760" spans="1:2">
      <c r="A760" s="11"/>
      <c r="B760" s="11"/>
    </row>
    <row r="761" spans="1:2">
      <c r="A761" s="11"/>
      <c r="B761" s="11"/>
    </row>
    <row r="762" spans="1:2">
      <c r="A762" s="11"/>
      <c r="B762" s="11"/>
    </row>
    <row r="763" spans="1:2">
      <c r="A763" s="11"/>
      <c r="B763" s="11"/>
    </row>
    <row r="764" spans="1:2">
      <c r="A764" s="11"/>
      <c r="B764" s="11"/>
    </row>
    <row r="765" spans="1:2">
      <c r="A765" s="11"/>
      <c r="B765" s="11"/>
    </row>
    <row r="766" spans="1:2">
      <c r="A766" s="11"/>
      <c r="B766" s="11"/>
    </row>
    <row r="767" spans="1:2">
      <c r="A767" s="11"/>
      <c r="B767" s="11"/>
    </row>
    <row r="768" spans="1:2">
      <c r="A768" s="11"/>
      <c r="B768" s="11"/>
    </row>
    <row r="769" spans="1:2">
      <c r="A769" s="11"/>
      <c r="B769" s="11"/>
    </row>
    <row r="770" spans="1:2">
      <c r="A770" s="11"/>
      <c r="B770" s="11"/>
    </row>
    <row r="771" spans="1:2">
      <c r="A771" s="11"/>
      <c r="B771" s="11"/>
    </row>
    <row r="772" spans="1:2">
      <c r="A772" s="11"/>
      <c r="B772" s="11"/>
    </row>
    <row r="773" spans="1:2">
      <c r="A773" s="11"/>
      <c r="B773" s="11"/>
    </row>
    <row r="774" spans="1:2">
      <c r="A774" s="11"/>
      <c r="B774" s="11"/>
    </row>
    <row r="775" spans="1:2">
      <c r="A775" s="11"/>
      <c r="B775" s="11"/>
    </row>
    <row r="776" spans="1:2">
      <c r="A776" s="11"/>
      <c r="B776" s="11"/>
    </row>
    <row r="777" spans="1:2">
      <c r="A777" s="11"/>
      <c r="B777" s="11"/>
    </row>
    <row r="778" spans="1:2">
      <c r="A778" s="11"/>
      <c r="B778" s="11"/>
    </row>
    <row r="779" spans="1:2">
      <c r="A779" s="11"/>
      <c r="B779" s="11"/>
    </row>
    <row r="780" spans="1:2">
      <c r="A780" s="11"/>
      <c r="B780" s="11"/>
    </row>
    <row r="781" spans="1:2">
      <c r="A781" s="11"/>
      <c r="B781" s="11"/>
    </row>
    <row r="782" spans="1:2">
      <c r="A782" s="11"/>
      <c r="B782" s="11"/>
    </row>
    <row r="783" spans="1:2">
      <c r="A783" s="11"/>
      <c r="B783" s="11"/>
    </row>
    <row r="784" spans="1:2">
      <c r="A784" s="11"/>
      <c r="B784" s="11"/>
    </row>
    <row r="785" spans="1:2">
      <c r="A785" s="11"/>
      <c r="B785" s="11"/>
    </row>
    <row r="786" spans="1:2">
      <c r="A786" s="11"/>
      <c r="B786" s="11"/>
    </row>
    <row r="787" spans="1:2">
      <c r="A787" s="11"/>
      <c r="B787" s="11"/>
    </row>
    <row r="788" spans="1:2">
      <c r="A788" s="11"/>
      <c r="B788" s="11"/>
    </row>
    <row r="789" spans="1:2">
      <c r="A789" s="11"/>
      <c r="B789" s="11"/>
    </row>
    <row r="790" spans="1:2">
      <c r="A790" s="11"/>
      <c r="B790" s="11"/>
    </row>
    <row r="791" spans="1:2">
      <c r="A791" s="11"/>
      <c r="B791" s="11"/>
    </row>
    <row r="792" spans="1:2">
      <c r="A792" s="11"/>
      <c r="B792" s="11"/>
    </row>
    <row r="793" spans="1:2">
      <c r="A793" s="11"/>
      <c r="B793" s="11"/>
    </row>
    <row r="794" spans="1:2">
      <c r="A794" s="11"/>
      <c r="B794" s="11"/>
    </row>
    <row r="795" spans="1:2">
      <c r="A795" s="11"/>
      <c r="B795" s="11"/>
    </row>
    <row r="796" spans="1:2">
      <c r="A796" s="11"/>
      <c r="B796" s="11"/>
    </row>
    <row r="797" spans="1:2">
      <c r="A797" s="11"/>
      <c r="B797" s="11"/>
    </row>
    <row r="798" spans="1:2">
      <c r="A798" s="11"/>
      <c r="B798" s="11"/>
    </row>
    <row r="799" spans="1:2">
      <c r="A799" s="11"/>
      <c r="B799" s="11"/>
    </row>
    <row r="800" spans="1:2">
      <c r="A800" s="11"/>
      <c r="B800" s="11"/>
    </row>
    <row r="801" spans="1:2">
      <c r="A801" s="11"/>
      <c r="B801" s="11"/>
    </row>
    <row r="802" spans="1:2">
      <c r="A802" s="11"/>
      <c r="B802" s="11"/>
    </row>
    <row r="803" spans="1:2">
      <c r="A803" s="11"/>
      <c r="B803" s="11"/>
    </row>
    <row r="804" spans="1:2">
      <c r="A804" s="11"/>
      <c r="B804" s="11"/>
    </row>
    <row r="805" spans="1:2">
      <c r="A805" s="11"/>
      <c r="B805" s="11"/>
    </row>
    <row r="806" spans="1:2">
      <c r="A806" s="11"/>
      <c r="B806" s="11"/>
    </row>
    <row r="807" spans="1:2">
      <c r="A807" s="11"/>
      <c r="B807" s="11"/>
    </row>
    <row r="808" spans="1:2">
      <c r="A808" s="11"/>
      <c r="B808" s="11"/>
    </row>
    <row r="809" spans="1:2">
      <c r="A809" s="11"/>
      <c r="B809" s="11"/>
    </row>
    <row r="810" spans="1:2">
      <c r="A810" s="11"/>
      <c r="B810" s="11"/>
    </row>
    <row r="811" spans="1:2">
      <c r="A811" s="11"/>
      <c r="B811" s="11"/>
    </row>
    <row r="812" spans="1:2">
      <c r="A812" s="11"/>
      <c r="B812" s="11"/>
    </row>
    <row r="813" spans="1:2">
      <c r="A813" s="11"/>
      <c r="B813" s="11"/>
    </row>
    <row r="814" spans="1:2">
      <c r="A814" s="11"/>
      <c r="B814" s="11"/>
    </row>
    <row r="815" spans="1:2">
      <c r="A815" s="11"/>
      <c r="B815" s="11"/>
    </row>
    <row r="816" spans="1:2">
      <c r="A816" s="11"/>
      <c r="B816" s="11"/>
    </row>
    <row r="817" spans="1:2">
      <c r="A817" s="11"/>
      <c r="B817" s="11"/>
    </row>
    <row r="818" spans="1:2">
      <c r="A818" s="11"/>
      <c r="B818" s="11"/>
    </row>
    <row r="819" spans="1:2">
      <c r="A819" s="11"/>
      <c r="B819" s="11"/>
    </row>
    <row r="820" spans="1:2">
      <c r="A820" s="11"/>
      <c r="B820" s="11"/>
    </row>
    <row r="821" spans="1:2">
      <c r="A821" s="11"/>
      <c r="B821" s="11"/>
    </row>
    <row r="822" spans="1:2">
      <c r="A822" s="11"/>
      <c r="B822" s="11"/>
    </row>
    <row r="823" spans="1:2">
      <c r="A823" s="11"/>
      <c r="B823" s="11"/>
    </row>
    <row r="824" spans="1:2">
      <c r="A824" s="11"/>
      <c r="B824" s="11"/>
    </row>
    <row r="825" spans="1:2">
      <c r="A825" s="11"/>
      <c r="B825" s="11"/>
    </row>
    <row r="826" spans="1:2">
      <c r="A826" s="11"/>
      <c r="B826" s="11"/>
    </row>
    <row r="827" spans="1:2">
      <c r="A827" s="11"/>
      <c r="B827" s="11"/>
    </row>
    <row r="828" spans="1:2">
      <c r="A828" s="11"/>
      <c r="B828" s="11"/>
    </row>
    <row r="829" spans="1:2">
      <c r="A829" s="11"/>
      <c r="B829" s="11"/>
    </row>
    <row r="830" spans="1:2">
      <c r="A830" s="11"/>
      <c r="B830" s="11"/>
    </row>
    <row r="831" spans="1:2">
      <c r="A831" s="11"/>
      <c r="B831" s="11"/>
    </row>
    <row r="832" spans="1:2">
      <c r="A832" s="11"/>
      <c r="B832" s="11"/>
    </row>
    <row r="833" spans="1:2">
      <c r="A833" s="11"/>
      <c r="B833" s="11"/>
    </row>
    <row r="834" spans="1:2">
      <c r="A834" s="11"/>
      <c r="B834" s="11"/>
    </row>
    <row r="835" spans="1:2">
      <c r="A835" s="11"/>
      <c r="B835" s="11"/>
    </row>
    <row r="836" spans="1:2">
      <c r="A836" s="11"/>
      <c r="B836" s="11"/>
    </row>
    <row r="837" spans="1:2">
      <c r="A837" s="11"/>
      <c r="B837" s="11"/>
    </row>
    <row r="838" spans="1:2">
      <c r="A838" s="11"/>
      <c r="B838" s="11"/>
    </row>
    <row r="839" spans="1:2">
      <c r="A839" s="11"/>
      <c r="B839" s="11"/>
    </row>
    <row r="840" spans="1:2">
      <c r="A840" s="11"/>
      <c r="B840" s="11"/>
    </row>
    <row r="841" spans="1:2">
      <c r="A841" s="11"/>
      <c r="B841" s="11"/>
    </row>
    <row r="842" spans="1:2">
      <c r="A842" s="11"/>
      <c r="B842" s="11"/>
    </row>
    <row r="843" spans="1:2">
      <c r="A843" s="11"/>
      <c r="B843" s="11"/>
    </row>
    <row r="844" spans="1:2">
      <c r="A844" s="11"/>
      <c r="B844" s="11"/>
    </row>
    <row r="845" spans="1:2">
      <c r="A845" s="11"/>
      <c r="B845" s="11"/>
    </row>
    <row r="846" spans="1:2">
      <c r="A846" s="11"/>
      <c r="B846" s="11"/>
    </row>
    <row r="847" spans="1:2">
      <c r="A847" s="11"/>
      <c r="B847" s="11"/>
    </row>
    <row r="848" spans="1:2">
      <c r="A848" s="11"/>
      <c r="B848" s="11"/>
    </row>
    <row r="849" spans="1:2">
      <c r="A849" s="11"/>
      <c r="B849" s="11"/>
    </row>
    <row r="850" spans="1:2">
      <c r="A850" s="11"/>
      <c r="B850" s="11"/>
    </row>
    <row r="851" spans="1:2">
      <c r="A851" s="11"/>
      <c r="B851" s="11"/>
    </row>
    <row r="852" spans="1:2">
      <c r="A852" s="11"/>
      <c r="B852" s="11"/>
    </row>
    <row r="853" spans="1:2">
      <c r="A853" s="11"/>
      <c r="B853" s="11"/>
    </row>
    <row r="854" spans="1:2">
      <c r="A854" s="11"/>
      <c r="B854" s="11"/>
    </row>
    <row r="855" spans="1:2">
      <c r="A855" s="11"/>
      <c r="B855" s="11"/>
    </row>
    <row r="856" spans="1:2">
      <c r="A856" s="11"/>
      <c r="B856" s="11"/>
    </row>
    <row r="857" spans="1:2">
      <c r="A857" s="11"/>
      <c r="B857" s="11"/>
    </row>
    <row r="858" spans="1:2">
      <c r="A858" s="11"/>
      <c r="B858" s="11"/>
    </row>
    <row r="859" spans="1:2">
      <c r="A859" s="11"/>
      <c r="B859" s="11"/>
    </row>
    <row r="860" spans="1:2">
      <c r="A860" s="11"/>
      <c r="B860" s="11"/>
    </row>
    <row r="861" spans="1:2">
      <c r="A861" s="11"/>
      <c r="B861" s="11"/>
    </row>
    <row r="862" spans="1:2">
      <c r="A862" s="11"/>
      <c r="B862" s="11"/>
    </row>
    <row r="863" spans="1:2">
      <c r="A863" s="11"/>
      <c r="B863" s="11"/>
    </row>
    <row r="864" spans="1:2">
      <c r="A864" s="11"/>
      <c r="B864" s="11"/>
    </row>
    <row r="865" spans="1:2">
      <c r="A865" s="11"/>
      <c r="B865" s="11"/>
    </row>
    <row r="866" spans="1:2">
      <c r="A866" s="11"/>
      <c r="B866" s="11"/>
    </row>
    <row r="867" spans="1:2">
      <c r="A867" s="11"/>
      <c r="B867" s="11"/>
    </row>
    <row r="868" spans="1:2">
      <c r="A868" s="11"/>
      <c r="B868" s="11"/>
    </row>
    <row r="869" spans="1:2">
      <c r="A869" s="11"/>
      <c r="B869" s="11"/>
    </row>
    <row r="870" spans="1:2">
      <c r="A870" s="11"/>
      <c r="B870" s="11"/>
    </row>
    <row r="871" spans="1:2">
      <c r="A871" s="11"/>
      <c r="B871" s="11"/>
    </row>
    <row r="872" spans="1:2">
      <c r="A872" s="11"/>
      <c r="B872" s="11"/>
    </row>
    <row r="873" spans="1:2">
      <c r="A873" s="11"/>
      <c r="B873" s="11"/>
    </row>
    <row r="874" spans="1:2">
      <c r="A874" s="11"/>
      <c r="B874" s="11"/>
    </row>
    <row r="875" spans="1:2">
      <c r="A875" s="11"/>
      <c r="B875" s="11"/>
    </row>
    <row r="876" spans="1:2">
      <c r="A876" s="11"/>
      <c r="B876" s="11"/>
    </row>
    <row r="877" spans="1:2">
      <c r="A877" s="11"/>
      <c r="B877" s="11"/>
    </row>
    <row r="878" spans="1:2">
      <c r="A878" s="11"/>
      <c r="B878" s="11"/>
    </row>
    <row r="879" spans="1:2">
      <c r="A879" s="11"/>
      <c r="B879" s="11"/>
    </row>
    <row r="880" spans="1:2">
      <c r="A880" s="11"/>
      <c r="B880" s="11"/>
    </row>
    <row r="881" spans="1:2">
      <c r="A881" s="11"/>
      <c r="B881" s="11"/>
    </row>
    <row r="882" spans="1:2">
      <c r="A882" s="11"/>
      <c r="B882" s="11"/>
    </row>
    <row r="883" spans="1:2">
      <c r="A883" s="11"/>
      <c r="B883" s="11"/>
    </row>
    <row r="884" spans="1:2">
      <c r="A884" s="11"/>
      <c r="B884" s="11"/>
    </row>
    <row r="885" spans="1:2">
      <c r="A885" s="11"/>
      <c r="B885" s="11"/>
    </row>
    <row r="886" spans="1:2">
      <c r="A886" s="11"/>
      <c r="B886" s="11"/>
    </row>
    <row r="887" spans="1:2">
      <c r="A887" s="11"/>
      <c r="B887" s="11"/>
    </row>
    <row r="888" spans="1:2">
      <c r="A888" s="11"/>
      <c r="B888" s="11"/>
    </row>
    <row r="889" spans="1:2">
      <c r="A889" s="11"/>
      <c r="B889" s="11"/>
    </row>
    <row r="890" spans="1:2">
      <c r="A890" s="11"/>
      <c r="B890" s="11"/>
    </row>
    <row r="891" spans="1:2">
      <c r="A891" s="11"/>
      <c r="B891" s="11"/>
    </row>
    <row r="892" spans="1:2">
      <c r="A892" s="11"/>
      <c r="B892" s="11"/>
    </row>
    <row r="893" spans="1:2">
      <c r="A893" s="11"/>
      <c r="B893" s="11"/>
    </row>
    <row r="894" spans="1:2">
      <c r="A894" s="11"/>
      <c r="B894" s="11"/>
    </row>
    <row r="895" spans="1:2">
      <c r="A895" s="11"/>
      <c r="B895" s="11"/>
    </row>
    <row r="896" spans="1:2">
      <c r="A896" s="11"/>
      <c r="B896" s="11"/>
    </row>
    <row r="897" spans="1:2">
      <c r="A897" s="11"/>
      <c r="B897" s="11"/>
    </row>
    <row r="898" spans="1:2">
      <c r="A898" s="11"/>
      <c r="B898" s="11"/>
    </row>
    <row r="899" spans="1:2">
      <c r="A899" s="11"/>
      <c r="B899" s="11"/>
    </row>
    <row r="900" spans="1:2">
      <c r="A900" s="11"/>
      <c r="B900" s="11"/>
    </row>
    <row r="901" spans="1:2">
      <c r="A901" s="11"/>
      <c r="B901" s="11"/>
    </row>
    <row r="902" spans="1:2">
      <c r="A902" s="11"/>
      <c r="B902" s="11"/>
    </row>
    <row r="903" spans="1:2">
      <c r="A903" s="11"/>
      <c r="B903" s="11"/>
    </row>
    <row r="904" spans="1:2">
      <c r="A904" s="11"/>
      <c r="B904" s="11"/>
    </row>
    <row r="905" spans="1:2">
      <c r="A905" s="11"/>
      <c r="B905" s="11"/>
    </row>
    <row r="906" spans="1:2">
      <c r="A906" s="11"/>
      <c r="B906" s="11"/>
    </row>
    <row r="907" spans="1:2">
      <c r="A907" s="11"/>
      <c r="B907" s="11"/>
    </row>
    <row r="908" spans="1:2">
      <c r="A908" s="11"/>
      <c r="B908" s="11"/>
    </row>
    <row r="909" spans="1:2">
      <c r="A909" s="11"/>
      <c r="B909" s="11"/>
    </row>
    <row r="910" spans="1:2">
      <c r="A910" s="11"/>
      <c r="B910" s="11"/>
    </row>
    <row r="911" spans="1:2">
      <c r="A911" s="11"/>
      <c r="B911" s="11"/>
    </row>
    <row r="912" spans="1:2">
      <c r="A912" s="11"/>
      <c r="B912" s="11"/>
    </row>
    <row r="913" spans="1:2">
      <c r="A913" s="11"/>
      <c r="B913" s="11"/>
    </row>
    <row r="914" spans="1:2">
      <c r="A914" s="11"/>
      <c r="B914" s="11"/>
    </row>
    <row r="915" spans="1:2">
      <c r="A915" s="11"/>
      <c r="B915" s="11"/>
    </row>
    <row r="916" spans="1:2">
      <c r="A916" s="11"/>
      <c r="B916" s="11"/>
    </row>
    <row r="917" spans="1:2">
      <c r="A917" s="11"/>
      <c r="B917" s="11"/>
    </row>
    <row r="918" spans="1:2">
      <c r="A918" s="11"/>
      <c r="B918" s="11"/>
    </row>
    <row r="919" spans="1:2">
      <c r="A919" s="11"/>
      <c r="B919" s="11"/>
    </row>
    <row r="920" spans="1:2">
      <c r="A920" s="11"/>
      <c r="B920" s="11"/>
    </row>
    <row r="921" spans="1:2">
      <c r="A921" s="11"/>
      <c r="B921" s="11"/>
    </row>
    <row r="922" spans="1:2">
      <c r="A922" s="11"/>
      <c r="B922" s="11"/>
    </row>
    <row r="923" spans="1:2">
      <c r="A923" s="11"/>
      <c r="B923" s="11"/>
    </row>
    <row r="924" spans="1:2">
      <c r="A924" s="11"/>
      <c r="B924" s="11"/>
    </row>
    <row r="925" spans="1:2">
      <c r="A925" s="11"/>
      <c r="B925" s="11"/>
    </row>
    <row r="926" spans="1:2">
      <c r="A926" s="11"/>
      <c r="B926" s="11"/>
    </row>
    <row r="927" spans="1:2">
      <c r="A927" s="11"/>
      <c r="B927" s="11"/>
    </row>
    <row r="928" spans="1:2">
      <c r="A928" s="11"/>
      <c r="B928" s="11"/>
    </row>
    <row r="929" spans="1:2">
      <c r="A929" s="11"/>
      <c r="B929" s="11"/>
    </row>
    <row r="930" spans="1:2">
      <c r="A930" s="11"/>
      <c r="B930" s="11"/>
    </row>
    <row r="931" spans="1:2">
      <c r="A931" s="11"/>
      <c r="B931" s="11"/>
    </row>
    <row r="932" spans="1:2">
      <c r="A932" s="11"/>
      <c r="B932" s="11"/>
    </row>
    <row r="933" spans="1:2">
      <c r="A933" s="11"/>
      <c r="B933" s="11"/>
    </row>
    <row r="934" spans="1:2">
      <c r="A934" s="11"/>
      <c r="B934" s="11"/>
    </row>
    <row r="935" spans="1:2">
      <c r="A935" s="11"/>
      <c r="B935" s="11"/>
    </row>
    <row r="936" spans="1:2">
      <c r="A936" s="11"/>
      <c r="B936" s="11"/>
    </row>
    <row r="937" spans="1:2">
      <c r="A937" s="11"/>
      <c r="B937" s="11"/>
    </row>
    <row r="938" spans="1:2">
      <c r="A938" s="11"/>
      <c r="B938" s="11"/>
    </row>
    <row r="939" spans="1:2">
      <c r="A939" s="11"/>
      <c r="B939" s="11"/>
    </row>
    <row r="940" spans="1:2">
      <c r="A940" s="11"/>
      <c r="B940" s="11"/>
    </row>
    <row r="941" spans="1:2">
      <c r="A941" s="11"/>
      <c r="B941" s="11"/>
    </row>
    <row r="942" spans="1:2">
      <c r="A942" s="11"/>
      <c r="B942" s="11"/>
    </row>
    <row r="943" spans="1:2">
      <c r="A943" s="11"/>
      <c r="B943" s="11"/>
    </row>
    <row r="944" spans="1:2">
      <c r="A944" s="11"/>
      <c r="B944" s="11"/>
    </row>
    <row r="945" spans="1:2">
      <c r="A945" s="11"/>
      <c r="B945" s="11"/>
    </row>
    <row r="946" spans="1:2">
      <c r="A946" s="11"/>
      <c r="B946" s="11"/>
    </row>
    <row r="947" spans="1:2">
      <c r="A947" s="11"/>
      <c r="B947" s="11"/>
    </row>
    <row r="948" spans="1:2">
      <c r="A948" s="11"/>
      <c r="B948" s="11"/>
    </row>
    <row r="949" spans="1:2">
      <c r="A949" s="11"/>
      <c r="B949" s="11"/>
    </row>
    <row r="950" spans="1:2">
      <c r="A950" s="11"/>
      <c r="B950" s="11"/>
    </row>
    <row r="951" spans="1:2">
      <c r="A951" s="11"/>
      <c r="B951" s="11"/>
    </row>
    <row r="952" spans="1:2">
      <c r="A952" s="11"/>
      <c r="B952" s="11"/>
    </row>
    <row r="953" spans="1:2">
      <c r="A953" s="11"/>
      <c r="B953" s="11"/>
    </row>
    <row r="954" spans="1:2">
      <c r="A954" s="11"/>
      <c r="B954" s="11"/>
    </row>
    <row r="955" spans="1:2">
      <c r="A955" s="11"/>
      <c r="B955" s="11"/>
    </row>
    <row r="956" spans="1:2">
      <c r="A956" s="11"/>
      <c r="B956" s="11"/>
    </row>
    <row r="957" spans="1:2">
      <c r="A957" s="11"/>
      <c r="B957" s="11"/>
    </row>
    <row r="958" spans="1:2">
      <c r="A958" s="11"/>
      <c r="B958" s="11"/>
    </row>
    <row r="959" spans="1:2">
      <c r="A959" s="11"/>
      <c r="B959" s="11"/>
    </row>
    <row r="960" spans="1:2">
      <c r="A960" s="11"/>
      <c r="B960" s="11"/>
    </row>
    <row r="961" spans="1:2">
      <c r="A961" s="11"/>
      <c r="B961" s="11"/>
    </row>
    <row r="962" spans="1:2">
      <c r="A962" s="11"/>
      <c r="B962" s="11"/>
    </row>
    <row r="963" spans="1:2">
      <c r="A963" s="11"/>
      <c r="B963" s="11"/>
    </row>
    <row r="964" spans="1:2">
      <c r="A964" s="11"/>
      <c r="B964" s="11"/>
    </row>
    <row r="965" spans="1:2">
      <c r="A965" s="11"/>
      <c r="B965" s="11"/>
    </row>
    <row r="966" spans="1:2">
      <c r="A966" s="11"/>
      <c r="B966" s="11"/>
    </row>
    <row r="967" spans="1:2">
      <c r="A967" s="11"/>
      <c r="B967" s="11"/>
    </row>
    <row r="968" spans="1:2">
      <c r="A968" s="11"/>
      <c r="B968" s="11"/>
    </row>
    <row r="969" spans="1:2">
      <c r="A969" s="11"/>
      <c r="B969" s="11"/>
    </row>
    <row r="970" spans="1:2">
      <c r="A970" s="11"/>
      <c r="B970" s="11"/>
    </row>
    <row r="971" spans="1:2">
      <c r="A971" s="11"/>
      <c r="B971" s="11"/>
    </row>
    <row r="972" spans="1:2">
      <c r="A972" s="11"/>
      <c r="B972" s="11"/>
    </row>
    <row r="973" spans="1:2">
      <c r="A973" s="11"/>
      <c r="B973" s="11"/>
    </row>
    <row r="974" spans="1:2">
      <c r="A974" s="11"/>
      <c r="B974" s="11"/>
    </row>
    <row r="975" spans="1:2">
      <c r="A975" s="11"/>
      <c r="B975" s="11"/>
    </row>
    <row r="976" spans="1:2">
      <c r="A976" s="11"/>
      <c r="B976" s="11"/>
    </row>
    <row r="977" spans="1:2">
      <c r="A977" s="11"/>
      <c r="B977" s="11"/>
    </row>
    <row r="978" spans="1:2">
      <c r="A978" s="11"/>
      <c r="B978" s="11"/>
    </row>
    <row r="979" spans="1:2">
      <c r="A979" s="11"/>
      <c r="B979" s="11"/>
    </row>
    <row r="980" spans="1:2">
      <c r="A980" s="11"/>
      <c r="B980" s="11"/>
    </row>
    <row r="981" spans="1:2">
      <c r="A981" s="11"/>
      <c r="B981" s="11"/>
    </row>
    <row r="982" spans="1:2">
      <c r="A982" s="11"/>
      <c r="B982" s="11"/>
    </row>
    <row r="983" spans="1:2">
      <c r="A983" s="11"/>
      <c r="B983" s="11"/>
    </row>
    <row r="984" spans="1:2">
      <c r="A984" s="11"/>
      <c r="B984" s="11"/>
    </row>
    <row r="985" spans="1:2">
      <c r="A985" s="11"/>
      <c r="B985" s="11"/>
    </row>
    <row r="986" spans="1:2">
      <c r="A986" s="11"/>
      <c r="B986" s="11"/>
    </row>
    <row r="987" spans="1:2">
      <c r="A987" s="11"/>
      <c r="B987" s="11"/>
    </row>
    <row r="988" spans="1:2">
      <c r="A988" s="11"/>
      <c r="B988" s="11"/>
    </row>
    <row r="989" spans="1:2">
      <c r="A989" s="11"/>
      <c r="B989" s="11"/>
    </row>
    <row r="990" spans="1:2">
      <c r="A990" s="11"/>
      <c r="B990" s="11"/>
    </row>
    <row r="991" spans="1:2">
      <c r="A991" s="11"/>
      <c r="B991" s="11"/>
    </row>
    <row r="992" spans="1:2">
      <c r="A992" s="11"/>
      <c r="B992" s="11"/>
    </row>
    <row r="993" spans="1:2">
      <c r="A993" s="11"/>
      <c r="B993" s="11"/>
    </row>
    <row r="994" spans="1:2">
      <c r="A994" s="11"/>
      <c r="B994" s="11"/>
    </row>
    <row r="995" spans="1:2">
      <c r="A995" s="11"/>
      <c r="B995" s="11"/>
    </row>
    <row r="996" spans="1:2">
      <c r="A996" s="11"/>
      <c r="B996" s="11"/>
    </row>
    <row r="997" spans="1:2">
      <c r="A997" s="11"/>
      <c r="B997" s="11"/>
    </row>
    <row r="998" spans="1:2">
      <c r="A998" s="11"/>
      <c r="B998" s="11"/>
    </row>
    <row r="999" spans="1:2">
      <c r="A999" s="11"/>
      <c r="B999" s="11"/>
    </row>
    <row r="1000" spans="1:2">
      <c r="A1000" s="11"/>
      <c r="B1000" s="11"/>
    </row>
    <row r="1001" spans="1:2">
      <c r="A1001" s="11"/>
      <c r="B1001" s="11"/>
    </row>
    <row r="1002" spans="1:2">
      <c r="A1002" s="11"/>
      <c r="B1002" s="11"/>
    </row>
    <row r="1003" spans="1:2">
      <c r="A1003" s="11"/>
      <c r="B1003" s="11"/>
    </row>
    <row r="1004" spans="1:2">
      <c r="A1004" s="11"/>
      <c r="B1004" s="11"/>
    </row>
    <row r="1005" spans="1:2">
      <c r="A1005" s="11"/>
      <c r="B1005" s="11"/>
    </row>
    <row r="1006" spans="1:2">
      <c r="A1006" s="11"/>
      <c r="B1006" s="11"/>
    </row>
    <row r="1007" spans="1:2">
      <c r="A1007" s="11"/>
      <c r="B1007" s="11"/>
    </row>
    <row r="1008" spans="1:2">
      <c r="A1008" s="11"/>
      <c r="B1008" s="11"/>
    </row>
  </sheetData>
  <phoneticPr fontId="1" type="noConversion"/>
  <pageMargins left="0.75" right="0.75" top="1" bottom="1" header="0.51180555555555596" footer="0.51180555555555596"/>
  <pageSetup paperSize="9" orientation="portrait" r:id="rId1"/>
  <headerFooter alignWithMargins="0"/>
  <legacyDrawing r:id="rId2"/>
</worksheet>
</file>

<file path=xl/worksheets/sheet5.xml><?xml version="1.0" encoding="utf-8"?>
<worksheet xmlns="http://schemas.openxmlformats.org/spreadsheetml/2006/main" xmlns:r="http://schemas.openxmlformats.org/officeDocument/2006/relationships">
  <dimension ref="B1:S15"/>
  <sheetViews>
    <sheetView workbookViewId="0">
      <selection activeCell="D40" sqref="D40"/>
    </sheetView>
  </sheetViews>
  <sheetFormatPr defaultColWidth="9" defaultRowHeight="13.5"/>
  <cols>
    <col min="1" max="1" width="1.875" style="3" customWidth="1"/>
    <col min="2" max="2" width="26.75" style="3" bestFit="1" customWidth="1"/>
    <col min="3" max="3" width="27.25" style="3" bestFit="1" customWidth="1"/>
    <col min="4" max="4" width="13.875" style="3" bestFit="1" customWidth="1"/>
    <col min="5" max="5" width="10.375" style="3" customWidth="1"/>
    <col min="6" max="6" width="9" style="3"/>
    <col min="7" max="7" width="1.75" style="3" customWidth="1"/>
    <col min="8" max="8" width="45" style="3" bestFit="1" customWidth="1"/>
    <col min="9" max="9" width="1.5" style="3" customWidth="1"/>
    <col min="10" max="10" width="31.25" style="3" bestFit="1" customWidth="1"/>
    <col min="11" max="11" width="9" style="3"/>
    <col min="12" max="12" width="1.75" style="3" customWidth="1"/>
    <col min="13" max="13" width="98.375" style="3" bestFit="1" customWidth="1"/>
    <col min="14" max="14" width="9" style="3"/>
    <col min="15" max="15" width="1.75" style="3" customWidth="1"/>
    <col min="16" max="16" width="106.125" style="3" bestFit="1" customWidth="1"/>
    <col min="17" max="17" width="9" style="3"/>
    <col min="18" max="18" width="1.75" style="3" customWidth="1"/>
    <col min="19" max="19" width="50.625" style="3" bestFit="1" customWidth="1"/>
    <col min="20" max="16384" width="9" style="3"/>
  </cols>
  <sheetData>
    <row r="1" spans="2:19" ht="24.95" customHeight="1">
      <c r="B1" s="2" t="s">
        <v>14</v>
      </c>
      <c r="C1" s="2" t="s">
        <v>15</v>
      </c>
      <c r="D1" s="2" t="s">
        <v>16</v>
      </c>
    </row>
    <row r="2" spans="2:19" ht="15" customHeight="1">
      <c r="B2" s="6" t="s">
        <v>694</v>
      </c>
      <c r="C2" s="6" t="s">
        <v>17</v>
      </c>
      <c r="D2" s="7">
        <v>1</v>
      </c>
      <c r="E2" s="8"/>
      <c r="G2" s="9"/>
      <c r="H2" s="9" t="str">
        <f t="shared" ref="H2:H15" si="0">CONCATENATE("optional uint32 ",LOWER(C2))</f>
        <v>optional uint32 score_more_than</v>
      </c>
      <c r="I2" s="9"/>
      <c r="J2" s="9" t="str">
        <f t="shared" ref="J2:J15" si="1">CONCATENATE("= ",D2,"; //",B2)</f>
        <v>= 1; //领先%s%分</v>
      </c>
      <c r="L2" s="9"/>
      <c r="M2" s="9" t="str">
        <f>CONCATENATE(C2," = {ID = ",D2,", NAME = """,LOWER(C2),"""}, --",B2)</f>
        <v>SCORE_MORE_THAN = {ID = 1, NAME = "score_more_than"}, --领先%s%分</v>
      </c>
      <c r="O2" s="9"/>
      <c r="P2" s="9" t="str">
        <f>CONCATENATE("[CareerCondition.",C2,"] = mainInfo.",LOWER(C2),", --",B2)</f>
        <v>[CareerCondition.SCORE_MORE_THAN] = mainInfo.score_more_than, --领先%s%分</v>
      </c>
      <c r="R2" s="9"/>
      <c r="S2" s="9" t="str">
        <f>CONCATENATE(LOWER(C2)," = 0, --",B2)</f>
        <v>score_more_than = 0, --领先%s%分</v>
      </c>
    </row>
    <row r="3" spans="2:19" ht="15" customHeight="1">
      <c r="B3" s="6" t="s">
        <v>472</v>
      </c>
      <c r="C3" s="6" t="s">
        <v>18</v>
      </c>
      <c r="D3" s="7">
        <f>D2+1</f>
        <v>2</v>
      </c>
      <c r="E3" s="8"/>
      <c r="G3" s="9"/>
      <c r="H3" s="9" t="str">
        <f t="shared" si="0"/>
        <v>optional uint32 score_near</v>
      </c>
      <c r="I3" s="9"/>
      <c r="J3" s="9" t="str">
        <f t="shared" si="1"/>
        <v>= 2; //内线进球%s%个</v>
      </c>
      <c r="L3" s="9"/>
      <c r="M3" s="9" t="str">
        <f t="shared" ref="M3:M14" si="2">CONCATENATE(C3," = {ID = ",D3,", NAME = """,LOWER(C3),"""}, --",B3)</f>
        <v>SCORE_NEAR = {ID = 2, NAME = "score_near"}, --内线进球%s%个</v>
      </c>
      <c r="O3" s="9"/>
      <c r="P3" s="9" t="str">
        <f t="shared" ref="P3:P15" si="3">CONCATENATE("[CareerCondition.",C3,"] = mainInfo.",LOWER(C3),", --",B3)</f>
        <v>[CareerCondition.SCORE_NEAR] = mainInfo.score_near, --内线进球%s%个</v>
      </c>
      <c r="R3" s="9"/>
      <c r="S3" s="9" t="str">
        <f t="shared" ref="S3:S15" si="4">CONCATENATE(LOWER(C3)," = 0, --",B3)</f>
        <v>score_near = 0, --内线进球%s%个</v>
      </c>
    </row>
    <row r="4" spans="2:19" ht="15" customHeight="1">
      <c r="B4" s="6" t="s">
        <v>473</v>
      </c>
      <c r="C4" s="6" t="s">
        <v>19</v>
      </c>
      <c r="D4" s="7">
        <f t="shared" ref="D4:D15" si="5">D3+1</f>
        <v>3</v>
      </c>
      <c r="E4" s="8"/>
      <c r="G4" s="9"/>
      <c r="H4" s="9" t="str">
        <f t="shared" si="0"/>
        <v>optional uint32 score_middle</v>
      </c>
      <c r="I4" s="9"/>
      <c r="J4" s="9" t="str">
        <f t="shared" si="1"/>
        <v>= 3; //中投进球%s%个</v>
      </c>
      <c r="L4" s="9"/>
      <c r="M4" s="9" t="str">
        <f t="shared" si="2"/>
        <v>SCORE_MIDDLE = {ID = 3, NAME = "score_middle"}, --中投进球%s%个</v>
      </c>
      <c r="O4" s="9"/>
      <c r="P4" s="9" t="str">
        <f t="shared" si="3"/>
        <v>[CareerCondition.SCORE_MIDDLE] = mainInfo.score_middle, --中投进球%s%个</v>
      </c>
      <c r="R4" s="9"/>
      <c r="S4" s="9" t="str">
        <f t="shared" si="4"/>
        <v>score_middle = 0, --中投进球%s%个</v>
      </c>
    </row>
    <row r="5" spans="2:19" ht="15" customHeight="1">
      <c r="B5" s="6" t="s">
        <v>474</v>
      </c>
      <c r="C5" s="6" t="s">
        <v>20</v>
      </c>
      <c r="D5" s="7">
        <f t="shared" si="5"/>
        <v>4</v>
      </c>
      <c r="E5" s="8"/>
      <c r="G5" s="9"/>
      <c r="H5" s="9" t="str">
        <f t="shared" si="0"/>
        <v>optional uint32 score_shoot_far</v>
      </c>
      <c r="I5" s="9"/>
      <c r="J5" s="9" t="str">
        <f t="shared" si="1"/>
        <v>= 4; //三分达到%s%个</v>
      </c>
      <c r="L5" s="9"/>
      <c r="M5" s="9" t="str">
        <f t="shared" si="2"/>
        <v>SCORE_SHOOT_FAR = {ID = 4, NAME = "score_shoot_far"}, --三分达到%s%个</v>
      </c>
      <c r="O5" s="9"/>
      <c r="P5" s="9" t="str">
        <f t="shared" si="3"/>
        <v>[CareerCondition.SCORE_SHOOT_FAR] = mainInfo.score_shoot_far, --三分达到%s%个</v>
      </c>
      <c r="R5" s="9"/>
      <c r="S5" s="9" t="str">
        <f t="shared" si="4"/>
        <v>score_shoot_far = 0, --三分达到%s%个</v>
      </c>
    </row>
    <row r="6" spans="2:19" ht="15" customHeight="1">
      <c r="B6" s="6" t="s">
        <v>479</v>
      </c>
      <c r="C6" s="6" t="s">
        <v>21</v>
      </c>
      <c r="D6" s="7">
        <f t="shared" si="5"/>
        <v>5</v>
      </c>
      <c r="E6" s="8"/>
      <c r="G6" s="9"/>
      <c r="H6" s="9" t="str">
        <f t="shared" si="0"/>
        <v>optional uint32 score_total</v>
      </c>
      <c r="I6" s="9"/>
      <c r="J6" s="9" t="str">
        <f t="shared" si="1"/>
        <v>= 5; //获得%s%分</v>
      </c>
      <c r="L6" s="9"/>
      <c r="M6" s="9" t="str">
        <f t="shared" si="2"/>
        <v>SCORE_TOTAL = {ID = 5, NAME = "score_total"}, --获得%s%分</v>
      </c>
      <c r="O6" s="9"/>
      <c r="P6" s="9" t="str">
        <f t="shared" si="3"/>
        <v>[CareerCondition.SCORE_TOTAL] = mainInfo.score_total, --获得%s%分</v>
      </c>
      <c r="R6" s="9"/>
      <c r="S6" s="9" t="str">
        <f t="shared" si="4"/>
        <v>score_total = 0, --获得%s%分</v>
      </c>
    </row>
    <row r="7" spans="2:19" ht="15" customHeight="1">
      <c r="B7" s="6" t="s">
        <v>479</v>
      </c>
      <c r="C7" s="6" t="s">
        <v>22</v>
      </c>
      <c r="D7" s="7">
        <f t="shared" si="5"/>
        <v>6</v>
      </c>
      <c r="E7" s="8"/>
      <c r="G7" s="9"/>
      <c r="H7" s="9" t="str">
        <f t="shared" si="0"/>
        <v>optional uint32 rebound</v>
      </c>
      <c r="I7" s="9"/>
      <c r="J7" s="9" t="str">
        <f t="shared" si="1"/>
        <v>= 6; //获得%s%分</v>
      </c>
      <c r="L7" s="9"/>
      <c r="M7" s="9" t="str">
        <f t="shared" si="2"/>
        <v>REBOUND = {ID = 6, NAME = "rebound"}, --获得%s%分</v>
      </c>
      <c r="O7" s="9"/>
      <c r="P7" s="9" t="str">
        <f t="shared" si="3"/>
        <v>[CareerCondition.REBOUND] = mainInfo.rebound, --获得%s%分</v>
      </c>
      <c r="R7" s="9"/>
      <c r="S7" s="9" t="str">
        <f t="shared" si="4"/>
        <v>rebound = 0, --获得%s%分</v>
      </c>
    </row>
    <row r="8" spans="2:19" ht="15" customHeight="1">
      <c r="B8" s="6" t="s">
        <v>479</v>
      </c>
      <c r="C8" s="6" t="s">
        <v>23</v>
      </c>
      <c r="D8" s="7">
        <f t="shared" si="5"/>
        <v>7</v>
      </c>
      <c r="E8" s="8"/>
      <c r="G8" s="9"/>
      <c r="H8" s="9" t="str">
        <f t="shared" si="0"/>
        <v>optional uint32 block</v>
      </c>
      <c r="I8" s="9"/>
      <c r="J8" s="9" t="str">
        <f t="shared" si="1"/>
        <v>= 7; //获得%s%分</v>
      </c>
      <c r="L8" s="9"/>
      <c r="M8" s="9" t="str">
        <f t="shared" si="2"/>
        <v>BLOCK = {ID = 7, NAME = "block"}, --获得%s%分</v>
      </c>
      <c r="O8" s="9"/>
      <c r="P8" s="9" t="str">
        <f t="shared" si="3"/>
        <v>[CareerCondition.BLOCK] = mainInfo.block, --获得%s%分</v>
      </c>
      <c r="R8" s="9"/>
      <c r="S8" s="9" t="str">
        <f t="shared" si="4"/>
        <v>block = 0, --获得%s%分</v>
      </c>
    </row>
    <row r="9" spans="2:19" ht="15" customHeight="1">
      <c r="B9" s="6" t="s">
        <v>475</v>
      </c>
      <c r="C9" s="6" t="s">
        <v>24</v>
      </c>
      <c r="D9" s="7">
        <f t="shared" si="5"/>
        <v>8</v>
      </c>
      <c r="E9" s="8"/>
      <c r="G9" s="9"/>
      <c r="H9" s="9" t="str">
        <f t="shared" si="0"/>
        <v>optional uint32 assist</v>
      </c>
      <c r="I9" s="9"/>
      <c r="J9" s="9" t="str">
        <f t="shared" si="1"/>
        <v>= 8; //助攻达到%s%个</v>
      </c>
      <c r="L9" s="9"/>
      <c r="M9" s="9" t="str">
        <f t="shared" si="2"/>
        <v>ASSIST = {ID = 8, NAME = "assist"}, --助攻达到%s%个</v>
      </c>
      <c r="O9" s="9"/>
      <c r="P9" s="9" t="str">
        <f t="shared" si="3"/>
        <v>[CareerCondition.ASSIST] = mainInfo.assist, --助攻达到%s%个</v>
      </c>
      <c r="R9" s="9"/>
      <c r="S9" s="9" t="str">
        <f t="shared" si="4"/>
        <v>assist = 0, --助攻达到%s%个</v>
      </c>
    </row>
    <row r="10" spans="2:19" ht="15" customHeight="1">
      <c r="B10" s="6" t="s">
        <v>476</v>
      </c>
      <c r="C10" s="6" t="s">
        <v>25</v>
      </c>
      <c r="D10" s="7">
        <f t="shared" si="5"/>
        <v>9</v>
      </c>
      <c r="E10" s="8"/>
      <c r="G10" s="9"/>
      <c r="H10" s="9" t="str">
        <f t="shared" si="0"/>
        <v>optional uint32 steal</v>
      </c>
      <c r="I10" s="9"/>
      <c r="J10" s="9" t="str">
        <f t="shared" si="1"/>
        <v>= 9; //抢断达到%s%个</v>
      </c>
      <c r="L10" s="9"/>
      <c r="M10" s="9" t="str">
        <f t="shared" si="2"/>
        <v>STEAL = {ID = 9, NAME = "steal"}, --抢断达到%s%个</v>
      </c>
      <c r="O10" s="9"/>
      <c r="P10" s="9" t="str">
        <f t="shared" si="3"/>
        <v>[CareerCondition.STEAL] = mainInfo.steal, --抢断达到%s%个</v>
      </c>
      <c r="R10" s="9"/>
      <c r="S10" s="9" t="str">
        <f t="shared" si="4"/>
        <v>steal = 0, --抢断达到%s%个</v>
      </c>
    </row>
    <row r="11" spans="2:19" ht="15" customHeight="1">
      <c r="B11" s="6" t="s">
        <v>477</v>
      </c>
      <c r="C11" s="6" t="s">
        <v>26</v>
      </c>
      <c r="D11" s="7">
        <f t="shared" si="5"/>
        <v>10</v>
      </c>
      <c r="E11" s="8"/>
      <c r="G11" s="9"/>
      <c r="H11" s="9" t="str">
        <f t="shared" si="0"/>
        <v>optional uint32 skill_use</v>
      </c>
      <c r="I11" s="9"/>
      <c r="J11" s="9" t="str">
        <f t="shared" si="1"/>
        <v>= 10; //使用花式%s%次</v>
      </c>
      <c r="L11" s="9"/>
      <c r="M11" s="9" t="str">
        <f t="shared" si="2"/>
        <v>SKILL_USE = {ID = 10, NAME = "skill_use"}, --使用花式%s%次</v>
      </c>
      <c r="O11" s="9"/>
      <c r="P11" s="9" t="str">
        <f t="shared" si="3"/>
        <v>[CareerCondition.SKILL_USE] = mainInfo.skill_use, --使用花式%s%次</v>
      </c>
      <c r="R11" s="9"/>
      <c r="S11" s="9" t="str">
        <f t="shared" si="4"/>
        <v>skill_use = 0, --使用花式%s%次</v>
      </c>
    </row>
    <row r="12" spans="2:19" ht="15" customHeight="1">
      <c r="B12" s="6" t="s">
        <v>478</v>
      </c>
      <c r="C12" s="6" t="s">
        <v>27</v>
      </c>
      <c r="D12" s="7">
        <f t="shared" si="5"/>
        <v>11</v>
      </c>
      <c r="E12" s="8"/>
      <c r="G12" s="9"/>
      <c r="H12" s="9" t="str">
        <f t="shared" si="0"/>
        <v>optional uint32 win</v>
      </c>
      <c r="I12" s="9"/>
      <c r="J12" s="9" t="str">
        <f t="shared" si="1"/>
        <v>= 11; //胜利</v>
      </c>
      <c r="L12" s="9"/>
      <c r="M12" s="9" t="str">
        <f t="shared" si="2"/>
        <v>WIN = {ID = 11, NAME = "win"}, --胜利</v>
      </c>
      <c r="O12" s="9"/>
      <c r="P12" s="9" t="str">
        <f t="shared" si="3"/>
        <v>[CareerCondition.WIN] = mainInfo.win, --胜利</v>
      </c>
      <c r="R12" s="9"/>
      <c r="S12" s="9" t="str">
        <f t="shared" si="4"/>
        <v>win = 0, --胜利</v>
      </c>
    </row>
    <row r="13" spans="2:19" ht="15" customHeight="1">
      <c r="B13" s="6" t="s">
        <v>471</v>
      </c>
      <c r="C13" s="6" t="s">
        <v>28</v>
      </c>
      <c r="D13" s="7">
        <f t="shared" si="5"/>
        <v>12</v>
      </c>
      <c r="E13" s="8"/>
      <c r="G13" s="9"/>
      <c r="H13" s="9" t="str">
        <f t="shared" si="0"/>
        <v>optional uint32 opposite_score_near</v>
      </c>
      <c r="I13" s="9"/>
      <c r="J13" s="9" t="str">
        <f t="shared" si="1"/>
        <v>= 12; //对方内线得分小于%s%分</v>
      </c>
      <c r="L13" s="9"/>
      <c r="M13" s="9" t="str">
        <f t="shared" si="2"/>
        <v>OPPOSITE_SCORE_NEAR = {ID = 12, NAME = "opposite_score_near"}, --对方内线得分小于%s%分</v>
      </c>
      <c r="O13" s="9"/>
      <c r="P13" s="9" t="str">
        <f t="shared" si="3"/>
        <v>[CareerCondition.OPPOSITE_SCORE_NEAR] = mainInfo.opposite_score_near, --对方内线得分小于%s%分</v>
      </c>
      <c r="R13" s="9"/>
      <c r="S13" s="9" t="str">
        <f t="shared" si="4"/>
        <v>opposite_score_near = 0, --对方内线得分小于%s%分</v>
      </c>
    </row>
    <row r="14" spans="2:19" ht="15" customHeight="1">
      <c r="B14" s="6" t="s">
        <v>35</v>
      </c>
      <c r="C14" s="6" t="s">
        <v>29</v>
      </c>
      <c r="D14" s="7">
        <f t="shared" si="5"/>
        <v>13</v>
      </c>
      <c r="E14" s="8"/>
      <c r="G14" s="9"/>
      <c r="H14" s="9" t="str">
        <f t="shared" si="0"/>
        <v>optional uint32 opposite_score_middle</v>
      </c>
      <c r="I14" s="9"/>
      <c r="J14" s="9" t="str">
        <f t="shared" si="1"/>
        <v>= 13; //对方中投得分小于%s%分</v>
      </c>
      <c r="L14" s="9"/>
      <c r="M14" s="9" t="str">
        <f t="shared" si="2"/>
        <v>OPPOSITE_SCORE_MIDDLE = {ID = 13, NAME = "opposite_score_middle"}, --对方中投得分小于%s%分</v>
      </c>
      <c r="O14" s="9"/>
      <c r="P14" s="9" t="str">
        <f t="shared" si="3"/>
        <v>[CareerCondition.OPPOSITE_SCORE_MIDDLE] = mainInfo.opposite_score_middle, --对方中投得分小于%s%分</v>
      </c>
      <c r="R14" s="9"/>
      <c r="S14" s="9" t="str">
        <f t="shared" si="4"/>
        <v>opposite_score_middle = 0, --对方中投得分小于%s%分</v>
      </c>
    </row>
    <row r="15" spans="2:19" ht="15" customHeight="1">
      <c r="B15" s="6" t="s">
        <v>36</v>
      </c>
      <c r="C15" s="6" t="s">
        <v>30</v>
      </c>
      <c r="D15" s="7">
        <f t="shared" si="5"/>
        <v>14</v>
      </c>
      <c r="E15" s="8"/>
      <c r="G15" s="9"/>
      <c r="H15" s="9" t="str">
        <f t="shared" si="0"/>
        <v>optional uint32 opposite_score_shoot_far</v>
      </c>
      <c r="I15" s="9"/>
      <c r="J15" s="9" t="str">
        <f t="shared" si="1"/>
        <v>= 14; //对方三分球得分小于%s%分</v>
      </c>
      <c r="L15" s="9"/>
      <c r="M15" s="9" t="str">
        <f>CONCATENATE(C15," = {ID = ",D15,", NAME = """,LOWER(C15),"""}, --",B15)</f>
        <v>OPPOSITE_SCORE_SHOOT_FAR = {ID = 14, NAME = "opposite_score_shoot_far"}, --对方三分球得分小于%s%分</v>
      </c>
      <c r="O15" s="9"/>
      <c r="P15" s="9" t="str">
        <f t="shared" si="3"/>
        <v>[CareerCondition.OPPOSITE_SCORE_SHOOT_FAR] = mainInfo.opposite_score_shoot_far, --对方三分球得分小于%s%分</v>
      </c>
      <c r="R15" s="9"/>
      <c r="S15" s="9" t="str">
        <f t="shared" si="4"/>
        <v>opposite_score_shoot_far = 0, --对方三分球得分小于%s%分</v>
      </c>
    </row>
  </sheetData>
  <phoneticPr fontId="1" type="noConversion"/>
  <pageMargins left="0.69930555555555596" right="0.69930555555555596" top="0.75" bottom="0.75" header="0.3" footer="0.3"/>
  <pageSetup paperSize="9"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dimension ref="A1:D17"/>
  <sheetViews>
    <sheetView workbookViewId="0">
      <selection activeCell="E2" sqref="E2"/>
    </sheetView>
  </sheetViews>
  <sheetFormatPr defaultRowHeight="13.5"/>
  <cols>
    <col min="2" max="2" width="14.25" style="26" customWidth="1"/>
    <col min="3" max="3" width="13.875" style="26" bestFit="1" customWidth="1"/>
    <col min="4" max="4" width="9" style="26"/>
  </cols>
  <sheetData>
    <row r="1" spans="1:4" ht="24.95" customHeight="1">
      <c r="A1" s="30" t="s">
        <v>413</v>
      </c>
      <c r="B1" s="24" t="s">
        <v>44</v>
      </c>
      <c r="C1" s="24" t="s">
        <v>45</v>
      </c>
      <c r="D1" s="24" t="s">
        <v>46</v>
      </c>
    </row>
    <row r="2" spans="1:4" ht="15" customHeight="1">
      <c r="A2" s="30"/>
      <c r="B2" s="25">
        <v>1</v>
      </c>
      <c r="C2" s="25">
        <v>1</v>
      </c>
      <c r="D2" s="61">
        <v>30</v>
      </c>
    </row>
    <row r="3" spans="1:4" ht="15" customHeight="1">
      <c r="A3" s="30"/>
      <c r="B3" s="25">
        <v>2</v>
      </c>
      <c r="C3" s="25">
        <v>1</v>
      </c>
      <c r="D3" s="61">
        <v>30</v>
      </c>
    </row>
    <row r="4" spans="1:4" ht="15" customHeight="1">
      <c r="A4" s="30"/>
      <c r="B4" s="25">
        <v>3</v>
      </c>
      <c r="C4" s="25">
        <v>1</v>
      </c>
      <c r="D4" s="61">
        <v>50</v>
      </c>
    </row>
    <row r="5" spans="1:4" ht="15" customHeight="1">
      <c r="A5" s="30"/>
      <c r="B5" s="25">
        <v>4</v>
      </c>
      <c r="C5" s="25">
        <v>1</v>
      </c>
      <c r="D5" s="61">
        <v>50</v>
      </c>
    </row>
    <row r="6" spans="1:4" ht="15" customHeight="1">
      <c r="A6" s="30"/>
      <c r="B6" s="25">
        <v>5</v>
      </c>
      <c r="C6" s="25">
        <v>1</v>
      </c>
      <c r="D6" s="61">
        <v>50</v>
      </c>
    </row>
    <row r="7" spans="1:4" ht="15" customHeight="1">
      <c r="A7" s="30"/>
      <c r="B7" s="25">
        <v>6</v>
      </c>
      <c r="C7" s="25">
        <v>1</v>
      </c>
      <c r="D7" s="61">
        <v>100</v>
      </c>
    </row>
    <row r="8" spans="1:4" ht="15" customHeight="1">
      <c r="A8" s="30"/>
      <c r="B8" s="25">
        <v>7</v>
      </c>
      <c r="C8" s="25">
        <v>1</v>
      </c>
      <c r="D8" s="61">
        <v>100</v>
      </c>
    </row>
    <row r="9" spans="1:4" ht="15" customHeight="1">
      <c r="A9" s="30"/>
      <c r="B9" s="25">
        <v>8</v>
      </c>
      <c r="C9" s="25">
        <v>1</v>
      </c>
      <c r="D9" s="61">
        <v>100</v>
      </c>
    </row>
    <row r="10" spans="1:4" ht="15" customHeight="1">
      <c r="A10" s="30"/>
      <c r="B10" s="25">
        <v>9</v>
      </c>
      <c r="C10" s="25">
        <v>1</v>
      </c>
      <c r="D10" s="61">
        <v>200</v>
      </c>
    </row>
    <row r="11" spans="1:4" ht="15" customHeight="1">
      <c r="A11" s="30"/>
      <c r="B11" s="25">
        <v>10</v>
      </c>
      <c r="C11" s="25">
        <v>1</v>
      </c>
      <c r="D11" s="61">
        <v>200</v>
      </c>
    </row>
    <row r="12" spans="1:4" ht="16.5">
      <c r="B12" s="25">
        <v>11</v>
      </c>
      <c r="C12" s="25">
        <v>1</v>
      </c>
      <c r="D12" s="61">
        <v>200</v>
      </c>
    </row>
    <row r="13" spans="1:4" ht="16.5">
      <c r="B13" s="25">
        <v>12</v>
      </c>
      <c r="C13" s="25">
        <v>1</v>
      </c>
      <c r="D13" s="61">
        <v>300</v>
      </c>
    </row>
    <row r="14" spans="1:4" ht="16.5">
      <c r="B14" s="25">
        <v>13</v>
      </c>
      <c r="C14" s="25">
        <v>1</v>
      </c>
      <c r="D14" s="61">
        <v>300</v>
      </c>
    </row>
    <row r="15" spans="1:4" ht="16.5">
      <c r="B15" s="25">
        <v>14</v>
      </c>
      <c r="C15" s="25">
        <v>1</v>
      </c>
      <c r="D15" s="61">
        <v>300</v>
      </c>
    </row>
    <row r="16" spans="1:4" ht="16.5">
      <c r="B16" s="25">
        <v>15</v>
      </c>
      <c r="C16" s="25">
        <v>1</v>
      </c>
      <c r="D16" s="61">
        <v>400</v>
      </c>
    </row>
    <row r="17" spans="2:4" ht="16.5">
      <c r="B17" s="25">
        <v>16</v>
      </c>
      <c r="C17" s="25">
        <v>1</v>
      </c>
      <c r="D17" s="61">
        <v>400</v>
      </c>
    </row>
  </sheetData>
  <phoneticPr fontId="1" type="noConversion"/>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2</vt:i4>
      </vt:variant>
    </vt:vector>
  </HeadingPairs>
  <TitlesOfParts>
    <vt:vector size="8" baseType="lpstr">
      <vt:lpstr>Chapter</vt:lpstr>
      <vt:lpstr>Section</vt:lpstr>
      <vt:lpstr>CareerAwardLib</vt:lpstr>
      <vt:lpstr>Plot</vt:lpstr>
      <vt:lpstr>StarCondition</vt:lpstr>
      <vt:lpstr>SectionResetTimes</vt:lpstr>
      <vt:lpstr>Plot!OLE_LINK460</vt:lpstr>
      <vt:lpstr>Chapter!OLE_LINK561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2006-09-13T11:21:51Z</dcterms:created>
  <dcterms:modified xsi:type="dcterms:W3CDTF">2016-06-25T07:16:41Z</dcterms:modified>
</cp:coreProperties>
</file>